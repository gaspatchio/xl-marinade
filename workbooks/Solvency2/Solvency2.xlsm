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/>
  <xr:revisionPtr revIDLastSave="0" documentId="13_ncr:1_{063DC923-E311-534A-9785-75FCC8440067}" xr6:coauthVersionLast="47" xr6:coauthVersionMax="47" xr10:uidLastSave="{00000000-0000-0000-0000-000000000000}"/>
  <bookViews>
    <workbookView xWindow="0" yWindow="500" windowWidth="28800" windowHeight="17500" xr2:uid="{00000000-000D-0000-FFFF-FFFF00000000}"/>
  </bookViews>
  <sheets>
    <sheet name="Cover" sheetId="1" r:id="rId1"/>
    <sheet name="Control" sheetId="2" r:id="rId2"/>
    <sheet name="Policy_Data" sheetId="3" r:id="rId3"/>
    <sheet name="Basis_Lookup" sheetId="4" r:id="rId4"/>
    <sheet name="Basis_Tables" sheetId="5" r:id="rId5"/>
    <sheet name="Mortality" sheetId="6" r:id="rId6"/>
    <sheet name="Scenarios" sheetId="7" r:id="rId7"/>
    <sheet name="Policy_Basis" sheetId="8" r:id="rId8"/>
    <sheet name="Commutation" sheetId="9" r:id="rId9"/>
    <sheet name="Policy_Sched" sheetId="10" r:id="rId10"/>
    <sheet name="Proj_Base" sheetId="11" r:id="rId11"/>
    <sheet name="Proj_Mort" sheetId="12" r:id="rId12"/>
    <sheet name="Proj_Longev" sheetId="13" r:id="rId13"/>
    <sheet name="Proj_Exps" sheetId="14" r:id="rId14"/>
    <sheet name="Proj_LapseUp" sheetId="15" r:id="rId15"/>
    <sheet name="Proj_LapseDown" sheetId="16" r:id="rId16"/>
    <sheet name="Proj_LapseMass" sheetId="17" r:id="rId17"/>
    <sheet name="SCR" sheetId="18" r:id="rId18"/>
    <sheet name="Summary" sheetId="19" r:id="rId19"/>
    <sheet name="Checks" sheetId="20" r:id="rId20"/>
    <sheet name="Lifelib_Reference" sheetId="21" r:id="rId21"/>
    <sheet name="Batch_Results" sheetId="22" r:id="rId22"/>
  </sheets>
  <definedNames>
    <definedName name="AllChecksPass">Checks!$C$27</definedName>
    <definedName name="AnnDue_gamma2">Policy_Basis!$C$59</definedName>
    <definedName name="AnnDue_xm_k">Policy_Basis!$C$57</definedName>
    <definedName name="AnnDue_xn_1">Policy_Basis!$C$58</definedName>
    <definedName name="AnnPremRate">Policy_Basis!$C$66</definedName>
    <definedName name="AsmpKeys">Basis_Lookup!$F$4:$F$42</definedName>
    <definedName name="AsmpTblGrid">Basis_Tables!$B$4:$I$23</definedName>
    <definedName name="AsmpTblNames">Basis_Tables!$B$2:$I$2</definedName>
    <definedName name="AsmpVals">Basis_Lookup!$E$4:$E$42</definedName>
    <definedName name="Axn">Policy_Basis!$C$55</definedName>
    <definedName name="BaseMortCol">Policy_Basis!$C$43</definedName>
    <definedName name="BaseMortTable">Policy_Basis!$C$16</definedName>
    <definedName name="BatchLimit">Control!$C$10</definedName>
    <definedName name="BatchTol">Control!$C$11</definedName>
    <definedName name="Beg1_Base">Proj_Base!$J$7:$J$110</definedName>
    <definedName name="Beg1_Exps">Proj_Exps!$J$7:$J$110</definedName>
    <definedName name="Beg1_LapseDown">Proj_LapseDown!$J$7:$J$110</definedName>
    <definedName name="Beg1_LapseMass">Proj_LapseMass!$J$7:$J$110</definedName>
    <definedName name="Beg1_LapseUp">Proj_LapseUp!$J$7:$J$110</definedName>
    <definedName name="Beg1_Longev">Proj_Longev!$J$7:$J$110</definedName>
    <definedName name="Beg1_Mort">Proj_Mort!$J$7:$J$110</definedName>
    <definedName name="CnsmpTax">Policy_Basis!$C$19</definedName>
    <definedName name="Comm_Dx">Commutation!$E$4:$E$134</definedName>
    <definedName name="Comm_lx">Commutation!$C$4:$C$134</definedName>
    <definedName name="Comm_Mx">Commutation!$H$4:$H$134</definedName>
    <definedName name="Comm_Nx">Commutation!$G$4:$G$134</definedName>
    <definedName name="CommInitPrem">Policy_Basis!$C$20</definedName>
    <definedName name="CommRenPrem">Policy_Basis!$C$21</definedName>
    <definedName name="CommRenTerm">Policy_Basis!$C$22</definedName>
    <definedName name="CorrGrid">SCR!$B$32:$H$38</definedName>
    <definedName name="Dx_xn">Policy_Basis!$C$52</definedName>
    <definedName name="DxX">Policy_Basis!$C$49</definedName>
    <definedName name="Exn">Policy_Basis!$C$56</definedName>
    <definedName name="ExpsAcqAnnPrem">Policy_Basis!$C$23</definedName>
    <definedName name="ExpsAcqPol">Policy_Basis!$C$24</definedName>
    <definedName name="ExpsAcqSA">Policy_Basis!$C$25</definedName>
    <definedName name="ExpsMaintAnnPrem">Policy_Basis!$C$26</definedName>
    <definedName name="ExpsMaintPol">Policy_Basis!$C$27</definedName>
    <definedName name="ExpsMaintSA">Policy_Basis!$C$28</definedName>
    <definedName name="FactorKeys">Basis_Tables!$K$4:$K$18</definedName>
    <definedName name="FactorVals">Basis_Tables!$L$4:$L$18</definedName>
    <definedName name="Gen">Policy_Basis!$C$6</definedName>
    <definedName name="GrossPremRate">Policy_Basis!$C$64</definedName>
    <definedName name="InflRate">Policy_Basis!$C$29</definedName>
    <definedName name="InitSurrCharge">Policy_Basis!$C$63</definedName>
    <definedName name="IntRatePrem">Policy_Basis!$C$30</definedName>
    <definedName name="IssueAge">Policy_Basis!$C$8</definedName>
    <definedName name="LapseDown_Risk">SCR!$C$16</definedName>
    <definedName name="LapseMass_Risk">SCR!$C$17</definedName>
    <definedName name="LapseUp_Risk">SCR!$C$15</definedName>
    <definedName name="LastAge">Policy_Basis!$C$47</definedName>
    <definedName name="LastT">Policy_Basis!$C$48</definedName>
    <definedName name="Life_Cat">SCR!$C$27</definedName>
    <definedName name="Life_Disab">SCR!$C$23</definedName>
    <definedName name="Life_Exps">SCR!$C$25</definedName>
    <definedName name="Life_Lapse">SCR!$C$24</definedName>
    <definedName name="Life_Longev">SCR!$C$22</definedName>
    <definedName name="Life_Mort">SCR!$C$21</definedName>
    <definedName name="Life_Rev">SCR!$C$26</definedName>
    <definedName name="LifeVec">SCR!$C$21:$C$27</definedName>
    <definedName name="LoadAcqP1">Policy_Basis!$C$32</definedName>
    <definedName name="LoadAcqP2">Policy_Basis!$C$33</definedName>
    <definedName name="LoadAcqSA">Policy_Basis!$C$60</definedName>
    <definedName name="LoadMaintPrem">Policy_Basis!$C$61</definedName>
    <definedName name="LoadMaintPremP1">Policy_Basis!$C$34</definedName>
    <definedName name="LoadMaintPremP2">Policy_Basis!$C$35</definedName>
    <definedName name="LoadMaintSA">Policy_Basis!$C$36</definedName>
    <definedName name="LoadMaintSA2">Policy_Basis!$C$37</definedName>
    <definedName name="LoadWaiver">Policy_Basis!$C$62</definedName>
    <definedName name="MortAges">Mortality!$A$4:$A$134</definedName>
    <definedName name="MortFactorCol">Policy_Basis!$C$45</definedName>
    <definedName name="MortFactorTable">Policy_Basis!$C$17</definedName>
    <definedName name="MortGrid">Mortality!$B$4:$M$134</definedName>
    <definedName name="MP_Count">Policy_Data!$I$4:$I$303</definedName>
    <definedName name="MP_Gen">Policy_Data!$D$4:$D$303</definedName>
    <definedName name="MP_ID">Policy_Data!$A$4:$A$303</definedName>
    <definedName name="MP_IssueAge">Policy_Data!$F$4:$F$303</definedName>
    <definedName name="MP_PolType">Policy_Data!$C$4:$C$303</definedName>
    <definedName name="MP_PremFreq">Policy_Data!$G$4:$G$303</definedName>
    <definedName name="MP_Product">Policy_Data!$B$4:$B$303</definedName>
    <definedName name="MP_Sex">Policy_Data!$E$4:$E$303</definedName>
    <definedName name="MP_SumAssured">Policy_Data!$J$4:$J$303</definedName>
    <definedName name="MP_Term">Policy_Data!$H$4:$H$303</definedName>
    <definedName name="Mx_xn">Policy_Basis!$C$53</definedName>
    <definedName name="MxX">Policy_Basis!$C$50</definedName>
    <definedName name="NAV_Base">SCR!$C$5</definedName>
    <definedName name="NAV_Exps">SCR!$C$8</definedName>
    <definedName name="NAV_LapseDown">SCR!$C$10</definedName>
    <definedName name="NAV_LapseMass">SCR!$C$11</definedName>
    <definedName name="NAV_LapseUp">SCR!$C$9</definedName>
    <definedName name="NAV_Longev">SCR!$C$7</definedName>
    <definedName name="NAV_Mort">SCR!$C$6</definedName>
    <definedName name="NetPremRatePrem">Policy_Basis!$C$65</definedName>
    <definedName name="Nx_xn">Policy_Basis!$C$54</definedName>
    <definedName name="NxX">Policy_Basis!$C$51</definedName>
    <definedName name="PolicyCount">Policy_Basis!$C$11</definedName>
    <definedName name="PolicyID">Control!$C$4</definedName>
    <definedName name="PolicyTerm">Policy_Basis!$C$10</definedName>
    <definedName name="PolicyType">Policy_Basis!$C$5</definedName>
    <definedName name="PremFreq">Policy_Basis!$C$9</definedName>
    <definedName name="PremMortCol">Policy_Basis!$C$44</definedName>
    <definedName name="ProdGrid">SCR!$B$43:$H$49</definedName>
    <definedName name="Product">Policy_Basis!$C$4</definedName>
    <definedName name="PVCHK_Base">Proj_Base!$AA$7:$AA$110</definedName>
    <definedName name="PVCHK_Exps">Proj_Exps!$AA$7:$AA$110</definedName>
    <definedName name="PVCHK_LapseDown">Proj_LapseDown!$AA$7:$AA$110</definedName>
    <definedName name="PVCHK_LapseMass">Proj_LapseMass!$AA$7:$AA$110</definedName>
    <definedName name="PVCHK_LapseUp">Proj_LapseUp!$AA$7:$AA$110</definedName>
    <definedName name="PVCHK_Longev">Proj_Longev!$AA$7:$AA$110</definedName>
    <definedName name="PVCHK_Mort">Proj_Mort!$AA$7:$AA$110</definedName>
    <definedName name="PVNCF_Base">Proj_Base!$Z$7:$Z$110</definedName>
    <definedName name="PVNCF_Exps">Proj_Exps!$Z$7:$Z$110</definedName>
    <definedName name="PVNCF_LapseDown">Proj_LapseDown!$Z$7:$Z$110</definedName>
    <definedName name="PVNCF_LapseMass">Proj_LapseMass!$Z$7:$Z$110</definedName>
    <definedName name="PVNCF_LapseUp">Proj_LapseUp!$Z$7:$Z$110</definedName>
    <definedName name="PVNCF_Longev">Proj_Longev!$Z$7:$Z$110</definedName>
    <definedName name="PVNCF_Mort">Proj_Mort!$Z$7:$Z$110</definedName>
    <definedName name="ScenGrid">Scenarios!$B$4:$K$154</definedName>
    <definedName name="ScenID">Control!$C$5</definedName>
    <definedName name="SCR_Life">SCR!$C$51</definedName>
    <definedName name="Sex">Policy_Basis!$C$7</definedName>
    <definedName name="SizeAnnPrem">Policy_Basis!$C$68</definedName>
    <definedName name="SizeExpsAcq0">Policy_Basis!$C$69</definedName>
    <definedName name="SizeExpsCommInit0">Policy_Basis!$C$70</definedName>
    <definedName name="SizePremium">Policy_Basis!$C$67</definedName>
    <definedName name="SpecKeys">Basis_Lookup!$M$4:$M$68</definedName>
    <definedName name="SpecVals">Basis_Lookup!$L$4:$L$68</definedName>
    <definedName name="SumAssured">Policy_Basis!$C$12</definedName>
    <definedName name="SurrCol">Policy_Basis!$C$46</definedName>
    <definedName name="SurrP1">Policy_Basis!$C$38</definedName>
    <definedName name="SurrP2">Policy_Basis!$C$39</definedName>
    <definedName name="SurrTable">Policy_Basis!$C$18</definedName>
    <definedName name="T0">Control!$C$6</definedName>
    <definedName name="TableIDPrem">Policy_Basis!$C$31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9" l="1"/>
  <c r="C5" i="19"/>
  <c r="C4" i="19"/>
  <c r="H49" i="18"/>
  <c r="G49" i="18"/>
  <c r="D49" i="18"/>
  <c r="H48" i="18"/>
  <c r="G48" i="18"/>
  <c r="D48" i="18"/>
  <c r="H45" i="18"/>
  <c r="G45" i="18"/>
  <c r="D45" i="18"/>
  <c r="H8" i="17"/>
  <c r="A8" i="17"/>
  <c r="E7" i="17"/>
  <c r="B7" i="17"/>
  <c r="G3" i="17"/>
  <c r="F3" i="17"/>
  <c r="E3" i="17"/>
  <c r="H9" i="16"/>
  <c r="A9" i="16"/>
  <c r="S8" i="16"/>
  <c r="R8" i="16"/>
  <c r="H8" i="16"/>
  <c r="A8" i="16"/>
  <c r="E7" i="16"/>
  <c r="B7" i="16"/>
  <c r="G3" i="16"/>
  <c r="F3" i="16"/>
  <c r="E3" i="16"/>
  <c r="R8" i="15"/>
  <c r="A8" i="15"/>
  <c r="E7" i="15"/>
  <c r="B7" i="15"/>
  <c r="G3" i="15"/>
  <c r="F3" i="15"/>
  <c r="E3" i="15"/>
  <c r="S8" i="14"/>
  <c r="A8" i="14"/>
  <c r="R8" i="14" s="1"/>
  <c r="E7" i="14"/>
  <c r="B7" i="14"/>
  <c r="G3" i="14"/>
  <c r="F3" i="14"/>
  <c r="E3" i="14"/>
  <c r="A8" i="13"/>
  <c r="E7" i="13"/>
  <c r="B7" i="13"/>
  <c r="G3" i="13"/>
  <c r="F3" i="13"/>
  <c r="E3" i="13"/>
  <c r="A8" i="12"/>
  <c r="E7" i="12"/>
  <c r="B7" i="12"/>
  <c r="G3" i="12"/>
  <c r="F3" i="12"/>
  <c r="E3" i="12"/>
  <c r="C25" i="20" s="1"/>
  <c r="H10" i="11"/>
  <c r="A10" i="11"/>
  <c r="S9" i="11"/>
  <c r="A9" i="11"/>
  <c r="H8" i="11"/>
  <c r="A8" i="11"/>
  <c r="E7" i="11"/>
  <c r="B7" i="11"/>
  <c r="G3" i="11"/>
  <c r="F3" i="11"/>
  <c r="E3" i="11"/>
  <c r="A8" i="10"/>
  <c r="A7" i="9"/>
  <c r="A6" i="9"/>
  <c r="A5" i="9"/>
  <c r="C12" i="8"/>
  <c r="C11" i="8"/>
  <c r="C10" i="8"/>
  <c r="C9" i="8"/>
  <c r="C8" i="8"/>
  <c r="B8" i="10" s="1"/>
  <c r="C7" i="8"/>
  <c r="C6" i="8"/>
  <c r="C5" i="8"/>
  <c r="C4" i="8"/>
  <c r="M68" i="4"/>
  <c r="M67" i="4"/>
  <c r="M66" i="4"/>
  <c r="M65" i="4"/>
  <c r="M64" i="4"/>
  <c r="M63" i="4"/>
  <c r="M62" i="4"/>
  <c r="M61" i="4"/>
  <c r="M60" i="4"/>
  <c r="M59" i="4"/>
  <c r="M58" i="4"/>
  <c r="M57" i="4"/>
  <c r="M56" i="4"/>
  <c r="M55" i="4"/>
  <c r="M54" i="4"/>
  <c r="M53" i="4"/>
  <c r="M52" i="4"/>
  <c r="M51" i="4"/>
  <c r="M50" i="4"/>
  <c r="M49" i="4"/>
  <c r="M48" i="4"/>
  <c r="M47" i="4"/>
  <c r="M46" i="4"/>
  <c r="M45" i="4"/>
  <c r="M44" i="4"/>
  <c r="M43" i="4"/>
  <c r="M42" i="4"/>
  <c r="F42" i="4"/>
  <c r="M41" i="4"/>
  <c r="F41" i="4"/>
  <c r="M40" i="4"/>
  <c r="F40" i="4"/>
  <c r="M39" i="4"/>
  <c r="F39" i="4"/>
  <c r="M38" i="4"/>
  <c r="F38" i="4"/>
  <c r="M37" i="4"/>
  <c r="F37" i="4"/>
  <c r="M36" i="4"/>
  <c r="F36" i="4"/>
  <c r="M35" i="4"/>
  <c r="F35" i="4"/>
  <c r="M34" i="4"/>
  <c r="F34" i="4"/>
  <c r="M33" i="4"/>
  <c r="F33" i="4"/>
  <c r="M32" i="4"/>
  <c r="F32" i="4"/>
  <c r="M31" i="4"/>
  <c r="F31" i="4"/>
  <c r="M30" i="4"/>
  <c r="F30" i="4"/>
  <c r="M29" i="4"/>
  <c r="F29" i="4"/>
  <c r="M28" i="4"/>
  <c r="F28" i="4"/>
  <c r="M27" i="4"/>
  <c r="F27" i="4"/>
  <c r="M26" i="4"/>
  <c r="F26" i="4"/>
  <c r="M25" i="4"/>
  <c r="F25" i="4"/>
  <c r="M24" i="4"/>
  <c r="F24" i="4"/>
  <c r="M23" i="4"/>
  <c r="F23" i="4"/>
  <c r="M22" i="4"/>
  <c r="F22" i="4"/>
  <c r="M21" i="4"/>
  <c r="F21" i="4"/>
  <c r="M20" i="4"/>
  <c r="F20" i="4"/>
  <c r="M19" i="4"/>
  <c r="F19" i="4"/>
  <c r="M18" i="4"/>
  <c r="F18" i="4"/>
  <c r="M17" i="4"/>
  <c r="F17" i="4"/>
  <c r="M16" i="4"/>
  <c r="F16" i="4"/>
  <c r="M15" i="4"/>
  <c r="F15" i="4"/>
  <c r="M14" i="4"/>
  <c r="F14" i="4"/>
  <c r="M13" i="4"/>
  <c r="F13" i="4"/>
  <c r="M12" i="4"/>
  <c r="F12" i="4"/>
  <c r="M11" i="4"/>
  <c r="F11" i="4"/>
  <c r="M10" i="4"/>
  <c r="F10" i="4"/>
  <c r="M9" i="4"/>
  <c r="F9" i="4"/>
  <c r="M8" i="4"/>
  <c r="F8" i="4"/>
  <c r="M7" i="4"/>
  <c r="F7" i="4"/>
  <c r="M6" i="4"/>
  <c r="F6" i="4"/>
  <c r="M5" i="4"/>
  <c r="F5" i="4"/>
  <c r="M4" i="4"/>
  <c r="F4" i="4"/>
  <c r="C25" i="8" l="1"/>
  <c r="C17" i="8"/>
  <c r="C45" i="8" s="1"/>
  <c r="C26" i="8"/>
  <c r="C29" i="8"/>
  <c r="C19" i="8"/>
  <c r="C7" i="19"/>
  <c r="C32" i="8"/>
  <c r="C24" i="8"/>
  <c r="C16" i="8"/>
  <c r="C43" i="8" s="1"/>
  <c r="C47" i="8" s="1"/>
  <c r="C48" i="8" s="1"/>
  <c r="I8" i="11" s="1"/>
  <c r="C39" i="8"/>
  <c r="C30" i="8"/>
  <c r="E4" i="9" s="1"/>
  <c r="C21" i="8"/>
  <c r="C36" i="8"/>
  <c r="C27" i="8"/>
  <c r="C38" i="8"/>
  <c r="C20" i="8"/>
  <c r="C18" i="8"/>
  <c r="C46" i="8" s="1"/>
  <c r="C37" i="8"/>
  <c r="C28" i="8"/>
  <c r="C33" i="8"/>
  <c r="C23" i="8"/>
  <c r="C22" i="8"/>
  <c r="C31" i="8"/>
  <c r="C44" i="8" s="1"/>
  <c r="B4" i="9" s="1"/>
  <c r="D4" i="9" s="1"/>
  <c r="C34" i="8"/>
  <c r="C61" i="8" s="1"/>
  <c r="A8" i="9"/>
  <c r="C35" i="8"/>
  <c r="A9" i="10"/>
  <c r="C62" i="8"/>
  <c r="H7" i="17"/>
  <c r="H7" i="16"/>
  <c r="H7" i="15"/>
  <c r="H7" i="14"/>
  <c r="H7" i="12"/>
  <c r="H7" i="13"/>
  <c r="H7" i="11"/>
  <c r="A11" i="11"/>
  <c r="S10" i="11"/>
  <c r="B9" i="10"/>
  <c r="B7" i="10"/>
  <c r="R10" i="11"/>
  <c r="A9" i="12"/>
  <c r="H8" i="12"/>
  <c r="S8" i="12"/>
  <c r="R8" i="12"/>
  <c r="H9" i="11"/>
  <c r="R9" i="11"/>
  <c r="R8" i="11"/>
  <c r="S8" i="11"/>
  <c r="A9" i="13"/>
  <c r="S8" i="13"/>
  <c r="R8" i="13"/>
  <c r="H8" i="13"/>
  <c r="A9" i="14"/>
  <c r="H8" i="14"/>
  <c r="S8" i="15"/>
  <c r="A9" i="15"/>
  <c r="A10" i="16"/>
  <c r="S9" i="16"/>
  <c r="R9" i="16"/>
  <c r="H8" i="15"/>
  <c r="A9" i="17"/>
  <c r="S8" i="17"/>
  <c r="R8" i="17"/>
  <c r="C63" i="8" l="1"/>
  <c r="G8" i="10" s="1"/>
  <c r="F8" i="15"/>
  <c r="I8" i="12"/>
  <c r="C8" i="17"/>
  <c r="C8" i="13"/>
  <c r="C8" i="12"/>
  <c r="B8" i="14"/>
  <c r="B9" i="14" s="1"/>
  <c r="I8" i="14"/>
  <c r="C8" i="10"/>
  <c r="F9" i="16"/>
  <c r="E8" i="10"/>
  <c r="D8" i="13" s="1"/>
  <c r="C60" i="8"/>
  <c r="F10" i="11"/>
  <c r="I10" i="11"/>
  <c r="C9" i="16"/>
  <c r="F9" i="11"/>
  <c r="F8" i="12"/>
  <c r="K8" i="10"/>
  <c r="F8" i="16"/>
  <c r="I8" i="13"/>
  <c r="C8" i="11"/>
  <c r="D8" i="10"/>
  <c r="I8" i="17"/>
  <c r="F8" i="17"/>
  <c r="I8" i="16"/>
  <c r="F8" i="13"/>
  <c r="B8" i="12"/>
  <c r="B9" i="12" s="1"/>
  <c r="B8" i="17"/>
  <c r="B9" i="17" s="1"/>
  <c r="B8" i="13"/>
  <c r="B9" i="13" s="1"/>
  <c r="B8" i="11"/>
  <c r="B9" i="11" s="1"/>
  <c r="B10" i="11" s="1"/>
  <c r="B11" i="11" s="1"/>
  <c r="B7" i="9"/>
  <c r="B5" i="9"/>
  <c r="F9" i="14"/>
  <c r="I9" i="14"/>
  <c r="A10" i="14"/>
  <c r="H9" i="14"/>
  <c r="C9" i="14"/>
  <c r="S9" i="14"/>
  <c r="R9" i="14"/>
  <c r="I10" i="16"/>
  <c r="H10" i="16"/>
  <c r="S10" i="16"/>
  <c r="R10" i="16"/>
  <c r="A11" i="16"/>
  <c r="F10" i="16"/>
  <c r="F7" i="17"/>
  <c r="G7" i="17" s="1"/>
  <c r="I7" i="17" s="1"/>
  <c r="J7" i="17" s="1"/>
  <c r="C7" i="17"/>
  <c r="I7" i="16"/>
  <c r="F7" i="16"/>
  <c r="G7" i="16" s="1"/>
  <c r="F7" i="15"/>
  <c r="G7" i="15" s="1"/>
  <c r="B8" i="16"/>
  <c r="B9" i="16" s="1"/>
  <c r="B10" i="16" s="1"/>
  <c r="C7" i="16"/>
  <c r="I7" i="15"/>
  <c r="B8" i="15"/>
  <c r="B9" i="15" s="1"/>
  <c r="C7" i="14"/>
  <c r="C7" i="15"/>
  <c r="I8" i="15"/>
  <c r="C8" i="16"/>
  <c r="I9" i="16"/>
  <c r="C8" i="15"/>
  <c r="C8" i="14"/>
  <c r="F7" i="13"/>
  <c r="G7" i="13" s="1"/>
  <c r="I7" i="14"/>
  <c r="F7" i="14"/>
  <c r="G7" i="14" s="1"/>
  <c r="I7" i="13"/>
  <c r="I7" i="12"/>
  <c r="F8" i="14"/>
  <c r="C7" i="13"/>
  <c r="C7" i="12"/>
  <c r="F7" i="11"/>
  <c r="G7" i="11" s="1"/>
  <c r="G7" i="10"/>
  <c r="J7" i="10"/>
  <c r="I7" i="11"/>
  <c r="E7" i="10"/>
  <c r="D7" i="12" s="1"/>
  <c r="F8" i="11"/>
  <c r="C7" i="11"/>
  <c r="D7" i="10"/>
  <c r="C7" i="10"/>
  <c r="K7" i="10"/>
  <c r="F7" i="12"/>
  <c r="G7" i="12" s="1"/>
  <c r="C9" i="11"/>
  <c r="I9" i="11"/>
  <c r="R11" i="11"/>
  <c r="I11" i="11"/>
  <c r="H11" i="11"/>
  <c r="A12" i="11"/>
  <c r="F11" i="11"/>
  <c r="S11" i="11"/>
  <c r="A10" i="15"/>
  <c r="H9" i="15"/>
  <c r="F9" i="15"/>
  <c r="S9" i="15"/>
  <c r="I9" i="15"/>
  <c r="C9" i="15"/>
  <c r="R9" i="15"/>
  <c r="C5" i="9"/>
  <c r="F4" i="9"/>
  <c r="A9" i="9"/>
  <c r="B8" i="9"/>
  <c r="I9" i="17"/>
  <c r="H9" i="17"/>
  <c r="S9" i="17"/>
  <c r="C9" i="17"/>
  <c r="A10" i="17"/>
  <c r="F9" i="17"/>
  <c r="R9" i="17"/>
  <c r="S9" i="12"/>
  <c r="C9" i="12"/>
  <c r="R9" i="12"/>
  <c r="I9" i="12"/>
  <c r="A10" i="12"/>
  <c r="H9" i="12"/>
  <c r="F9" i="12"/>
  <c r="I9" i="13"/>
  <c r="H9" i="13"/>
  <c r="S9" i="13"/>
  <c r="C9" i="13"/>
  <c r="A10" i="13"/>
  <c r="F9" i="13"/>
  <c r="R9" i="13"/>
  <c r="A10" i="10"/>
  <c r="D9" i="10"/>
  <c r="K9" i="10"/>
  <c r="E9" i="10"/>
  <c r="D9" i="16" s="1"/>
  <c r="C9" i="10"/>
  <c r="G9" i="10"/>
  <c r="B6" i="9"/>
  <c r="J7" i="14" l="1"/>
  <c r="K7" i="14" s="1"/>
  <c r="O7" i="14" s="1"/>
  <c r="D8" i="16"/>
  <c r="D8" i="17"/>
  <c r="D8" i="11"/>
  <c r="D8" i="12"/>
  <c r="J7" i="15"/>
  <c r="K7" i="15" s="1"/>
  <c r="O7" i="15" s="1"/>
  <c r="J7" i="16"/>
  <c r="K7" i="16" s="1"/>
  <c r="O7" i="16" s="1"/>
  <c r="D8" i="15"/>
  <c r="D8" i="14"/>
  <c r="J7" i="12"/>
  <c r="L7" i="12" s="1"/>
  <c r="J7" i="11"/>
  <c r="K7" i="11" s="1"/>
  <c r="O7" i="11" s="1"/>
  <c r="D9" i="15"/>
  <c r="J7" i="13"/>
  <c r="K7" i="13" s="1"/>
  <c r="O7" i="13" s="1"/>
  <c r="D9" i="17"/>
  <c r="K7" i="17"/>
  <c r="D9" i="14"/>
  <c r="D9" i="11"/>
  <c r="F11" i="16"/>
  <c r="A12" i="16"/>
  <c r="H11" i="16"/>
  <c r="I11" i="16"/>
  <c r="B11" i="16"/>
  <c r="S11" i="16"/>
  <c r="R11" i="16"/>
  <c r="A10" i="9"/>
  <c r="B9" i="9"/>
  <c r="D7" i="11"/>
  <c r="D7" i="14"/>
  <c r="H10" i="12"/>
  <c r="F10" i="12"/>
  <c r="R10" i="12"/>
  <c r="B10" i="12"/>
  <c r="A11" i="12"/>
  <c r="S10" i="12"/>
  <c r="I10" i="12"/>
  <c r="F12" i="11"/>
  <c r="I12" i="11"/>
  <c r="A13" i="11"/>
  <c r="S12" i="11"/>
  <c r="R12" i="11"/>
  <c r="B12" i="11"/>
  <c r="H12" i="11"/>
  <c r="G10" i="10"/>
  <c r="E10" i="10"/>
  <c r="D10" i="12" s="1"/>
  <c r="D10" i="10"/>
  <c r="A11" i="10"/>
  <c r="K10" i="10"/>
  <c r="B10" i="10"/>
  <c r="C10" i="14" s="1"/>
  <c r="D9" i="12"/>
  <c r="D7" i="13"/>
  <c r="D7" i="16"/>
  <c r="F10" i="13"/>
  <c r="A11" i="13"/>
  <c r="H10" i="13"/>
  <c r="S10" i="13"/>
  <c r="R10" i="13"/>
  <c r="B10" i="13"/>
  <c r="I10" i="13"/>
  <c r="I10" i="15"/>
  <c r="R10" i="15"/>
  <c r="H10" i="15"/>
  <c r="F10" i="15"/>
  <c r="B10" i="15"/>
  <c r="S10" i="15"/>
  <c r="A11" i="15"/>
  <c r="D9" i="13"/>
  <c r="F10" i="17"/>
  <c r="A11" i="17"/>
  <c r="H10" i="17"/>
  <c r="S10" i="17"/>
  <c r="R10" i="17"/>
  <c r="I10" i="17"/>
  <c r="B10" i="17"/>
  <c r="D7" i="15"/>
  <c r="D7" i="17"/>
  <c r="L7" i="17" s="1"/>
  <c r="E5" i="9"/>
  <c r="D5" i="9"/>
  <c r="F5" i="9" s="1"/>
  <c r="T7" i="17"/>
  <c r="A11" i="14"/>
  <c r="S10" i="14"/>
  <c r="R10" i="14"/>
  <c r="B10" i="14"/>
  <c r="F10" i="14"/>
  <c r="I10" i="14"/>
  <c r="H10" i="14"/>
  <c r="T7" i="14" l="1"/>
  <c r="L7" i="14"/>
  <c r="E8" i="14" s="1"/>
  <c r="G8" i="14" s="1"/>
  <c r="J8" i="14" s="1"/>
  <c r="T7" i="12"/>
  <c r="T7" i="15"/>
  <c r="L7" i="15"/>
  <c r="E8" i="15" s="1"/>
  <c r="G8" i="15" s="1"/>
  <c r="J8" i="15" s="1"/>
  <c r="T7" i="16"/>
  <c r="L7" i="13"/>
  <c r="E8" i="13" s="1"/>
  <c r="G8" i="13" s="1"/>
  <c r="J8" i="13" s="1"/>
  <c r="L8" i="13" s="1"/>
  <c r="L7" i="16"/>
  <c r="E8" i="16" s="1"/>
  <c r="G8" i="16" s="1"/>
  <c r="J8" i="16" s="1"/>
  <c r="T7" i="11"/>
  <c r="D10" i="13"/>
  <c r="K7" i="12"/>
  <c r="O7" i="12" s="1"/>
  <c r="T7" i="13"/>
  <c r="C10" i="17"/>
  <c r="C10" i="12"/>
  <c r="L7" i="11"/>
  <c r="E8" i="11" s="1"/>
  <c r="G8" i="11" s="1"/>
  <c r="J8" i="11" s="1"/>
  <c r="L8" i="11" s="1"/>
  <c r="O7" i="17"/>
  <c r="S11" i="13"/>
  <c r="R11" i="13"/>
  <c r="B11" i="13"/>
  <c r="I11" i="13"/>
  <c r="H11" i="13"/>
  <c r="F11" i="13"/>
  <c r="A12" i="13"/>
  <c r="E8" i="17"/>
  <c r="G8" i="17" s="1"/>
  <c r="J8" i="17" s="1"/>
  <c r="D10" i="14"/>
  <c r="C10" i="15"/>
  <c r="I11" i="14"/>
  <c r="H11" i="14"/>
  <c r="S11" i="14"/>
  <c r="A12" i="14"/>
  <c r="F11" i="14"/>
  <c r="B11" i="14"/>
  <c r="R11" i="14"/>
  <c r="A12" i="10"/>
  <c r="D11" i="10"/>
  <c r="K11" i="10"/>
  <c r="G11" i="10"/>
  <c r="E11" i="10"/>
  <c r="D11" i="14" s="1"/>
  <c r="B11" i="10"/>
  <c r="C11" i="13" s="1"/>
  <c r="D10" i="15"/>
  <c r="A11" i="9"/>
  <c r="B10" i="9"/>
  <c r="C10" i="13"/>
  <c r="S12" i="16"/>
  <c r="R12" i="16"/>
  <c r="B12" i="16"/>
  <c r="I12" i="16"/>
  <c r="A13" i="16"/>
  <c r="F12" i="16"/>
  <c r="H12" i="16"/>
  <c r="C6" i="9"/>
  <c r="C10" i="11"/>
  <c r="C10" i="16"/>
  <c r="D10" i="11"/>
  <c r="D10" i="16"/>
  <c r="D10" i="17"/>
  <c r="F11" i="15"/>
  <c r="R11" i="15"/>
  <c r="I11" i="15"/>
  <c r="H11" i="15"/>
  <c r="B11" i="15"/>
  <c r="A12" i="15"/>
  <c r="S11" i="15"/>
  <c r="C10" i="10"/>
  <c r="A14" i="11"/>
  <c r="S13" i="11"/>
  <c r="R13" i="11"/>
  <c r="B13" i="11"/>
  <c r="F13" i="11"/>
  <c r="H13" i="11"/>
  <c r="I13" i="11"/>
  <c r="A12" i="12"/>
  <c r="S11" i="12"/>
  <c r="F11" i="12"/>
  <c r="R11" i="12"/>
  <c r="B11" i="12"/>
  <c r="I11" i="12"/>
  <c r="H11" i="12"/>
  <c r="S11" i="17"/>
  <c r="R11" i="17"/>
  <c r="B11" i="17"/>
  <c r="I11" i="17"/>
  <c r="F11" i="17"/>
  <c r="H11" i="17"/>
  <c r="A12" i="17"/>
  <c r="C11" i="15" l="1"/>
  <c r="E8" i="12"/>
  <c r="G8" i="12" s="1"/>
  <c r="J8" i="12" s="1"/>
  <c r="L8" i="12" s="1"/>
  <c r="K8" i="11"/>
  <c r="O8" i="11" s="1"/>
  <c r="C11" i="17"/>
  <c r="D11" i="12"/>
  <c r="K8" i="13"/>
  <c r="O8" i="13" s="1"/>
  <c r="D11" i="17"/>
  <c r="D11" i="15"/>
  <c r="C11" i="12"/>
  <c r="C11" i="10"/>
  <c r="C11" i="14"/>
  <c r="D11" i="13"/>
  <c r="L8" i="15"/>
  <c r="K8" i="15"/>
  <c r="O8" i="15" s="1"/>
  <c r="L8" i="17"/>
  <c r="K8" i="17"/>
  <c r="I14" i="11"/>
  <c r="H14" i="11"/>
  <c r="S14" i="11"/>
  <c r="F14" i="11"/>
  <c r="A15" i="11"/>
  <c r="B14" i="11"/>
  <c r="R14" i="11"/>
  <c r="S12" i="15"/>
  <c r="A13" i="15"/>
  <c r="R12" i="15"/>
  <c r="I12" i="15"/>
  <c r="H12" i="15"/>
  <c r="B12" i="15"/>
  <c r="F12" i="15"/>
  <c r="D6" i="9"/>
  <c r="F6" i="9" s="1"/>
  <c r="E6" i="9"/>
  <c r="H12" i="13"/>
  <c r="F12" i="13"/>
  <c r="R12" i="13"/>
  <c r="B12" i="13"/>
  <c r="A13" i="13"/>
  <c r="S12" i="13"/>
  <c r="I12" i="13"/>
  <c r="C11" i="11"/>
  <c r="C11" i="16"/>
  <c r="R12" i="12"/>
  <c r="B12" i="12"/>
  <c r="I12" i="12"/>
  <c r="H12" i="12"/>
  <c r="A13" i="12"/>
  <c r="F12" i="12"/>
  <c r="S12" i="12"/>
  <c r="L8" i="14"/>
  <c r="K8" i="14"/>
  <c r="O8" i="14" s="1"/>
  <c r="D11" i="11"/>
  <c r="D11" i="16"/>
  <c r="H12" i="17"/>
  <c r="F12" i="17"/>
  <c r="R12" i="17"/>
  <c r="B12" i="17"/>
  <c r="A13" i="17"/>
  <c r="S12" i="17"/>
  <c r="L8" i="16"/>
  <c r="K8" i="16"/>
  <c r="O8" i="16" s="1"/>
  <c r="H13" i="16"/>
  <c r="F13" i="16"/>
  <c r="R13" i="16"/>
  <c r="B13" i="16"/>
  <c r="S13" i="16"/>
  <c r="I13" i="16"/>
  <c r="A14" i="16"/>
  <c r="A12" i="9"/>
  <c r="B11" i="9"/>
  <c r="G12" i="10"/>
  <c r="K12" i="10"/>
  <c r="J12" i="10"/>
  <c r="A13" i="10"/>
  <c r="D12" i="10"/>
  <c r="B12" i="10"/>
  <c r="E12" i="10"/>
  <c r="F12" i="14"/>
  <c r="A13" i="14"/>
  <c r="H12" i="14"/>
  <c r="S12" i="14"/>
  <c r="B12" i="14"/>
  <c r="R12" i="14"/>
  <c r="I12" i="14"/>
  <c r="E9" i="11" l="1"/>
  <c r="G9" i="11" s="1"/>
  <c r="J9" i="11" s="1"/>
  <c r="K9" i="11" s="1"/>
  <c r="O9" i="11" s="1"/>
  <c r="K8" i="12"/>
  <c r="O8" i="12" s="1"/>
  <c r="C7" i="9"/>
  <c r="D7" i="9" s="1"/>
  <c r="F7" i="9" s="1"/>
  <c r="E9" i="17"/>
  <c r="G9" i="17" s="1"/>
  <c r="J9" i="17" s="1"/>
  <c r="L9" i="17" s="1"/>
  <c r="E9" i="13"/>
  <c r="G9" i="13" s="1"/>
  <c r="J9" i="13" s="1"/>
  <c r="L9" i="13" s="1"/>
  <c r="E9" i="15"/>
  <c r="G9" i="15" s="1"/>
  <c r="J9" i="15" s="1"/>
  <c r="K9" i="15" s="1"/>
  <c r="O9" i="15" s="1"/>
  <c r="E9" i="14"/>
  <c r="G9" i="14" s="1"/>
  <c r="J9" i="14" s="1"/>
  <c r="K9" i="14" s="1"/>
  <c r="O9" i="14" s="1"/>
  <c r="D12" i="11"/>
  <c r="D12" i="16"/>
  <c r="A15" i="16"/>
  <c r="S14" i="16"/>
  <c r="I14" i="16"/>
  <c r="H14" i="16"/>
  <c r="F14" i="16"/>
  <c r="R14" i="16"/>
  <c r="B14" i="16"/>
  <c r="C12" i="17"/>
  <c r="C12" i="12"/>
  <c r="D12" i="15"/>
  <c r="D12" i="17"/>
  <c r="D12" i="12"/>
  <c r="F13" i="12"/>
  <c r="I13" i="12"/>
  <c r="A14" i="12"/>
  <c r="S13" i="12"/>
  <c r="B13" i="12"/>
  <c r="R13" i="12"/>
  <c r="H13" i="12"/>
  <c r="A14" i="13"/>
  <c r="S13" i="13"/>
  <c r="R13" i="13"/>
  <c r="B13" i="13"/>
  <c r="H13" i="13"/>
  <c r="I13" i="13"/>
  <c r="F13" i="13"/>
  <c r="D12" i="14"/>
  <c r="E9" i="16"/>
  <c r="G9" i="16" s="1"/>
  <c r="J9" i="16" s="1"/>
  <c r="S13" i="14"/>
  <c r="R13" i="14"/>
  <c r="B13" i="14"/>
  <c r="I13" i="14"/>
  <c r="H13" i="14"/>
  <c r="A14" i="14"/>
  <c r="F13" i="14"/>
  <c r="E13" i="10"/>
  <c r="D13" i="13" s="1"/>
  <c r="A14" i="10"/>
  <c r="D13" i="10"/>
  <c r="G13" i="10"/>
  <c r="J13" i="10"/>
  <c r="K13" i="10"/>
  <c r="B13" i="10"/>
  <c r="C13" i="13" s="1"/>
  <c r="F15" i="11"/>
  <c r="A16" i="11"/>
  <c r="H15" i="11"/>
  <c r="I15" i="11"/>
  <c r="R15" i="11"/>
  <c r="B15" i="11"/>
  <c r="S15" i="11"/>
  <c r="C12" i="11"/>
  <c r="C12" i="16"/>
  <c r="C12" i="10"/>
  <c r="C12" i="13"/>
  <c r="C12" i="15"/>
  <c r="O8" i="17"/>
  <c r="D12" i="13"/>
  <c r="B12" i="9"/>
  <c r="A13" i="9"/>
  <c r="H13" i="15"/>
  <c r="A14" i="15"/>
  <c r="S13" i="15"/>
  <c r="R13" i="15"/>
  <c r="I13" i="15"/>
  <c r="F13" i="15"/>
  <c r="B13" i="15"/>
  <c r="C12" i="14"/>
  <c r="A14" i="17"/>
  <c r="S13" i="17"/>
  <c r="R13" i="17"/>
  <c r="B13" i="17"/>
  <c r="I13" i="17"/>
  <c r="H13" i="17"/>
  <c r="F13" i="17"/>
  <c r="E7" i="9" l="1"/>
  <c r="K9" i="17"/>
  <c r="O9" i="17" s="1"/>
  <c r="L9" i="11"/>
  <c r="E10" i="11" s="1"/>
  <c r="G10" i="11" s="1"/>
  <c r="J10" i="11" s="1"/>
  <c r="L10" i="11" s="1"/>
  <c r="E9" i="12"/>
  <c r="G9" i="12" s="1"/>
  <c r="J9" i="12" s="1"/>
  <c r="L9" i="12" s="1"/>
  <c r="K9" i="13"/>
  <c r="C13" i="17"/>
  <c r="L9" i="14"/>
  <c r="E10" i="14" s="1"/>
  <c r="G10" i="14" s="1"/>
  <c r="J10" i="14" s="1"/>
  <c r="L9" i="15"/>
  <c r="E10" i="15" s="1"/>
  <c r="G10" i="15" s="1"/>
  <c r="J10" i="15" s="1"/>
  <c r="L10" i="15" s="1"/>
  <c r="D13" i="14"/>
  <c r="C13" i="15"/>
  <c r="D13" i="12"/>
  <c r="C13" i="10"/>
  <c r="C8" i="9"/>
  <c r="D8" i="9" s="1"/>
  <c r="F8" i="9" s="1"/>
  <c r="C13" i="14"/>
  <c r="D13" i="15"/>
  <c r="D13" i="17"/>
  <c r="R15" i="16"/>
  <c r="B15" i="16"/>
  <c r="I15" i="16"/>
  <c r="H15" i="16"/>
  <c r="A16" i="16"/>
  <c r="S15" i="16"/>
  <c r="F15" i="16"/>
  <c r="A14" i="9"/>
  <c r="B13" i="9"/>
  <c r="A15" i="12"/>
  <c r="S14" i="12"/>
  <c r="R14" i="12"/>
  <c r="B14" i="12"/>
  <c r="F14" i="12"/>
  <c r="H14" i="12"/>
  <c r="I14" i="12"/>
  <c r="R14" i="17"/>
  <c r="B14" i="17"/>
  <c r="I14" i="17"/>
  <c r="H14" i="17"/>
  <c r="A15" i="17"/>
  <c r="S14" i="17"/>
  <c r="F14" i="17"/>
  <c r="S16" i="11"/>
  <c r="R16" i="11"/>
  <c r="B16" i="11"/>
  <c r="I16" i="11"/>
  <c r="A17" i="11"/>
  <c r="F16" i="11"/>
  <c r="H16" i="11"/>
  <c r="L9" i="16"/>
  <c r="K9" i="16"/>
  <c r="O9" i="16" s="1"/>
  <c r="H14" i="14"/>
  <c r="F14" i="14"/>
  <c r="R14" i="14"/>
  <c r="B14" i="14"/>
  <c r="S14" i="14"/>
  <c r="A15" i="14"/>
  <c r="I14" i="14"/>
  <c r="C13" i="11"/>
  <c r="C13" i="16"/>
  <c r="K14" i="10"/>
  <c r="J14" i="10"/>
  <c r="E14" i="10"/>
  <c r="D14" i="12" s="1"/>
  <c r="G14" i="10"/>
  <c r="D14" i="10"/>
  <c r="A15" i="10"/>
  <c r="B14" i="10"/>
  <c r="C14" i="10" s="1"/>
  <c r="C13" i="12"/>
  <c r="R14" i="13"/>
  <c r="B14" i="13"/>
  <c r="I14" i="13"/>
  <c r="H14" i="13"/>
  <c r="A15" i="13"/>
  <c r="F14" i="13"/>
  <c r="S14" i="13"/>
  <c r="A15" i="15"/>
  <c r="S14" i="15"/>
  <c r="R14" i="15"/>
  <c r="I14" i="15"/>
  <c r="H14" i="15"/>
  <c r="B14" i="15"/>
  <c r="F14" i="15"/>
  <c r="D13" i="11"/>
  <c r="D13" i="16"/>
  <c r="E10" i="17" l="1"/>
  <c r="G10" i="17" s="1"/>
  <c r="J10" i="17" s="1"/>
  <c r="K10" i="17" s="1"/>
  <c r="K10" i="11"/>
  <c r="E11" i="11" s="1"/>
  <c r="G11" i="11" s="1"/>
  <c r="J11" i="11" s="1"/>
  <c r="K11" i="11" s="1"/>
  <c r="O11" i="11" s="1"/>
  <c r="K9" i="12"/>
  <c r="O9" i="12" s="1"/>
  <c r="O9" i="13"/>
  <c r="E10" i="13"/>
  <c r="G10" i="13" s="1"/>
  <c r="J10" i="13" s="1"/>
  <c r="K10" i="15"/>
  <c r="O10" i="15" s="1"/>
  <c r="E8" i="9"/>
  <c r="D14" i="15"/>
  <c r="E10" i="16"/>
  <c r="G10" i="16" s="1"/>
  <c r="J10" i="16" s="1"/>
  <c r="L10" i="16" s="1"/>
  <c r="C9" i="9"/>
  <c r="E9" i="9" s="1"/>
  <c r="C14" i="12"/>
  <c r="C14" i="15"/>
  <c r="D14" i="13"/>
  <c r="L10" i="14"/>
  <c r="K10" i="14"/>
  <c r="O10" i="14" s="1"/>
  <c r="O10" i="17"/>
  <c r="D14" i="14"/>
  <c r="F15" i="13"/>
  <c r="I15" i="13"/>
  <c r="A16" i="13"/>
  <c r="R15" i="13"/>
  <c r="B15" i="13"/>
  <c r="S15" i="13"/>
  <c r="H15" i="13"/>
  <c r="D14" i="11"/>
  <c r="D14" i="16"/>
  <c r="I15" i="12"/>
  <c r="H15" i="12"/>
  <c r="S15" i="12"/>
  <c r="F15" i="12"/>
  <c r="B15" i="12"/>
  <c r="A16" i="12"/>
  <c r="R15" i="12"/>
  <c r="C14" i="17"/>
  <c r="R15" i="15"/>
  <c r="B15" i="15"/>
  <c r="A16" i="15"/>
  <c r="S15" i="15"/>
  <c r="I15" i="15"/>
  <c r="H15" i="15"/>
  <c r="F15" i="15"/>
  <c r="G15" i="10"/>
  <c r="J15" i="10"/>
  <c r="A16" i="10"/>
  <c r="K15" i="10"/>
  <c r="E15" i="10"/>
  <c r="D15" i="17" s="1"/>
  <c r="D15" i="10"/>
  <c r="B15" i="10"/>
  <c r="C15" i="15" s="1"/>
  <c r="F16" i="16"/>
  <c r="I16" i="16"/>
  <c r="S16" i="16"/>
  <c r="R16" i="16"/>
  <c r="B16" i="16"/>
  <c r="H16" i="16"/>
  <c r="A17" i="16"/>
  <c r="C14" i="11"/>
  <c r="C14" i="16"/>
  <c r="B14" i="9"/>
  <c r="A15" i="9"/>
  <c r="H17" i="11"/>
  <c r="R17" i="11"/>
  <c r="B17" i="11"/>
  <c r="I17" i="11"/>
  <c r="S17" i="11"/>
  <c r="A18" i="11"/>
  <c r="D14" i="17"/>
  <c r="A16" i="14"/>
  <c r="S15" i="14"/>
  <c r="R15" i="14"/>
  <c r="B15" i="14"/>
  <c r="I15" i="14"/>
  <c r="H15" i="14"/>
  <c r="F15" i="14"/>
  <c r="C14" i="13"/>
  <c r="C14" i="14"/>
  <c r="F15" i="17"/>
  <c r="I15" i="17"/>
  <c r="H15" i="17"/>
  <c r="A16" i="17"/>
  <c r="S15" i="17"/>
  <c r="R15" i="17"/>
  <c r="B15" i="17"/>
  <c r="L10" i="17" l="1"/>
  <c r="E11" i="17" s="1"/>
  <c r="G11" i="17" s="1"/>
  <c r="J11" i="17" s="1"/>
  <c r="O10" i="11"/>
  <c r="E10" i="12"/>
  <c r="G10" i="12" s="1"/>
  <c r="J10" i="12" s="1"/>
  <c r="K10" i="12" s="1"/>
  <c r="O10" i="12" s="1"/>
  <c r="L11" i="11"/>
  <c r="E12" i="11" s="1"/>
  <c r="G12" i="11" s="1"/>
  <c r="J12" i="11" s="1"/>
  <c r="T12" i="11" s="1"/>
  <c r="L10" i="13"/>
  <c r="K10" i="13"/>
  <c r="E11" i="15"/>
  <c r="G11" i="15" s="1"/>
  <c r="J11" i="15" s="1"/>
  <c r="L11" i="15" s="1"/>
  <c r="D9" i="9"/>
  <c r="F9" i="9" s="1"/>
  <c r="D15" i="14"/>
  <c r="K10" i="16"/>
  <c r="O10" i="16" s="1"/>
  <c r="C15" i="14"/>
  <c r="D15" i="12"/>
  <c r="A17" i="17"/>
  <c r="S16" i="17"/>
  <c r="R16" i="17"/>
  <c r="B16" i="17"/>
  <c r="F16" i="17"/>
  <c r="I16" i="17"/>
  <c r="H16" i="17"/>
  <c r="A18" i="16"/>
  <c r="S17" i="16"/>
  <c r="R17" i="16"/>
  <c r="B17" i="16"/>
  <c r="H17" i="16"/>
  <c r="I17" i="16"/>
  <c r="A19" i="11"/>
  <c r="S18" i="11"/>
  <c r="H18" i="11"/>
  <c r="F18" i="11"/>
  <c r="I18" i="11"/>
  <c r="B18" i="11"/>
  <c r="R18" i="11"/>
  <c r="D15" i="11"/>
  <c r="D15" i="16"/>
  <c r="D15" i="15"/>
  <c r="C15" i="17"/>
  <c r="B15" i="9"/>
  <c r="A16" i="9"/>
  <c r="C15" i="10"/>
  <c r="A17" i="13"/>
  <c r="S16" i="13"/>
  <c r="R16" i="13"/>
  <c r="B16" i="13"/>
  <c r="F16" i="13"/>
  <c r="I16" i="13"/>
  <c r="H16" i="13"/>
  <c r="C15" i="11"/>
  <c r="C15" i="16"/>
  <c r="B16" i="15"/>
  <c r="A17" i="15"/>
  <c r="S16" i="15"/>
  <c r="R16" i="15"/>
  <c r="I16" i="15"/>
  <c r="H16" i="15"/>
  <c r="F16" i="15"/>
  <c r="L11" i="17"/>
  <c r="K11" i="17"/>
  <c r="R16" i="14"/>
  <c r="B16" i="14"/>
  <c r="I16" i="14"/>
  <c r="H16" i="14"/>
  <c r="A17" i="14"/>
  <c r="F16" i="14"/>
  <c r="S16" i="14"/>
  <c r="E16" i="10"/>
  <c r="D16" i="13" s="1"/>
  <c r="A17" i="10"/>
  <c r="D16" i="10"/>
  <c r="K16" i="10"/>
  <c r="G16" i="10"/>
  <c r="J16" i="10"/>
  <c r="B16" i="10"/>
  <c r="C16" i="17" s="1"/>
  <c r="C15" i="13"/>
  <c r="C15" i="12"/>
  <c r="F16" i="12"/>
  <c r="A17" i="12"/>
  <c r="H16" i="12"/>
  <c r="R16" i="12"/>
  <c r="B16" i="12"/>
  <c r="I16" i="12"/>
  <c r="S16" i="12"/>
  <c r="D15" i="13"/>
  <c r="E11" i="14"/>
  <c r="G11" i="14" s="1"/>
  <c r="J11" i="14" s="1"/>
  <c r="L10" i="12" l="1"/>
  <c r="E11" i="12" s="1"/>
  <c r="G11" i="12" s="1"/>
  <c r="J11" i="12" s="1"/>
  <c r="K11" i="15"/>
  <c r="O11" i="15" s="1"/>
  <c r="O10" i="13"/>
  <c r="E11" i="13"/>
  <c r="G11" i="13" s="1"/>
  <c r="J11" i="13" s="1"/>
  <c r="C10" i="9"/>
  <c r="D10" i="9" s="1"/>
  <c r="F10" i="9" s="1"/>
  <c r="E11" i="16"/>
  <c r="G11" i="16" s="1"/>
  <c r="J11" i="16" s="1"/>
  <c r="L11" i="16" s="1"/>
  <c r="L12" i="11"/>
  <c r="C16" i="12"/>
  <c r="K12" i="11"/>
  <c r="C16" i="14"/>
  <c r="D16" i="12"/>
  <c r="C16" i="10"/>
  <c r="D16" i="15"/>
  <c r="E12" i="17"/>
  <c r="G12" i="17" s="1"/>
  <c r="I17" i="17"/>
  <c r="H17" i="17"/>
  <c r="S17" i="17"/>
  <c r="R17" i="17"/>
  <c r="B17" i="17"/>
  <c r="A18" i="17"/>
  <c r="S17" i="12"/>
  <c r="R17" i="12"/>
  <c r="B17" i="12"/>
  <c r="I17" i="12"/>
  <c r="H17" i="12"/>
  <c r="A18" i="12"/>
  <c r="O11" i="17"/>
  <c r="C16" i="13"/>
  <c r="A17" i="9"/>
  <c r="B16" i="9"/>
  <c r="J17" i="10"/>
  <c r="A18" i="10"/>
  <c r="D17" i="10"/>
  <c r="G17" i="10"/>
  <c r="E17" i="10"/>
  <c r="D17" i="17" s="1"/>
  <c r="K17" i="10"/>
  <c r="B17" i="10"/>
  <c r="C17" i="17" s="1"/>
  <c r="I18" i="16"/>
  <c r="H18" i="16"/>
  <c r="S18" i="16"/>
  <c r="A19" i="16"/>
  <c r="R18" i="16"/>
  <c r="B18" i="16"/>
  <c r="F18" i="16"/>
  <c r="D16" i="14"/>
  <c r="R19" i="11"/>
  <c r="B19" i="11"/>
  <c r="I19" i="11"/>
  <c r="H19" i="11"/>
  <c r="A20" i="11"/>
  <c r="S19" i="11"/>
  <c r="F19" i="11"/>
  <c r="L11" i="14"/>
  <c r="K11" i="14"/>
  <c r="O11" i="14" s="1"/>
  <c r="C16" i="11"/>
  <c r="C16" i="16"/>
  <c r="C16" i="15"/>
  <c r="A18" i="15"/>
  <c r="B17" i="15"/>
  <c r="S17" i="15"/>
  <c r="R17" i="15"/>
  <c r="I17" i="15"/>
  <c r="H17" i="15"/>
  <c r="D16" i="11"/>
  <c r="D16" i="16"/>
  <c r="I17" i="14"/>
  <c r="A18" i="14"/>
  <c r="R17" i="14"/>
  <c r="H17" i="14"/>
  <c r="S17" i="14"/>
  <c r="B17" i="14"/>
  <c r="I17" i="13"/>
  <c r="H17" i="13"/>
  <c r="S17" i="13"/>
  <c r="A18" i="13"/>
  <c r="B17" i="13"/>
  <c r="R17" i="13"/>
  <c r="D16" i="17"/>
  <c r="I12" i="17" l="1"/>
  <c r="J12" i="17" s="1"/>
  <c r="E12" i="15"/>
  <c r="G12" i="15" s="1"/>
  <c r="J12" i="15" s="1"/>
  <c r="L12" i="15" s="1"/>
  <c r="E10" i="9"/>
  <c r="C11" i="9"/>
  <c r="D11" i="9" s="1"/>
  <c r="F11" i="9" s="1"/>
  <c r="E13" i="11"/>
  <c r="G13" i="11" s="1"/>
  <c r="J13" i="11" s="1"/>
  <c r="L13" i="11" s="1"/>
  <c r="K11" i="16"/>
  <c r="O11" i="16" s="1"/>
  <c r="L11" i="13"/>
  <c r="K11" i="13"/>
  <c r="O11" i="13" s="1"/>
  <c r="O12" i="11"/>
  <c r="D17" i="14"/>
  <c r="D17" i="13"/>
  <c r="L11" i="12"/>
  <c r="K11" i="12"/>
  <c r="O11" i="12" s="1"/>
  <c r="C17" i="15"/>
  <c r="C17" i="14"/>
  <c r="C17" i="10"/>
  <c r="C17" i="13"/>
  <c r="C17" i="12"/>
  <c r="D17" i="15"/>
  <c r="F18" i="13"/>
  <c r="A19" i="13"/>
  <c r="H18" i="13"/>
  <c r="I18" i="13"/>
  <c r="S18" i="13"/>
  <c r="R18" i="13"/>
  <c r="B18" i="13"/>
  <c r="E12" i="14"/>
  <c r="G12" i="14" s="1"/>
  <c r="J12" i="14" s="1"/>
  <c r="D17" i="12"/>
  <c r="D17" i="11"/>
  <c r="D17" i="16"/>
  <c r="I18" i="15"/>
  <c r="B18" i="15"/>
  <c r="A19" i="15"/>
  <c r="S18" i="15"/>
  <c r="R18" i="15"/>
  <c r="H18" i="15"/>
  <c r="F18" i="15"/>
  <c r="F19" i="16"/>
  <c r="A20" i="16"/>
  <c r="H19" i="16"/>
  <c r="R19" i="16"/>
  <c r="B19" i="16"/>
  <c r="I19" i="16"/>
  <c r="S19" i="16"/>
  <c r="F18" i="17"/>
  <c r="A19" i="17"/>
  <c r="H18" i="17"/>
  <c r="I18" i="17"/>
  <c r="S18" i="17"/>
  <c r="B18" i="17"/>
  <c r="R18" i="17"/>
  <c r="G18" i="10"/>
  <c r="E18" i="10"/>
  <c r="D18" i="15" s="1"/>
  <c r="A19" i="10"/>
  <c r="K18" i="10"/>
  <c r="J18" i="10"/>
  <c r="D18" i="10"/>
  <c r="B18" i="10"/>
  <c r="C18" i="15" s="1"/>
  <c r="A18" i="9"/>
  <c r="B17" i="9"/>
  <c r="H18" i="12"/>
  <c r="F18" i="12"/>
  <c r="R18" i="12"/>
  <c r="B18" i="12"/>
  <c r="I18" i="12"/>
  <c r="A19" i="12"/>
  <c r="S18" i="12"/>
  <c r="C17" i="11"/>
  <c r="C17" i="16"/>
  <c r="A19" i="14"/>
  <c r="S18" i="14"/>
  <c r="R18" i="14"/>
  <c r="B18" i="14"/>
  <c r="F18" i="14"/>
  <c r="H18" i="14"/>
  <c r="I18" i="14"/>
  <c r="F20" i="11"/>
  <c r="I20" i="11"/>
  <c r="H20" i="11"/>
  <c r="R20" i="11"/>
  <c r="S20" i="11"/>
  <c r="B20" i="11"/>
  <c r="A21" i="11"/>
  <c r="T12" i="17" l="1"/>
  <c r="K12" i="17"/>
  <c r="O12" i="17" s="1"/>
  <c r="L12" i="17"/>
  <c r="T12" i="15"/>
  <c r="K12" i="15"/>
  <c r="O12" i="15" s="1"/>
  <c r="E11" i="9"/>
  <c r="K13" i="11"/>
  <c r="O13" i="11" s="1"/>
  <c r="T13" i="11"/>
  <c r="E12" i="16"/>
  <c r="G12" i="16" s="1"/>
  <c r="J12" i="16" s="1"/>
  <c r="T12" i="16" s="1"/>
  <c r="E12" i="12"/>
  <c r="G12" i="12" s="1"/>
  <c r="J12" i="12" s="1"/>
  <c r="L12" i="12" s="1"/>
  <c r="E12" i="13"/>
  <c r="G12" i="13" s="1"/>
  <c r="J12" i="13" s="1"/>
  <c r="D18" i="12"/>
  <c r="D18" i="14"/>
  <c r="C18" i="14"/>
  <c r="C18" i="13"/>
  <c r="C18" i="17"/>
  <c r="D18" i="17"/>
  <c r="C12" i="9"/>
  <c r="D12" i="9" s="1"/>
  <c r="F12" i="9" s="1"/>
  <c r="C18" i="12"/>
  <c r="S19" i="17"/>
  <c r="R19" i="17"/>
  <c r="B19" i="17"/>
  <c r="I19" i="17"/>
  <c r="A20" i="17"/>
  <c r="H19" i="17"/>
  <c r="F19" i="17"/>
  <c r="S20" i="16"/>
  <c r="R20" i="16"/>
  <c r="B20" i="16"/>
  <c r="I20" i="16"/>
  <c r="F20" i="16"/>
  <c r="A21" i="16"/>
  <c r="H20" i="16"/>
  <c r="F19" i="15"/>
  <c r="B19" i="15"/>
  <c r="A20" i="15"/>
  <c r="S19" i="15"/>
  <c r="I19" i="15"/>
  <c r="H19" i="15"/>
  <c r="R19" i="15"/>
  <c r="D18" i="13"/>
  <c r="L12" i="14"/>
  <c r="K12" i="14"/>
  <c r="O12" i="14" s="1"/>
  <c r="T12" i="14"/>
  <c r="S19" i="13"/>
  <c r="R19" i="13"/>
  <c r="B19" i="13"/>
  <c r="I19" i="13"/>
  <c r="F19" i="13"/>
  <c r="H19" i="13"/>
  <c r="A20" i="13"/>
  <c r="A20" i="10"/>
  <c r="D19" i="10"/>
  <c r="K19" i="10"/>
  <c r="J19" i="10"/>
  <c r="G19" i="10"/>
  <c r="E19" i="10"/>
  <c r="D19" i="15" s="1"/>
  <c r="B19" i="10"/>
  <c r="C19" i="15" s="1"/>
  <c r="A20" i="12"/>
  <c r="S19" i="12"/>
  <c r="I19" i="12"/>
  <c r="R19" i="12"/>
  <c r="H19" i="12"/>
  <c r="F19" i="12"/>
  <c r="B19" i="12"/>
  <c r="C18" i="11"/>
  <c r="C18" i="16"/>
  <c r="D18" i="11"/>
  <c r="D18" i="16"/>
  <c r="I19" i="14"/>
  <c r="H19" i="14"/>
  <c r="S19" i="14"/>
  <c r="F19" i="14"/>
  <c r="R19" i="14"/>
  <c r="A20" i="14"/>
  <c r="B19" i="14"/>
  <c r="A19" i="9"/>
  <c r="B18" i="9"/>
  <c r="A22" i="11"/>
  <c r="S21" i="11"/>
  <c r="R21" i="11"/>
  <c r="B21" i="11"/>
  <c r="F21" i="11"/>
  <c r="I21" i="11"/>
  <c r="H21" i="11"/>
  <c r="C18" i="10"/>
  <c r="E13" i="17" l="1"/>
  <c r="G13" i="17" s="1"/>
  <c r="J13" i="17" s="1"/>
  <c r="T13" i="17" s="1"/>
  <c r="E13" i="15"/>
  <c r="G13" i="15" s="1"/>
  <c r="J13" i="15" s="1"/>
  <c r="T13" i="15" s="1"/>
  <c r="E14" i="11"/>
  <c r="G14" i="11" s="1"/>
  <c r="J14" i="11" s="1"/>
  <c r="K14" i="11" s="1"/>
  <c r="O14" i="11" s="1"/>
  <c r="T12" i="12"/>
  <c r="K12" i="16"/>
  <c r="O12" i="16" s="1"/>
  <c r="K12" i="12"/>
  <c r="O12" i="12" s="1"/>
  <c r="L12" i="16"/>
  <c r="K13" i="17"/>
  <c r="O13" i="17" s="1"/>
  <c r="L13" i="17"/>
  <c r="L12" i="13"/>
  <c r="K12" i="13"/>
  <c r="O12" i="13" s="1"/>
  <c r="T12" i="13"/>
  <c r="E13" i="14"/>
  <c r="G13" i="14" s="1"/>
  <c r="J13" i="14" s="1"/>
  <c r="K13" i="14" s="1"/>
  <c r="O13" i="14" s="1"/>
  <c r="E12" i="9"/>
  <c r="D19" i="14"/>
  <c r="D19" i="12"/>
  <c r="C19" i="10"/>
  <c r="D19" i="13"/>
  <c r="C19" i="14"/>
  <c r="A20" i="9"/>
  <c r="B19" i="9"/>
  <c r="F20" i="14"/>
  <c r="A21" i="14"/>
  <c r="H20" i="14"/>
  <c r="I20" i="14"/>
  <c r="S20" i="14"/>
  <c r="B20" i="14"/>
  <c r="R20" i="14"/>
  <c r="C19" i="13"/>
  <c r="C19" i="11"/>
  <c r="C19" i="16"/>
  <c r="H20" i="17"/>
  <c r="F20" i="17"/>
  <c r="R20" i="17"/>
  <c r="B20" i="17"/>
  <c r="S20" i="17"/>
  <c r="I20" i="17"/>
  <c r="A21" i="17"/>
  <c r="C19" i="17"/>
  <c r="C13" i="9"/>
  <c r="I22" i="11"/>
  <c r="H22" i="11"/>
  <c r="S22" i="11"/>
  <c r="R22" i="11"/>
  <c r="B22" i="11"/>
  <c r="A23" i="11"/>
  <c r="C19" i="12"/>
  <c r="H21" i="16"/>
  <c r="F21" i="16"/>
  <c r="R21" i="16"/>
  <c r="B21" i="16"/>
  <c r="A22" i="16"/>
  <c r="I21" i="16"/>
  <c r="S21" i="16"/>
  <c r="S20" i="15"/>
  <c r="B20" i="15"/>
  <c r="F20" i="15"/>
  <c r="H20" i="15"/>
  <c r="A21" i="15"/>
  <c r="R20" i="15"/>
  <c r="I20" i="15"/>
  <c r="D19" i="11"/>
  <c r="D19" i="16"/>
  <c r="H20" i="13"/>
  <c r="F20" i="13"/>
  <c r="R20" i="13"/>
  <c r="B20" i="13"/>
  <c r="S20" i="13"/>
  <c r="A21" i="13"/>
  <c r="I20" i="13"/>
  <c r="G20" i="10"/>
  <c r="K20" i="10"/>
  <c r="E20" i="10"/>
  <c r="D20" i="17" s="1"/>
  <c r="D20" i="10"/>
  <c r="B20" i="10"/>
  <c r="C20" i="17" s="1"/>
  <c r="A21" i="10"/>
  <c r="J20" i="10"/>
  <c r="D19" i="17"/>
  <c r="R20" i="12"/>
  <c r="B20" i="12"/>
  <c r="F20" i="12"/>
  <c r="S20" i="12"/>
  <c r="H20" i="12"/>
  <c r="A21" i="12"/>
  <c r="I20" i="12"/>
  <c r="L13" i="15" l="1"/>
  <c r="K13" i="15"/>
  <c r="O13" i="15" s="1"/>
  <c r="T14" i="11"/>
  <c r="E13" i="12"/>
  <c r="G13" i="12" s="1"/>
  <c r="J13" i="12" s="1"/>
  <c r="L13" i="12" s="1"/>
  <c r="L14" i="11"/>
  <c r="E15" i="11" s="1"/>
  <c r="G15" i="11" s="1"/>
  <c r="J15" i="11" s="1"/>
  <c r="L15" i="11" s="1"/>
  <c r="E13" i="16"/>
  <c r="G13" i="16" s="1"/>
  <c r="J13" i="16" s="1"/>
  <c r="K13" i="16" s="1"/>
  <c r="O13" i="16" s="1"/>
  <c r="E14" i="17"/>
  <c r="G14" i="17" s="1"/>
  <c r="J14" i="17" s="1"/>
  <c r="K14" i="17" s="1"/>
  <c r="O14" i="17" s="1"/>
  <c r="L13" i="14"/>
  <c r="E14" i="14" s="1"/>
  <c r="G14" i="14" s="1"/>
  <c r="J14" i="14" s="1"/>
  <c r="L14" i="14" s="1"/>
  <c r="T13" i="14"/>
  <c r="E13" i="13"/>
  <c r="G13" i="13" s="1"/>
  <c r="J13" i="13" s="1"/>
  <c r="D20" i="13"/>
  <c r="C20" i="14"/>
  <c r="C20" i="10"/>
  <c r="C20" i="12"/>
  <c r="A22" i="13"/>
  <c r="S21" i="13"/>
  <c r="I21" i="13"/>
  <c r="H21" i="13"/>
  <c r="B21" i="13"/>
  <c r="R21" i="13"/>
  <c r="F21" i="13"/>
  <c r="C20" i="11"/>
  <c r="C20" i="16"/>
  <c r="C20" i="13"/>
  <c r="C20" i="15"/>
  <c r="E13" i="9"/>
  <c r="D13" i="9"/>
  <c r="F13" i="9" s="1"/>
  <c r="B20" i="9"/>
  <c r="A21" i="9"/>
  <c r="F23" i="11"/>
  <c r="A24" i="11"/>
  <c r="H23" i="11"/>
  <c r="S23" i="11"/>
  <c r="R23" i="11"/>
  <c r="B23" i="11"/>
  <c r="I23" i="11"/>
  <c r="A22" i="17"/>
  <c r="S21" i="17"/>
  <c r="H21" i="17"/>
  <c r="F21" i="17"/>
  <c r="R21" i="17"/>
  <c r="B21" i="17"/>
  <c r="I21" i="17"/>
  <c r="D20" i="14"/>
  <c r="S21" i="14"/>
  <c r="R21" i="14"/>
  <c r="B21" i="14"/>
  <c r="I21" i="14"/>
  <c r="A22" i="14"/>
  <c r="H21" i="14"/>
  <c r="F21" i="14"/>
  <c r="D20" i="11"/>
  <c r="D20" i="16"/>
  <c r="B21" i="12"/>
  <c r="F21" i="12"/>
  <c r="A22" i="12"/>
  <c r="I21" i="12"/>
  <c r="R21" i="12"/>
  <c r="H21" i="12"/>
  <c r="S21" i="12"/>
  <c r="D20" i="12"/>
  <c r="H21" i="15"/>
  <c r="B21" i="15"/>
  <c r="F21" i="15"/>
  <c r="I21" i="15"/>
  <c r="A22" i="15"/>
  <c r="S21" i="15"/>
  <c r="R21" i="15"/>
  <c r="D20" i="15"/>
  <c r="E21" i="10"/>
  <c r="D21" i="13" s="1"/>
  <c r="A22" i="10"/>
  <c r="D21" i="10"/>
  <c r="K21" i="10"/>
  <c r="G21" i="10"/>
  <c r="J21" i="10"/>
  <c r="B21" i="10"/>
  <c r="C21" i="17" s="1"/>
  <c r="A23" i="16"/>
  <c r="S22" i="16"/>
  <c r="R22" i="16"/>
  <c r="B22" i="16"/>
  <c r="I22" i="16"/>
  <c r="H22" i="16"/>
  <c r="E14" i="15" l="1"/>
  <c r="G14" i="15" s="1"/>
  <c r="J14" i="15" s="1"/>
  <c r="T14" i="15" s="1"/>
  <c r="K13" i="12"/>
  <c r="O13" i="12" s="1"/>
  <c r="T13" i="12"/>
  <c r="L13" i="16"/>
  <c r="E14" i="16" s="1"/>
  <c r="G14" i="16" s="1"/>
  <c r="J14" i="16" s="1"/>
  <c r="K14" i="16" s="1"/>
  <c r="O14" i="16" s="1"/>
  <c r="T13" i="16"/>
  <c r="T14" i="17"/>
  <c r="T15" i="11"/>
  <c r="L14" i="17"/>
  <c r="E15" i="17" s="1"/>
  <c r="G15" i="17" s="1"/>
  <c r="J15" i="17" s="1"/>
  <c r="K15" i="17" s="1"/>
  <c r="O15" i="17" s="1"/>
  <c r="K15" i="11"/>
  <c r="E16" i="11" s="1"/>
  <c r="G16" i="11" s="1"/>
  <c r="J16" i="11" s="1"/>
  <c r="L16" i="11" s="1"/>
  <c r="T13" i="13"/>
  <c r="K13" i="13"/>
  <c r="O13" i="13" s="1"/>
  <c r="L13" i="13"/>
  <c r="C21" i="10"/>
  <c r="D21" i="12"/>
  <c r="T14" i="14"/>
  <c r="K14" i="14"/>
  <c r="O14" i="14" s="1"/>
  <c r="C21" i="13"/>
  <c r="C21" i="15"/>
  <c r="C21" i="12"/>
  <c r="D21" i="17"/>
  <c r="D21" i="15"/>
  <c r="C21" i="14"/>
  <c r="D21" i="14"/>
  <c r="C14" i="9"/>
  <c r="D14" i="9" s="1"/>
  <c r="F14" i="9" s="1"/>
  <c r="S24" i="11"/>
  <c r="R24" i="11"/>
  <c r="B24" i="11"/>
  <c r="I24" i="11"/>
  <c r="A25" i="11"/>
  <c r="H24" i="11"/>
  <c r="F24" i="11"/>
  <c r="R23" i="16"/>
  <c r="B23" i="16"/>
  <c r="I23" i="16"/>
  <c r="H23" i="16"/>
  <c r="A24" i="16"/>
  <c r="F23" i="16"/>
  <c r="S23" i="16"/>
  <c r="B22" i="15"/>
  <c r="R22" i="15"/>
  <c r="S22" i="15"/>
  <c r="I22" i="15"/>
  <c r="A23" i="15"/>
  <c r="H22" i="15"/>
  <c r="A23" i="12"/>
  <c r="B22" i="12"/>
  <c r="S22" i="12"/>
  <c r="R22" i="12"/>
  <c r="I22" i="12"/>
  <c r="H22" i="12"/>
  <c r="H22" i="14"/>
  <c r="R22" i="14"/>
  <c r="B22" i="14"/>
  <c r="A23" i="14"/>
  <c r="I22" i="14"/>
  <c r="S22" i="14"/>
  <c r="R22" i="13"/>
  <c r="B22" i="13"/>
  <c r="I22" i="13"/>
  <c r="H22" i="13"/>
  <c r="A23" i="13"/>
  <c r="S22" i="13"/>
  <c r="K22" i="10"/>
  <c r="J22" i="10"/>
  <c r="E22" i="10"/>
  <c r="D22" i="13" s="1"/>
  <c r="A23" i="10"/>
  <c r="D22" i="10"/>
  <c r="G22" i="10"/>
  <c r="B22" i="10"/>
  <c r="C22" i="15" s="1"/>
  <c r="A22" i="9"/>
  <c r="B21" i="9"/>
  <c r="C21" i="11"/>
  <c r="C21" i="16"/>
  <c r="D21" i="11"/>
  <c r="D21" i="16"/>
  <c r="R22" i="17"/>
  <c r="B22" i="17"/>
  <c r="I22" i="17"/>
  <c r="H22" i="17"/>
  <c r="A23" i="17"/>
  <c r="S22" i="17"/>
  <c r="L14" i="15" l="1"/>
  <c r="K14" i="15"/>
  <c r="O14" i="15" s="1"/>
  <c r="E14" i="12"/>
  <c r="G14" i="12" s="1"/>
  <c r="J14" i="12" s="1"/>
  <c r="K14" i="12" s="1"/>
  <c r="O14" i="12" s="1"/>
  <c r="L14" i="16"/>
  <c r="E15" i="16" s="1"/>
  <c r="G15" i="16" s="1"/>
  <c r="J15" i="16" s="1"/>
  <c r="L15" i="16" s="1"/>
  <c r="T14" i="16"/>
  <c r="L15" i="17"/>
  <c r="E16" i="17" s="1"/>
  <c r="G16" i="17" s="1"/>
  <c r="J16" i="17" s="1"/>
  <c r="K16" i="17" s="1"/>
  <c r="O16" i="17" s="1"/>
  <c r="O15" i="11"/>
  <c r="T16" i="11"/>
  <c r="K16" i="11"/>
  <c r="O16" i="11" s="1"/>
  <c r="T15" i="17"/>
  <c r="E14" i="13"/>
  <c r="G14" i="13" s="1"/>
  <c r="J14" i="13" s="1"/>
  <c r="T14" i="13" s="1"/>
  <c r="E15" i="14"/>
  <c r="G15" i="14" s="1"/>
  <c r="J15" i="14" s="1"/>
  <c r="T15" i="14" s="1"/>
  <c r="E14" i="9"/>
  <c r="C22" i="17"/>
  <c r="D22" i="14"/>
  <c r="C15" i="9"/>
  <c r="B22" i="9"/>
  <c r="A23" i="9"/>
  <c r="G23" i="10"/>
  <c r="J23" i="10"/>
  <c r="E23" i="10"/>
  <c r="D23" i="17" s="1"/>
  <c r="D23" i="10"/>
  <c r="K23" i="10"/>
  <c r="A24" i="10"/>
  <c r="B23" i="10"/>
  <c r="C23" i="13" s="1"/>
  <c r="C22" i="13"/>
  <c r="D22" i="12"/>
  <c r="F24" i="16"/>
  <c r="I24" i="16"/>
  <c r="H24" i="16"/>
  <c r="B24" i="16"/>
  <c r="A25" i="16"/>
  <c r="S24" i="16"/>
  <c r="R24" i="16"/>
  <c r="H25" i="11"/>
  <c r="F25" i="11"/>
  <c r="R25" i="11"/>
  <c r="B25" i="11"/>
  <c r="I25" i="11"/>
  <c r="A26" i="11"/>
  <c r="S25" i="11"/>
  <c r="I23" i="12"/>
  <c r="A24" i="12"/>
  <c r="S23" i="12"/>
  <c r="R23" i="12"/>
  <c r="H23" i="12"/>
  <c r="F23" i="12"/>
  <c r="B23" i="12"/>
  <c r="D22" i="15"/>
  <c r="C22" i="11"/>
  <c r="C22" i="16"/>
  <c r="R23" i="15"/>
  <c r="B23" i="15"/>
  <c r="A24" i="15"/>
  <c r="I23" i="15"/>
  <c r="S23" i="15"/>
  <c r="H23" i="15"/>
  <c r="F23" i="15"/>
  <c r="D22" i="11"/>
  <c r="D22" i="16"/>
  <c r="D22" i="17"/>
  <c r="A24" i="17"/>
  <c r="H23" i="17"/>
  <c r="F23" i="17"/>
  <c r="S23" i="17"/>
  <c r="B23" i="17"/>
  <c r="R23" i="17"/>
  <c r="I23" i="17"/>
  <c r="C22" i="10"/>
  <c r="A24" i="14"/>
  <c r="S23" i="14"/>
  <c r="R23" i="14"/>
  <c r="I23" i="14"/>
  <c r="H23" i="14"/>
  <c r="F23" i="14"/>
  <c r="B23" i="14"/>
  <c r="C22" i="12"/>
  <c r="F23" i="13"/>
  <c r="I23" i="13"/>
  <c r="S23" i="13"/>
  <c r="R23" i="13"/>
  <c r="B23" i="13"/>
  <c r="H23" i="13"/>
  <c r="A24" i="13"/>
  <c r="C22" i="14"/>
  <c r="E15" i="15" l="1"/>
  <c r="G15" i="15" s="1"/>
  <c r="J15" i="15" s="1"/>
  <c r="L15" i="15" s="1"/>
  <c r="L14" i="12"/>
  <c r="E15" i="12" s="1"/>
  <c r="G15" i="12" s="1"/>
  <c r="J15" i="12" s="1"/>
  <c r="L15" i="12" s="1"/>
  <c r="T14" i="12"/>
  <c r="K15" i="16"/>
  <c r="O15" i="16" s="1"/>
  <c r="D23" i="15"/>
  <c r="D23" i="13"/>
  <c r="D23" i="12"/>
  <c r="D23" i="14"/>
  <c r="D23" i="11"/>
  <c r="D23" i="16"/>
  <c r="C23" i="11"/>
  <c r="C23" i="16"/>
  <c r="C23" i="12"/>
  <c r="C23" i="14"/>
  <c r="C23" i="15"/>
  <c r="C23" i="10"/>
  <c r="C23" i="17"/>
  <c r="T15" i="16"/>
  <c r="T16" i="17"/>
  <c r="L16" i="17"/>
  <c r="E17" i="17" s="1"/>
  <c r="E17" i="11"/>
  <c r="K14" i="13"/>
  <c r="O14" i="13" s="1"/>
  <c r="K15" i="15"/>
  <c r="O15" i="15" s="1"/>
  <c r="T15" i="15"/>
  <c r="L14" i="13"/>
  <c r="K15" i="14"/>
  <c r="O15" i="14" s="1"/>
  <c r="L15" i="14"/>
  <c r="K15" i="12"/>
  <c r="O15" i="12" s="1"/>
  <c r="T15" i="12"/>
  <c r="I24" i="17"/>
  <c r="R24" i="17"/>
  <c r="H24" i="17"/>
  <c r="F24" i="17"/>
  <c r="B24" i="17"/>
  <c r="A25" i="17"/>
  <c r="S24" i="17"/>
  <c r="A27" i="11"/>
  <c r="S26" i="11"/>
  <c r="F26" i="11"/>
  <c r="R26" i="11"/>
  <c r="B26" i="11"/>
  <c r="I26" i="11"/>
  <c r="H26" i="11"/>
  <c r="A26" i="16"/>
  <c r="S25" i="16"/>
  <c r="R25" i="16"/>
  <c r="B25" i="16"/>
  <c r="F25" i="16"/>
  <c r="H25" i="16"/>
  <c r="I25" i="16"/>
  <c r="A25" i="13"/>
  <c r="S24" i="13"/>
  <c r="R24" i="13"/>
  <c r="B24" i="13"/>
  <c r="F24" i="13"/>
  <c r="I24" i="13"/>
  <c r="H24" i="13"/>
  <c r="E15" i="9"/>
  <c r="D15" i="9"/>
  <c r="F15" i="9" s="1"/>
  <c r="F24" i="12"/>
  <c r="H24" i="12"/>
  <c r="B24" i="12"/>
  <c r="S24" i="12"/>
  <c r="A25" i="12"/>
  <c r="I24" i="12"/>
  <c r="R24" i="12"/>
  <c r="H24" i="15"/>
  <c r="F24" i="15"/>
  <c r="S24" i="15"/>
  <c r="R24" i="15"/>
  <c r="I24" i="15"/>
  <c r="A25" i="15"/>
  <c r="B24" i="15"/>
  <c r="R24" i="14"/>
  <c r="B24" i="14"/>
  <c r="I24" i="14"/>
  <c r="H24" i="14"/>
  <c r="A25" i="14"/>
  <c r="F24" i="14"/>
  <c r="S24" i="14"/>
  <c r="E24" i="10"/>
  <c r="A25" i="10"/>
  <c r="D24" i="10"/>
  <c r="K24" i="10"/>
  <c r="G24" i="10"/>
  <c r="J24" i="10"/>
  <c r="B24" i="10"/>
  <c r="C24" i="17" s="1"/>
  <c r="B23" i="9"/>
  <c r="A24" i="9"/>
  <c r="F17" i="11" l="1"/>
  <c r="G17" i="11" s="1"/>
  <c r="J17" i="11" s="1"/>
  <c r="F17" i="17"/>
  <c r="G17" i="17" s="1"/>
  <c r="J17" i="17" s="1"/>
  <c r="E16" i="16"/>
  <c r="G16" i="16" s="1"/>
  <c r="J16" i="16" s="1"/>
  <c r="L16" i="16" s="1"/>
  <c r="C24" i="12"/>
  <c r="C24" i="15"/>
  <c r="C24" i="13"/>
  <c r="C24" i="10"/>
  <c r="C24" i="14"/>
  <c r="D24" i="11"/>
  <c r="D24" i="16"/>
  <c r="D24" i="14"/>
  <c r="D24" i="17"/>
  <c r="D24" i="15"/>
  <c r="D24" i="12"/>
  <c r="C24" i="11"/>
  <c r="C24" i="16"/>
  <c r="D24" i="13"/>
  <c r="E15" i="13"/>
  <c r="G15" i="13" s="1"/>
  <c r="J15" i="13" s="1"/>
  <c r="T15" i="13" s="1"/>
  <c r="E16" i="15"/>
  <c r="G16" i="15" s="1"/>
  <c r="J16" i="15" s="1"/>
  <c r="L16" i="15" s="1"/>
  <c r="E16" i="14"/>
  <c r="G16" i="14" s="1"/>
  <c r="J16" i="14" s="1"/>
  <c r="T16" i="14" s="1"/>
  <c r="E16" i="12"/>
  <c r="G16" i="12" s="1"/>
  <c r="J16" i="12" s="1"/>
  <c r="A25" i="9"/>
  <c r="B24" i="9"/>
  <c r="F25" i="14"/>
  <c r="I25" i="14"/>
  <c r="S25" i="14"/>
  <c r="B25" i="14"/>
  <c r="R25" i="14"/>
  <c r="A26" i="14"/>
  <c r="H25" i="14"/>
  <c r="A26" i="15"/>
  <c r="F25" i="15"/>
  <c r="H25" i="15"/>
  <c r="S25" i="15"/>
  <c r="R25" i="15"/>
  <c r="I25" i="15"/>
  <c r="B25" i="15"/>
  <c r="F25" i="17"/>
  <c r="R25" i="17"/>
  <c r="I25" i="17"/>
  <c r="H25" i="17"/>
  <c r="B25" i="17"/>
  <c r="S25" i="17"/>
  <c r="A26" i="17"/>
  <c r="J25" i="10"/>
  <c r="A26" i="10"/>
  <c r="D25" i="10"/>
  <c r="K25" i="10"/>
  <c r="E25" i="10"/>
  <c r="D25" i="12" s="1"/>
  <c r="G25" i="10"/>
  <c r="B25" i="10"/>
  <c r="C25" i="15" s="1"/>
  <c r="I25" i="13"/>
  <c r="H25" i="13"/>
  <c r="S25" i="13"/>
  <c r="A26" i="13"/>
  <c r="R25" i="13"/>
  <c r="F25" i="13"/>
  <c r="B25" i="13"/>
  <c r="S25" i="12"/>
  <c r="F25" i="12"/>
  <c r="H25" i="12"/>
  <c r="R25" i="12"/>
  <c r="B25" i="12"/>
  <c r="I25" i="12"/>
  <c r="A26" i="12"/>
  <c r="C16" i="9"/>
  <c r="I26" i="16"/>
  <c r="H26" i="16"/>
  <c r="S26" i="16"/>
  <c r="R26" i="16"/>
  <c r="B26" i="16"/>
  <c r="F26" i="16"/>
  <c r="A27" i="16"/>
  <c r="R27" i="11"/>
  <c r="B27" i="11"/>
  <c r="I27" i="11"/>
  <c r="H27" i="11"/>
  <c r="A28" i="11"/>
  <c r="F27" i="11"/>
  <c r="S27" i="11"/>
  <c r="T16" i="16" l="1"/>
  <c r="L17" i="17"/>
  <c r="T17" i="17"/>
  <c r="K17" i="17"/>
  <c r="O17" i="17" s="1"/>
  <c r="K17" i="11"/>
  <c r="O17" i="11" s="1"/>
  <c r="L17" i="11"/>
  <c r="T17" i="11"/>
  <c r="K16" i="16"/>
  <c r="O16" i="16" s="1"/>
  <c r="D25" i="13"/>
  <c r="D25" i="14"/>
  <c r="C25" i="14"/>
  <c r="C25" i="11"/>
  <c r="C25" i="16"/>
  <c r="C25" i="13"/>
  <c r="C25" i="10"/>
  <c r="C25" i="17"/>
  <c r="C25" i="12"/>
  <c r="D25" i="11"/>
  <c r="D25" i="16"/>
  <c r="D25" i="17"/>
  <c r="D25" i="15"/>
  <c r="K15" i="13"/>
  <c r="O15" i="13" s="1"/>
  <c r="L15" i="13"/>
  <c r="K16" i="15"/>
  <c r="O16" i="15" s="1"/>
  <c r="L16" i="14"/>
  <c r="T16" i="15"/>
  <c r="K16" i="14"/>
  <c r="O16" i="14" s="1"/>
  <c r="L16" i="12"/>
  <c r="K16" i="12"/>
  <c r="O16" i="12" s="1"/>
  <c r="T16" i="12"/>
  <c r="A27" i="14"/>
  <c r="S26" i="14"/>
  <c r="R26" i="14"/>
  <c r="B26" i="14"/>
  <c r="F26" i="14"/>
  <c r="I26" i="14"/>
  <c r="H26" i="14"/>
  <c r="G26" i="10"/>
  <c r="E26" i="10"/>
  <c r="D26" i="13" s="1"/>
  <c r="D26" i="10"/>
  <c r="J26" i="10"/>
  <c r="K26" i="10"/>
  <c r="A27" i="10"/>
  <c r="B26" i="10"/>
  <c r="C26" i="17" s="1"/>
  <c r="S26" i="17"/>
  <c r="A27" i="17"/>
  <c r="R26" i="17"/>
  <c r="I26" i="17"/>
  <c r="H26" i="17"/>
  <c r="B26" i="17"/>
  <c r="F26" i="17"/>
  <c r="F26" i="13"/>
  <c r="A27" i="13"/>
  <c r="H26" i="13"/>
  <c r="S26" i="13"/>
  <c r="R26" i="13"/>
  <c r="B26" i="13"/>
  <c r="I26" i="13"/>
  <c r="A26" i="9"/>
  <c r="B25" i="9"/>
  <c r="I26" i="15"/>
  <c r="S26" i="15"/>
  <c r="F26" i="15"/>
  <c r="R26" i="15"/>
  <c r="H26" i="15"/>
  <c r="B26" i="15"/>
  <c r="A27" i="15"/>
  <c r="E16" i="9"/>
  <c r="D16" i="9"/>
  <c r="F16" i="9" s="1"/>
  <c r="F28" i="11"/>
  <c r="I28" i="11"/>
  <c r="H28" i="11"/>
  <c r="A29" i="11"/>
  <c r="S28" i="11"/>
  <c r="B28" i="11"/>
  <c r="R28" i="11"/>
  <c r="F27" i="16"/>
  <c r="A28" i="16"/>
  <c r="H27" i="16"/>
  <c r="I27" i="16"/>
  <c r="R27" i="16"/>
  <c r="B27" i="16"/>
  <c r="S27" i="16"/>
  <c r="H26" i="12"/>
  <c r="F26" i="12"/>
  <c r="R26" i="12"/>
  <c r="I26" i="12"/>
  <c r="B26" i="12"/>
  <c r="A27" i="12"/>
  <c r="S26" i="12"/>
  <c r="E18" i="11" l="1"/>
  <c r="G18" i="11" s="1"/>
  <c r="J18" i="11" s="1"/>
  <c r="L18" i="11" s="1"/>
  <c r="E18" i="17"/>
  <c r="G18" i="17" s="1"/>
  <c r="J18" i="17" s="1"/>
  <c r="L18" i="17" s="1"/>
  <c r="E17" i="16"/>
  <c r="F17" i="16" s="1"/>
  <c r="G17" i="16" s="1"/>
  <c r="J17" i="16" s="1"/>
  <c r="C26" i="12"/>
  <c r="C26" i="13"/>
  <c r="K18" i="17"/>
  <c r="O18" i="17" s="1"/>
  <c r="D26" i="12"/>
  <c r="C26" i="15"/>
  <c r="C26" i="11"/>
  <c r="C26" i="16"/>
  <c r="D26" i="11"/>
  <c r="D26" i="16"/>
  <c r="C26" i="14"/>
  <c r="D26" i="15"/>
  <c r="D26" i="17"/>
  <c r="C26" i="10"/>
  <c r="D26" i="14"/>
  <c r="E16" i="13"/>
  <c r="G16" i="13" s="1"/>
  <c r="J16" i="13" s="1"/>
  <c r="L16" i="13" s="1"/>
  <c r="E17" i="15"/>
  <c r="E17" i="14"/>
  <c r="E17" i="12"/>
  <c r="C17" i="9"/>
  <c r="D17" i="9" s="1"/>
  <c r="F17" i="9" s="1"/>
  <c r="F27" i="15"/>
  <c r="A28" i="15"/>
  <c r="H27" i="15"/>
  <c r="I27" i="15"/>
  <c r="B27" i="15"/>
  <c r="S27" i="15"/>
  <c r="R27" i="15"/>
  <c r="S28" i="16"/>
  <c r="R28" i="16"/>
  <c r="B28" i="16"/>
  <c r="I28" i="16"/>
  <c r="A29" i="16"/>
  <c r="F28" i="16"/>
  <c r="H28" i="16"/>
  <c r="F27" i="12"/>
  <c r="R27" i="12"/>
  <c r="I27" i="12"/>
  <c r="B27" i="12"/>
  <c r="A28" i="12"/>
  <c r="S27" i="12"/>
  <c r="H27" i="12"/>
  <c r="H27" i="17"/>
  <c r="A28" i="17"/>
  <c r="S27" i="17"/>
  <c r="R27" i="17"/>
  <c r="I27" i="17"/>
  <c r="B27" i="17"/>
  <c r="F27" i="17"/>
  <c r="A30" i="11"/>
  <c r="S29" i="11"/>
  <c r="R29" i="11"/>
  <c r="B29" i="11"/>
  <c r="F29" i="11"/>
  <c r="I29" i="11"/>
  <c r="H29" i="11"/>
  <c r="S27" i="13"/>
  <c r="R27" i="13"/>
  <c r="B27" i="13"/>
  <c r="I27" i="13"/>
  <c r="H27" i="13"/>
  <c r="F27" i="13"/>
  <c r="A28" i="13"/>
  <c r="A27" i="9"/>
  <c r="B26" i="9"/>
  <c r="A28" i="10"/>
  <c r="D27" i="10"/>
  <c r="K27" i="10"/>
  <c r="J27" i="10"/>
  <c r="G27" i="10"/>
  <c r="E27" i="10"/>
  <c r="B27" i="10"/>
  <c r="C27" i="15" s="1"/>
  <c r="I27" i="14"/>
  <c r="H27" i="14"/>
  <c r="S27" i="14"/>
  <c r="B27" i="14"/>
  <c r="R27" i="14"/>
  <c r="A28" i="14"/>
  <c r="F27" i="14"/>
  <c r="T18" i="17" l="1"/>
  <c r="T18" i="11"/>
  <c r="K18" i="11"/>
  <c r="L17" i="16"/>
  <c r="K17" i="16"/>
  <c r="O17" i="16" s="1"/>
  <c r="T17" i="16"/>
  <c r="F17" i="15"/>
  <c r="G17" i="15" s="1"/>
  <c r="J17" i="15" s="1"/>
  <c r="F17" i="12"/>
  <c r="G17" i="12" s="1"/>
  <c r="J17" i="12" s="1"/>
  <c r="F17" i="14"/>
  <c r="G17" i="14" s="1"/>
  <c r="J17" i="14" s="1"/>
  <c r="E19" i="17"/>
  <c r="G19" i="17" s="1"/>
  <c r="J19" i="17" s="1"/>
  <c r="L19" i="17" s="1"/>
  <c r="K16" i="13"/>
  <c r="O16" i="13" s="1"/>
  <c r="T16" i="13"/>
  <c r="D27" i="11"/>
  <c r="D27" i="16"/>
  <c r="C27" i="11"/>
  <c r="C27" i="16"/>
  <c r="D27" i="13"/>
  <c r="C27" i="12"/>
  <c r="D27" i="14"/>
  <c r="D27" i="12"/>
  <c r="C27" i="14"/>
  <c r="D27" i="15"/>
  <c r="D27" i="17"/>
  <c r="C27" i="10"/>
  <c r="C27" i="13"/>
  <c r="C27" i="17"/>
  <c r="E17" i="9"/>
  <c r="C18" i="9"/>
  <c r="D18" i="9" s="1"/>
  <c r="F18" i="9" s="1"/>
  <c r="H29" i="16"/>
  <c r="F29" i="16"/>
  <c r="R29" i="16"/>
  <c r="B29" i="16"/>
  <c r="S29" i="16"/>
  <c r="I29" i="16"/>
  <c r="A30" i="16"/>
  <c r="F30" i="11"/>
  <c r="A31" i="11"/>
  <c r="S30" i="11"/>
  <c r="R30" i="11"/>
  <c r="I30" i="11"/>
  <c r="H30" i="11"/>
  <c r="B30" i="11"/>
  <c r="A29" i="17"/>
  <c r="S28" i="17"/>
  <c r="R28" i="17"/>
  <c r="I28" i="17"/>
  <c r="H28" i="17"/>
  <c r="F28" i="17"/>
  <c r="B28" i="17"/>
  <c r="B27" i="9"/>
  <c r="A28" i="9"/>
  <c r="S28" i="15"/>
  <c r="R28" i="15"/>
  <c r="B28" i="15"/>
  <c r="I28" i="15"/>
  <c r="A29" i="15"/>
  <c r="H28" i="15"/>
  <c r="F28" i="15"/>
  <c r="G28" i="10"/>
  <c r="K28" i="10"/>
  <c r="J28" i="10"/>
  <c r="A29" i="10"/>
  <c r="D28" i="10"/>
  <c r="B28" i="10"/>
  <c r="C28" i="17" s="1"/>
  <c r="E28" i="10"/>
  <c r="D28" i="12" s="1"/>
  <c r="R28" i="12"/>
  <c r="B28" i="12"/>
  <c r="F28" i="12"/>
  <c r="A29" i="12"/>
  <c r="S28" i="12"/>
  <c r="I28" i="12"/>
  <c r="H28" i="12"/>
  <c r="H28" i="13"/>
  <c r="F28" i="13"/>
  <c r="R28" i="13"/>
  <c r="B28" i="13"/>
  <c r="A29" i="13"/>
  <c r="S28" i="13"/>
  <c r="I28" i="13"/>
  <c r="F28" i="14"/>
  <c r="A29" i="14"/>
  <c r="H28" i="14"/>
  <c r="S28" i="14"/>
  <c r="I28" i="14"/>
  <c r="B28" i="14"/>
  <c r="R28" i="14"/>
  <c r="E18" i="16" l="1"/>
  <c r="G18" i="16" s="1"/>
  <c r="J18" i="16" s="1"/>
  <c r="K19" i="17"/>
  <c r="O19" i="17" s="1"/>
  <c r="O18" i="11"/>
  <c r="E19" i="11"/>
  <c r="G19" i="11" s="1"/>
  <c r="J19" i="11" s="1"/>
  <c r="E17" i="13"/>
  <c r="F17" i="13" s="1"/>
  <c r="G17" i="13" s="1"/>
  <c r="J17" i="13" s="1"/>
  <c r="T19" i="17"/>
  <c r="T17" i="14"/>
  <c r="K17" i="14"/>
  <c r="O17" i="14" s="1"/>
  <c r="L17" i="14"/>
  <c r="L17" i="12"/>
  <c r="T17" i="12"/>
  <c r="K17" i="12"/>
  <c r="O17" i="12" s="1"/>
  <c r="K17" i="15"/>
  <c r="O17" i="15" s="1"/>
  <c r="L17" i="15"/>
  <c r="T17" i="15"/>
  <c r="D28" i="15"/>
  <c r="D28" i="13"/>
  <c r="C28" i="14"/>
  <c r="C28" i="13"/>
  <c r="C28" i="10"/>
  <c r="C28" i="15"/>
  <c r="D28" i="14"/>
  <c r="C28" i="12"/>
  <c r="D28" i="11"/>
  <c r="D28" i="16"/>
  <c r="C28" i="11"/>
  <c r="C28" i="16"/>
  <c r="D28" i="17"/>
  <c r="E18" i="9"/>
  <c r="L18" i="16"/>
  <c r="K18" i="16"/>
  <c r="T18" i="16"/>
  <c r="H29" i="15"/>
  <c r="F29" i="15"/>
  <c r="R29" i="15"/>
  <c r="B29" i="15"/>
  <c r="S29" i="15"/>
  <c r="I29" i="15"/>
  <c r="A30" i="15"/>
  <c r="C19" i="9"/>
  <c r="B28" i="9"/>
  <c r="A29" i="9"/>
  <c r="A31" i="16"/>
  <c r="S30" i="16"/>
  <c r="I30" i="16"/>
  <c r="H30" i="16"/>
  <c r="F30" i="16"/>
  <c r="R30" i="16"/>
  <c r="B30" i="16"/>
  <c r="H29" i="12"/>
  <c r="F29" i="12"/>
  <c r="A30" i="12"/>
  <c r="S29" i="12"/>
  <c r="R29" i="12"/>
  <c r="I29" i="12"/>
  <c r="B29" i="12"/>
  <c r="R29" i="17"/>
  <c r="B29" i="17"/>
  <c r="A30" i="17"/>
  <c r="S29" i="17"/>
  <c r="I29" i="17"/>
  <c r="H29" i="17"/>
  <c r="F29" i="17"/>
  <c r="E29" i="10"/>
  <c r="D29" i="12" s="1"/>
  <c r="A30" i="10"/>
  <c r="D29" i="10"/>
  <c r="G29" i="10"/>
  <c r="K29" i="10"/>
  <c r="J29" i="10"/>
  <c r="B29" i="10"/>
  <c r="C29" i="12" s="1"/>
  <c r="S29" i="14"/>
  <c r="R29" i="14"/>
  <c r="B29" i="14"/>
  <c r="I29" i="14"/>
  <c r="H29" i="14"/>
  <c r="A30" i="14"/>
  <c r="F29" i="14"/>
  <c r="A30" i="13"/>
  <c r="S29" i="13"/>
  <c r="R29" i="13"/>
  <c r="B29" i="13"/>
  <c r="H29" i="13"/>
  <c r="I29" i="13"/>
  <c r="F29" i="13"/>
  <c r="S31" i="11"/>
  <c r="A32" i="11"/>
  <c r="R31" i="11"/>
  <c r="I31" i="11"/>
  <c r="H31" i="11"/>
  <c r="B31" i="11"/>
  <c r="F31" i="11"/>
  <c r="E18" i="14" l="1"/>
  <c r="G18" i="14" s="1"/>
  <c r="J18" i="14" s="1"/>
  <c r="T18" i="14" s="1"/>
  <c r="E18" i="15"/>
  <c r="G18" i="15" s="1"/>
  <c r="J18" i="15" s="1"/>
  <c r="K18" i="15" s="1"/>
  <c r="O18" i="15" s="1"/>
  <c r="E20" i="17"/>
  <c r="G20" i="17" s="1"/>
  <c r="J20" i="17" s="1"/>
  <c r="T20" i="17" s="1"/>
  <c r="E18" i="12"/>
  <c r="G18" i="12" s="1"/>
  <c r="J18" i="12" s="1"/>
  <c r="K18" i="12" s="1"/>
  <c r="O18" i="12" s="1"/>
  <c r="L19" i="11"/>
  <c r="K19" i="11"/>
  <c r="T19" i="11"/>
  <c r="T17" i="13"/>
  <c r="K17" i="13"/>
  <c r="O17" i="13" s="1"/>
  <c r="L17" i="13"/>
  <c r="D29" i="13"/>
  <c r="D29" i="14"/>
  <c r="C29" i="17"/>
  <c r="C29" i="11"/>
  <c r="C29" i="16"/>
  <c r="D29" i="11"/>
  <c r="D29" i="16"/>
  <c r="D29" i="17"/>
  <c r="C29" i="13"/>
  <c r="C29" i="14"/>
  <c r="C29" i="15"/>
  <c r="C29" i="10"/>
  <c r="D29" i="15"/>
  <c r="L18" i="14"/>
  <c r="K18" i="14"/>
  <c r="O18" i="14" s="1"/>
  <c r="O18" i="16"/>
  <c r="E19" i="16"/>
  <c r="G19" i="16" s="1"/>
  <c r="J19" i="16" s="1"/>
  <c r="H32" i="11"/>
  <c r="B32" i="11"/>
  <c r="A33" i="11"/>
  <c r="S32" i="11"/>
  <c r="R32" i="11"/>
  <c r="I32" i="11"/>
  <c r="F32" i="11"/>
  <c r="L20" i="17"/>
  <c r="K20" i="17"/>
  <c r="O20" i="17" s="1"/>
  <c r="A31" i="15"/>
  <c r="S30" i="15"/>
  <c r="I30" i="15"/>
  <c r="H30" i="15"/>
  <c r="F30" i="15"/>
  <c r="B30" i="15"/>
  <c r="R30" i="15"/>
  <c r="A30" i="9"/>
  <c r="B29" i="9"/>
  <c r="D19" i="9"/>
  <c r="F19" i="9" s="1"/>
  <c r="E19" i="9"/>
  <c r="A31" i="12"/>
  <c r="H30" i="12"/>
  <c r="F30" i="12"/>
  <c r="S30" i="12"/>
  <c r="I30" i="12"/>
  <c r="R30" i="12"/>
  <c r="B30" i="12"/>
  <c r="R31" i="16"/>
  <c r="B31" i="16"/>
  <c r="I31" i="16"/>
  <c r="H31" i="16"/>
  <c r="A32" i="16"/>
  <c r="S31" i="16"/>
  <c r="F31" i="16"/>
  <c r="R30" i="13"/>
  <c r="B30" i="13"/>
  <c r="I30" i="13"/>
  <c r="H30" i="13"/>
  <c r="A31" i="13"/>
  <c r="F30" i="13"/>
  <c r="S30" i="13"/>
  <c r="H30" i="14"/>
  <c r="F30" i="14"/>
  <c r="R30" i="14"/>
  <c r="B30" i="14"/>
  <c r="A31" i="14"/>
  <c r="I30" i="14"/>
  <c r="S30" i="14"/>
  <c r="K30" i="10"/>
  <c r="J30" i="10"/>
  <c r="E30" i="10"/>
  <c r="D30" i="14" s="1"/>
  <c r="G30" i="10"/>
  <c r="D30" i="10"/>
  <c r="A31" i="10"/>
  <c r="B30" i="10"/>
  <c r="C30" i="15" s="1"/>
  <c r="B30" i="17"/>
  <c r="A31" i="17"/>
  <c r="S30" i="17"/>
  <c r="R30" i="17"/>
  <c r="I30" i="17"/>
  <c r="H30" i="17"/>
  <c r="F30" i="17"/>
  <c r="T18" i="15" l="1"/>
  <c r="L18" i="12"/>
  <c r="E19" i="12" s="1"/>
  <c r="G19" i="12" s="1"/>
  <c r="J19" i="12" s="1"/>
  <c r="L18" i="15"/>
  <c r="E19" i="15" s="1"/>
  <c r="G19" i="15" s="1"/>
  <c r="J19" i="15" s="1"/>
  <c r="T19" i="15" s="1"/>
  <c r="T18" i="12"/>
  <c r="K19" i="15"/>
  <c r="O19" i="15" s="1"/>
  <c r="E18" i="13"/>
  <c r="G18" i="13" s="1"/>
  <c r="J18" i="13" s="1"/>
  <c r="L18" i="13" s="1"/>
  <c r="O19" i="11"/>
  <c r="E20" i="11"/>
  <c r="G20" i="11" s="1"/>
  <c r="J20" i="11" s="1"/>
  <c r="C30" i="17"/>
  <c r="C30" i="14"/>
  <c r="C30" i="12"/>
  <c r="D30" i="11"/>
  <c r="D30" i="16"/>
  <c r="D30" i="17"/>
  <c r="D30" i="12"/>
  <c r="D30" i="15"/>
  <c r="C30" i="11"/>
  <c r="C30" i="16"/>
  <c r="D30" i="13"/>
  <c r="C30" i="10"/>
  <c r="C30" i="13"/>
  <c r="E19" i="14"/>
  <c r="G19" i="14" s="1"/>
  <c r="J19" i="14" s="1"/>
  <c r="T19" i="14" s="1"/>
  <c r="K19" i="16"/>
  <c r="O19" i="16" s="1"/>
  <c r="L19" i="16"/>
  <c r="T19" i="16"/>
  <c r="L19" i="12"/>
  <c r="K19" i="12"/>
  <c r="O19" i="12" s="1"/>
  <c r="T19" i="12"/>
  <c r="A32" i="14"/>
  <c r="S31" i="14"/>
  <c r="R31" i="14"/>
  <c r="B31" i="14"/>
  <c r="F31" i="14"/>
  <c r="I31" i="14"/>
  <c r="H31" i="14"/>
  <c r="F32" i="16"/>
  <c r="I32" i="16"/>
  <c r="S32" i="16"/>
  <c r="R32" i="16"/>
  <c r="B32" i="16"/>
  <c r="H32" i="16"/>
  <c r="A33" i="16"/>
  <c r="C20" i="9"/>
  <c r="E21" i="17"/>
  <c r="G21" i="17" s="1"/>
  <c r="J21" i="17" s="1"/>
  <c r="B33" i="11"/>
  <c r="A34" i="11"/>
  <c r="S33" i="11"/>
  <c r="R33" i="11"/>
  <c r="I33" i="11"/>
  <c r="H33" i="11"/>
  <c r="F33" i="11"/>
  <c r="I31" i="12"/>
  <c r="R31" i="12"/>
  <c r="H31" i="12"/>
  <c r="F31" i="12"/>
  <c r="B31" i="12"/>
  <c r="S31" i="12"/>
  <c r="A32" i="12"/>
  <c r="A32" i="17"/>
  <c r="B31" i="17"/>
  <c r="S31" i="17"/>
  <c r="R31" i="17"/>
  <c r="I31" i="17"/>
  <c r="F31" i="17"/>
  <c r="H31" i="17"/>
  <c r="A31" i="9"/>
  <c r="B30" i="9"/>
  <c r="R31" i="15"/>
  <c r="B31" i="15"/>
  <c r="I31" i="15"/>
  <c r="H31" i="15"/>
  <c r="A32" i="15"/>
  <c r="S31" i="15"/>
  <c r="F31" i="15"/>
  <c r="F31" i="13"/>
  <c r="I31" i="13"/>
  <c r="A32" i="13"/>
  <c r="R31" i="13"/>
  <c r="B31" i="13"/>
  <c r="S31" i="13"/>
  <c r="H31" i="13"/>
  <c r="G31" i="10"/>
  <c r="J31" i="10"/>
  <c r="A32" i="10"/>
  <c r="K31" i="10"/>
  <c r="D31" i="10"/>
  <c r="E31" i="10"/>
  <c r="D31" i="15" s="1"/>
  <c r="B31" i="10"/>
  <c r="T18" i="13" l="1"/>
  <c r="L19" i="15"/>
  <c r="K18" i="13"/>
  <c r="O18" i="13" s="1"/>
  <c r="E20" i="15"/>
  <c r="G20" i="15" s="1"/>
  <c r="J20" i="15" s="1"/>
  <c r="T20" i="15" s="1"/>
  <c r="L20" i="11"/>
  <c r="T20" i="11"/>
  <c r="K20" i="11"/>
  <c r="D31" i="17"/>
  <c r="L19" i="14"/>
  <c r="K19" i="14"/>
  <c r="O19" i="14" s="1"/>
  <c r="C31" i="11"/>
  <c r="C31" i="16"/>
  <c r="D31" i="11"/>
  <c r="D31" i="16"/>
  <c r="C31" i="10"/>
  <c r="C31" i="13"/>
  <c r="C31" i="12"/>
  <c r="C31" i="14"/>
  <c r="D31" i="14"/>
  <c r="C31" i="15"/>
  <c r="C31" i="17"/>
  <c r="D31" i="13"/>
  <c r="D31" i="12"/>
  <c r="E19" i="13"/>
  <c r="G19" i="13" s="1"/>
  <c r="J19" i="13" s="1"/>
  <c r="K19" i="13" s="1"/>
  <c r="O19" i="13" s="1"/>
  <c r="E20" i="16"/>
  <c r="G20" i="16" s="1"/>
  <c r="J20" i="16" s="1"/>
  <c r="K20" i="16" s="1"/>
  <c r="O20" i="16" s="1"/>
  <c r="E20" i="12"/>
  <c r="G20" i="12" s="1"/>
  <c r="J20" i="12" s="1"/>
  <c r="L20" i="12" s="1"/>
  <c r="E32" i="10"/>
  <c r="D32" i="12" s="1"/>
  <c r="A33" i="10"/>
  <c r="D32" i="10"/>
  <c r="K32" i="10"/>
  <c r="G32" i="10"/>
  <c r="J32" i="10"/>
  <c r="B32" i="10"/>
  <c r="C32" i="14" s="1"/>
  <c r="B31" i="9"/>
  <c r="A32" i="9"/>
  <c r="I32" i="17"/>
  <c r="B32" i="17"/>
  <c r="A33" i="17"/>
  <c r="S32" i="17"/>
  <c r="H32" i="17"/>
  <c r="R32" i="17"/>
  <c r="F32" i="17"/>
  <c r="F32" i="15"/>
  <c r="I32" i="15"/>
  <c r="S32" i="15"/>
  <c r="R32" i="15"/>
  <c r="B32" i="15"/>
  <c r="H32" i="15"/>
  <c r="A33" i="15"/>
  <c r="R32" i="14"/>
  <c r="B32" i="14"/>
  <c r="I32" i="14"/>
  <c r="H32" i="14"/>
  <c r="A33" i="14"/>
  <c r="F32" i="14"/>
  <c r="S32" i="14"/>
  <c r="L21" i="17"/>
  <c r="K21" i="17"/>
  <c r="O21" i="17" s="1"/>
  <c r="T21" i="17"/>
  <c r="R33" i="16"/>
  <c r="A34" i="16"/>
  <c r="S33" i="16"/>
  <c r="B33" i="16"/>
  <c r="F33" i="16"/>
  <c r="H33" i="16"/>
  <c r="I33" i="16"/>
  <c r="R34" i="11"/>
  <c r="B34" i="11"/>
  <c r="A35" i="11"/>
  <c r="S34" i="11"/>
  <c r="I34" i="11"/>
  <c r="F34" i="11"/>
  <c r="H34" i="11"/>
  <c r="D20" i="9"/>
  <c r="F20" i="9" s="1"/>
  <c r="E20" i="9"/>
  <c r="A33" i="13"/>
  <c r="S32" i="13"/>
  <c r="R32" i="13"/>
  <c r="B32" i="13"/>
  <c r="F32" i="13"/>
  <c r="I32" i="13"/>
  <c r="H32" i="13"/>
  <c r="F32" i="12"/>
  <c r="R32" i="12"/>
  <c r="I32" i="12"/>
  <c r="H32" i="12"/>
  <c r="B32" i="12"/>
  <c r="A33" i="12"/>
  <c r="S32" i="12"/>
  <c r="K20" i="15" l="1"/>
  <c r="O20" i="15" s="1"/>
  <c r="L20" i="15"/>
  <c r="E21" i="11"/>
  <c r="G21" i="11" s="1"/>
  <c r="J21" i="11" s="1"/>
  <c r="O20" i="11"/>
  <c r="E20" i="14"/>
  <c r="G20" i="14" s="1"/>
  <c r="J20" i="14" s="1"/>
  <c r="L20" i="14" s="1"/>
  <c r="C32" i="10"/>
  <c r="C32" i="13"/>
  <c r="C32" i="15"/>
  <c r="C32" i="17"/>
  <c r="C32" i="12"/>
  <c r="D32" i="14"/>
  <c r="D32" i="15"/>
  <c r="D32" i="11"/>
  <c r="D32" i="16"/>
  <c r="D32" i="17"/>
  <c r="D32" i="13"/>
  <c r="C32" i="11"/>
  <c r="C32" i="16"/>
  <c r="T19" i="13"/>
  <c r="L19" i="13"/>
  <c r="E20" i="13" s="1"/>
  <c r="G20" i="13" s="1"/>
  <c r="J20" i="13" s="1"/>
  <c r="T20" i="16"/>
  <c r="L20" i="16"/>
  <c r="E21" i="16" s="1"/>
  <c r="G21" i="16" s="1"/>
  <c r="J21" i="16" s="1"/>
  <c r="L21" i="16" s="1"/>
  <c r="T20" i="12"/>
  <c r="K20" i="12"/>
  <c r="O20" i="12" s="1"/>
  <c r="I33" i="13"/>
  <c r="B33" i="13"/>
  <c r="A34" i="13"/>
  <c r="S33" i="13"/>
  <c r="R33" i="13"/>
  <c r="H33" i="13"/>
  <c r="F33" i="13"/>
  <c r="B34" i="16"/>
  <c r="A35" i="16"/>
  <c r="S34" i="16"/>
  <c r="R34" i="16"/>
  <c r="H34" i="16"/>
  <c r="F34" i="16"/>
  <c r="I34" i="16"/>
  <c r="J33" i="10"/>
  <c r="A34" i="10"/>
  <c r="D33" i="10"/>
  <c r="G33" i="10"/>
  <c r="E33" i="10"/>
  <c r="D33" i="17" s="1"/>
  <c r="K33" i="10"/>
  <c r="B33" i="10"/>
  <c r="C33" i="10" s="1"/>
  <c r="B35" i="11"/>
  <c r="A36" i="11"/>
  <c r="S35" i="11"/>
  <c r="R35" i="11"/>
  <c r="I35" i="11"/>
  <c r="H35" i="11"/>
  <c r="F35" i="11"/>
  <c r="S33" i="12"/>
  <c r="A34" i="12"/>
  <c r="R33" i="12"/>
  <c r="I33" i="12"/>
  <c r="H33" i="12"/>
  <c r="B33" i="12"/>
  <c r="F33" i="12"/>
  <c r="F33" i="14"/>
  <c r="I33" i="14"/>
  <c r="A34" i="14"/>
  <c r="H33" i="14"/>
  <c r="B33" i="14"/>
  <c r="S33" i="14"/>
  <c r="R33" i="14"/>
  <c r="A34" i="15"/>
  <c r="S33" i="15"/>
  <c r="R33" i="15"/>
  <c r="B33" i="15"/>
  <c r="F33" i="15"/>
  <c r="H33" i="15"/>
  <c r="I33" i="15"/>
  <c r="F33" i="17"/>
  <c r="B33" i="17"/>
  <c r="A34" i="17"/>
  <c r="S33" i="17"/>
  <c r="R33" i="17"/>
  <c r="I33" i="17"/>
  <c r="H33" i="17"/>
  <c r="C21" i="9"/>
  <c r="E22" i="17"/>
  <c r="B32" i="9"/>
  <c r="A33" i="9"/>
  <c r="E21" i="15" l="1"/>
  <c r="G21" i="15" s="1"/>
  <c r="J21" i="15" s="1"/>
  <c r="L21" i="15" s="1"/>
  <c r="T20" i="14"/>
  <c r="T21" i="11"/>
  <c r="K21" i="11"/>
  <c r="O21" i="11" s="1"/>
  <c r="L21" i="11"/>
  <c r="K20" i="14"/>
  <c r="O20" i="14" s="1"/>
  <c r="C33" i="17"/>
  <c r="C33" i="12"/>
  <c r="C33" i="14"/>
  <c r="D33" i="14"/>
  <c r="D33" i="13"/>
  <c r="D33" i="15"/>
  <c r="D33" i="12"/>
  <c r="C33" i="11"/>
  <c r="C33" i="16"/>
  <c r="C33" i="13"/>
  <c r="C33" i="15"/>
  <c r="T21" i="15"/>
  <c r="K21" i="15"/>
  <c r="O21" i="15" s="1"/>
  <c r="D33" i="11"/>
  <c r="D33" i="16"/>
  <c r="K20" i="13"/>
  <c r="O20" i="13" s="1"/>
  <c r="T20" i="13"/>
  <c r="L20" i="13"/>
  <c r="T21" i="16"/>
  <c r="K21" i="16"/>
  <c r="O21" i="16" s="1"/>
  <c r="E21" i="12"/>
  <c r="G21" i="12" s="1"/>
  <c r="J21" i="12" s="1"/>
  <c r="K21" i="12" s="1"/>
  <c r="O21" i="12" s="1"/>
  <c r="E21" i="9"/>
  <c r="D21" i="9"/>
  <c r="F21" i="9" s="1"/>
  <c r="I34" i="15"/>
  <c r="H34" i="15"/>
  <c r="S34" i="15"/>
  <c r="A35" i="15"/>
  <c r="R34" i="15"/>
  <c r="B34" i="15"/>
  <c r="F34" i="15"/>
  <c r="G34" i="10"/>
  <c r="E34" i="10"/>
  <c r="D34" i="12" s="1"/>
  <c r="A35" i="10"/>
  <c r="K34" i="10"/>
  <c r="J34" i="10"/>
  <c r="D34" i="10"/>
  <c r="B34" i="10"/>
  <c r="C34" i="14" s="1"/>
  <c r="H34" i="12"/>
  <c r="A35" i="12"/>
  <c r="S34" i="12"/>
  <c r="R34" i="12"/>
  <c r="I34" i="12"/>
  <c r="F34" i="12"/>
  <c r="B34" i="12"/>
  <c r="A35" i="14"/>
  <c r="S34" i="14"/>
  <c r="R34" i="14"/>
  <c r="B34" i="14"/>
  <c r="F34" i="14"/>
  <c r="H34" i="14"/>
  <c r="I34" i="14"/>
  <c r="A37" i="11"/>
  <c r="B36" i="11"/>
  <c r="S36" i="11"/>
  <c r="F36" i="11"/>
  <c r="I36" i="11"/>
  <c r="H36" i="11"/>
  <c r="R36" i="11"/>
  <c r="S34" i="17"/>
  <c r="B34" i="17"/>
  <c r="F34" i="17"/>
  <c r="A35" i="17"/>
  <c r="I34" i="17"/>
  <c r="R34" i="17"/>
  <c r="H34" i="17"/>
  <c r="A36" i="16"/>
  <c r="B35" i="16"/>
  <c r="S35" i="16"/>
  <c r="F35" i="16"/>
  <c r="H35" i="16"/>
  <c r="I35" i="16"/>
  <c r="R35" i="16"/>
  <c r="F22" i="17"/>
  <c r="G22" i="17" s="1"/>
  <c r="J22" i="17" s="1"/>
  <c r="A34" i="9"/>
  <c r="B33" i="9"/>
  <c r="F34" i="13"/>
  <c r="B34" i="13"/>
  <c r="A35" i="13"/>
  <c r="S34" i="13"/>
  <c r="R34" i="13"/>
  <c r="I34" i="13"/>
  <c r="H34" i="13"/>
  <c r="E22" i="11" l="1"/>
  <c r="F22" i="11"/>
  <c r="G22" i="11"/>
  <c r="J22" i="11" s="1"/>
  <c r="E21" i="14"/>
  <c r="G21" i="14" s="1"/>
  <c r="J21" i="14" s="1"/>
  <c r="K21" i="14" s="1"/>
  <c r="O21" i="14" s="1"/>
  <c r="E22" i="15"/>
  <c r="F22" i="15" s="1"/>
  <c r="G22" i="15" s="1"/>
  <c r="J22" i="15" s="1"/>
  <c r="K22" i="15" s="1"/>
  <c r="O22" i="15" s="1"/>
  <c r="D34" i="14"/>
  <c r="D34" i="17"/>
  <c r="D34" i="13"/>
  <c r="C34" i="17"/>
  <c r="C34" i="13"/>
  <c r="C34" i="11"/>
  <c r="C34" i="16"/>
  <c r="D34" i="11"/>
  <c r="D34" i="16"/>
  <c r="C34" i="10"/>
  <c r="D34" i="15"/>
  <c r="C34" i="15"/>
  <c r="C34" i="12"/>
  <c r="E21" i="13"/>
  <c r="G21" i="13" s="1"/>
  <c r="J21" i="13" s="1"/>
  <c r="K21" i="13" s="1"/>
  <c r="E22" i="16"/>
  <c r="F22" i="16" s="1"/>
  <c r="G22" i="16" s="1"/>
  <c r="J22" i="16" s="1"/>
  <c r="T21" i="12"/>
  <c r="L21" i="12"/>
  <c r="E22" i="12" s="1"/>
  <c r="F22" i="12" s="1"/>
  <c r="G22" i="12" s="1"/>
  <c r="J22" i="12" s="1"/>
  <c r="C22" i="9"/>
  <c r="D22" i="9" s="1"/>
  <c r="L22" i="17"/>
  <c r="K22" i="17"/>
  <c r="O22" i="17" s="1"/>
  <c r="T22" i="17"/>
  <c r="S35" i="13"/>
  <c r="B35" i="13"/>
  <c r="A36" i="13"/>
  <c r="R35" i="13"/>
  <c r="I35" i="13"/>
  <c r="H35" i="13"/>
  <c r="F35" i="13"/>
  <c r="A35" i="9"/>
  <c r="B34" i="9"/>
  <c r="I36" i="16"/>
  <c r="B36" i="16"/>
  <c r="F36" i="16"/>
  <c r="R36" i="16"/>
  <c r="H36" i="16"/>
  <c r="S36" i="16"/>
  <c r="A37" i="16"/>
  <c r="R35" i="14"/>
  <c r="I35" i="14"/>
  <c r="H35" i="14"/>
  <c r="F35" i="14"/>
  <c r="A36" i="14"/>
  <c r="B35" i="14"/>
  <c r="S35" i="14"/>
  <c r="A36" i="10"/>
  <c r="D35" i="10"/>
  <c r="K35" i="10"/>
  <c r="J35" i="10"/>
  <c r="G35" i="10"/>
  <c r="E35" i="10"/>
  <c r="D35" i="13" s="1"/>
  <c r="B35" i="10"/>
  <c r="C35" i="10" s="1"/>
  <c r="H35" i="17"/>
  <c r="B35" i="17"/>
  <c r="F35" i="17"/>
  <c r="S35" i="17"/>
  <c r="A36" i="17"/>
  <c r="I35" i="17"/>
  <c r="R35" i="17"/>
  <c r="A36" i="12"/>
  <c r="S35" i="12"/>
  <c r="R35" i="12"/>
  <c r="I35" i="12"/>
  <c r="H35" i="12"/>
  <c r="B35" i="12"/>
  <c r="F35" i="12"/>
  <c r="F35" i="15"/>
  <c r="A36" i="15"/>
  <c r="H35" i="15"/>
  <c r="R35" i="15"/>
  <c r="B35" i="15"/>
  <c r="S35" i="15"/>
  <c r="I35" i="15"/>
  <c r="I37" i="11"/>
  <c r="B37" i="11"/>
  <c r="F37" i="11"/>
  <c r="S37" i="11"/>
  <c r="R37" i="11"/>
  <c r="A38" i="11"/>
  <c r="H37" i="11"/>
  <c r="T21" i="14" l="1"/>
  <c r="T22" i="11"/>
  <c r="L22" i="11"/>
  <c r="K22" i="11"/>
  <c r="O22" i="11" s="1"/>
  <c r="L21" i="14"/>
  <c r="E22" i="14" s="1"/>
  <c r="F22" i="14" s="1"/>
  <c r="G22" i="14" s="1"/>
  <c r="J22" i="14" s="1"/>
  <c r="L22" i="14" s="1"/>
  <c r="L22" i="15"/>
  <c r="E23" i="15" s="1"/>
  <c r="G23" i="15" s="1"/>
  <c r="J23" i="15" s="1"/>
  <c r="T22" i="15"/>
  <c r="D35" i="12"/>
  <c r="C35" i="14"/>
  <c r="T22" i="16"/>
  <c r="E23" i="17"/>
  <c r="G23" i="17" s="1"/>
  <c r="J23" i="17" s="1"/>
  <c r="C35" i="15"/>
  <c r="D35" i="11"/>
  <c r="D35" i="16"/>
  <c r="C35" i="11"/>
  <c r="C35" i="16"/>
  <c r="C35" i="12"/>
  <c r="C35" i="17"/>
  <c r="C35" i="13"/>
  <c r="D35" i="15"/>
  <c r="D35" i="17"/>
  <c r="D35" i="14"/>
  <c r="L21" i="13"/>
  <c r="E22" i="13" s="1"/>
  <c r="F22" i="13" s="1"/>
  <c r="G22" i="13" s="1"/>
  <c r="J22" i="13" s="1"/>
  <c r="T21" i="13"/>
  <c r="O21" i="13"/>
  <c r="K22" i="16"/>
  <c r="O22" i="16" s="1"/>
  <c r="L22" i="16"/>
  <c r="E22" i="9"/>
  <c r="K22" i="12"/>
  <c r="O22" i="12" s="1"/>
  <c r="T22" i="12"/>
  <c r="L22" i="12"/>
  <c r="F22" i="9"/>
  <c r="C23" i="9"/>
  <c r="E23" i="9" s="1"/>
  <c r="B36" i="17"/>
  <c r="A37" i="17"/>
  <c r="S36" i="17"/>
  <c r="I36" i="17"/>
  <c r="H36" i="17"/>
  <c r="F36" i="17"/>
  <c r="R36" i="17"/>
  <c r="R36" i="14"/>
  <c r="I36" i="14"/>
  <c r="H36" i="14"/>
  <c r="B36" i="14"/>
  <c r="S36" i="14"/>
  <c r="F36" i="14"/>
  <c r="A37" i="14"/>
  <c r="H36" i="13"/>
  <c r="B36" i="13"/>
  <c r="A37" i="13"/>
  <c r="S36" i="13"/>
  <c r="R36" i="13"/>
  <c r="F36" i="13"/>
  <c r="I36" i="13"/>
  <c r="G36" i="10"/>
  <c r="K36" i="10"/>
  <c r="B36" i="10"/>
  <c r="E36" i="10"/>
  <c r="D36" i="17" s="1"/>
  <c r="D36" i="10"/>
  <c r="A37" i="10"/>
  <c r="J36" i="10"/>
  <c r="B35" i="9"/>
  <c r="A36" i="9"/>
  <c r="R36" i="12"/>
  <c r="B36" i="12"/>
  <c r="A37" i="12"/>
  <c r="S36" i="12"/>
  <c r="I36" i="12"/>
  <c r="H36" i="12"/>
  <c r="F36" i="12"/>
  <c r="S36" i="15"/>
  <c r="R36" i="15"/>
  <c r="B36" i="15"/>
  <c r="I36" i="15"/>
  <c r="F36" i="15"/>
  <c r="A37" i="15"/>
  <c r="H36" i="15"/>
  <c r="F38" i="11"/>
  <c r="B38" i="11"/>
  <c r="A39" i="11"/>
  <c r="I38" i="11"/>
  <c r="H38" i="11"/>
  <c r="S38" i="11"/>
  <c r="R38" i="11"/>
  <c r="F37" i="16"/>
  <c r="B37" i="16"/>
  <c r="I37" i="16"/>
  <c r="H37" i="16"/>
  <c r="R37" i="16"/>
  <c r="A38" i="16"/>
  <c r="S37" i="16"/>
  <c r="E23" i="11" l="1"/>
  <c r="G23" i="11" s="1"/>
  <c r="J23" i="11" s="1"/>
  <c r="K22" i="14"/>
  <c r="O22" i="14" s="1"/>
  <c r="T22" i="14"/>
  <c r="E23" i="14"/>
  <c r="G23" i="14" s="1"/>
  <c r="J23" i="14" s="1"/>
  <c r="L23" i="14" s="1"/>
  <c r="D36" i="12"/>
  <c r="D36" i="13"/>
  <c r="D36" i="15"/>
  <c r="E23" i="16"/>
  <c r="G23" i="16" s="1"/>
  <c r="J23" i="16" s="1"/>
  <c r="T23" i="16" s="1"/>
  <c r="C36" i="11"/>
  <c r="C36" i="16"/>
  <c r="C36" i="12"/>
  <c r="C36" i="15"/>
  <c r="C36" i="10"/>
  <c r="C36" i="17"/>
  <c r="K23" i="15"/>
  <c r="O23" i="15" s="1"/>
  <c r="L23" i="15"/>
  <c r="T23" i="15"/>
  <c r="K23" i="17"/>
  <c r="O23" i="17" s="1"/>
  <c r="L23" i="17"/>
  <c r="T23" i="17"/>
  <c r="C36" i="14"/>
  <c r="D36" i="11"/>
  <c r="D36" i="16"/>
  <c r="C36" i="13"/>
  <c r="D36" i="14"/>
  <c r="E23" i="12"/>
  <c r="G23" i="12" s="1"/>
  <c r="J23" i="12" s="1"/>
  <c r="D23" i="9"/>
  <c r="F23" i="9" s="1"/>
  <c r="L22" i="13"/>
  <c r="T22" i="13"/>
  <c r="K22" i="13"/>
  <c r="O22" i="13" s="1"/>
  <c r="S38" i="16"/>
  <c r="B38" i="16"/>
  <c r="R38" i="16"/>
  <c r="F38" i="16"/>
  <c r="A39" i="16"/>
  <c r="H38" i="16"/>
  <c r="I38" i="16"/>
  <c r="H37" i="15"/>
  <c r="F37" i="15"/>
  <c r="R37" i="15"/>
  <c r="B37" i="15"/>
  <c r="A38" i="15"/>
  <c r="I37" i="15"/>
  <c r="S37" i="15"/>
  <c r="B37" i="13"/>
  <c r="A38" i="13"/>
  <c r="S37" i="13"/>
  <c r="F37" i="13"/>
  <c r="I37" i="13"/>
  <c r="H37" i="13"/>
  <c r="R37" i="13"/>
  <c r="S39" i="11"/>
  <c r="B39" i="11"/>
  <c r="F39" i="11"/>
  <c r="R39" i="11"/>
  <c r="A40" i="11"/>
  <c r="I39" i="11"/>
  <c r="H39" i="11"/>
  <c r="B36" i="9"/>
  <c r="A37" i="9"/>
  <c r="R37" i="14"/>
  <c r="B37" i="14"/>
  <c r="A38" i="14"/>
  <c r="S37" i="14"/>
  <c r="I37" i="14"/>
  <c r="H37" i="14"/>
  <c r="F37" i="14"/>
  <c r="R37" i="17"/>
  <c r="B37" i="17"/>
  <c r="H37" i="17"/>
  <c r="F37" i="17"/>
  <c r="S37" i="17"/>
  <c r="A38" i="17"/>
  <c r="I37" i="17"/>
  <c r="B37" i="12"/>
  <c r="A38" i="12"/>
  <c r="S37" i="12"/>
  <c r="R37" i="12"/>
  <c r="I37" i="12"/>
  <c r="F37" i="12"/>
  <c r="H37" i="12"/>
  <c r="E37" i="10"/>
  <c r="D37" i="17" s="1"/>
  <c r="A38" i="10"/>
  <c r="D37" i="10"/>
  <c r="K37" i="10"/>
  <c r="J37" i="10"/>
  <c r="G37" i="10"/>
  <c r="B37" i="10"/>
  <c r="C37" i="15" s="1"/>
  <c r="K23" i="14" l="1"/>
  <c r="O23" i="14" s="1"/>
  <c r="T23" i="11"/>
  <c r="K23" i="11"/>
  <c r="O23" i="11" s="1"/>
  <c r="L23" i="11"/>
  <c r="E24" i="11" s="1"/>
  <c r="G24" i="11" s="1"/>
  <c r="J24" i="11" s="1"/>
  <c r="T23" i="14"/>
  <c r="C37" i="10"/>
  <c r="K23" i="16"/>
  <c r="O23" i="16" s="1"/>
  <c r="L23" i="16"/>
  <c r="C37" i="12"/>
  <c r="C24" i="9"/>
  <c r="D24" i="9" s="1"/>
  <c r="F24" i="9" s="1"/>
  <c r="E24" i="15"/>
  <c r="G24" i="15" s="1"/>
  <c r="J24" i="15" s="1"/>
  <c r="T24" i="15" s="1"/>
  <c r="E24" i="17"/>
  <c r="G24" i="17" s="1"/>
  <c r="J24" i="17" s="1"/>
  <c r="C37" i="11"/>
  <c r="C37" i="16"/>
  <c r="D37" i="11"/>
  <c r="D37" i="16"/>
  <c r="D37" i="12"/>
  <c r="C37" i="13"/>
  <c r="D37" i="15"/>
  <c r="D37" i="13"/>
  <c r="E24" i="14"/>
  <c r="G24" i="14" s="1"/>
  <c r="J24" i="14" s="1"/>
  <c r="C37" i="14"/>
  <c r="K23" i="12"/>
  <c r="O23" i="12" s="1"/>
  <c r="T23" i="12"/>
  <c r="L23" i="12"/>
  <c r="C37" i="17"/>
  <c r="D37" i="14"/>
  <c r="E23" i="13"/>
  <c r="G23" i="13" s="1"/>
  <c r="J23" i="13" s="1"/>
  <c r="R38" i="13"/>
  <c r="B38" i="13"/>
  <c r="F38" i="13"/>
  <c r="S38" i="13"/>
  <c r="I38" i="13"/>
  <c r="H38" i="13"/>
  <c r="A39" i="13"/>
  <c r="A39" i="14"/>
  <c r="S38" i="14"/>
  <c r="R38" i="14"/>
  <c r="I38" i="14"/>
  <c r="H38" i="14"/>
  <c r="F38" i="14"/>
  <c r="B38" i="14"/>
  <c r="H39" i="16"/>
  <c r="A40" i="16"/>
  <c r="I39" i="16"/>
  <c r="F39" i="16"/>
  <c r="S39" i="16"/>
  <c r="R39" i="16"/>
  <c r="B39" i="16"/>
  <c r="A39" i="17"/>
  <c r="R38" i="17"/>
  <c r="H38" i="17"/>
  <c r="S38" i="17"/>
  <c r="B38" i="17"/>
  <c r="I38" i="17"/>
  <c r="F38" i="17"/>
  <c r="A39" i="15"/>
  <c r="S38" i="15"/>
  <c r="F38" i="15"/>
  <c r="B38" i="15"/>
  <c r="H38" i="15"/>
  <c r="R38" i="15"/>
  <c r="I38" i="15"/>
  <c r="A39" i="12"/>
  <c r="B38" i="12"/>
  <c r="S38" i="12"/>
  <c r="R38" i="12"/>
  <c r="I38" i="12"/>
  <c r="H38" i="12"/>
  <c r="F38" i="12"/>
  <c r="K38" i="10"/>
  <c r="J38" i="10"/>
  <c r="E38" i="10"/>
  <c r="D38" i="14" s="1"/>
  <c r="A39" i="10"/>
  <c r="D38" i="10"/>
  <c r="G38" i="10"/>
  <c r="B38" i="10"/>
  <c r="C38" i="12" s="1"/>
  <c r="H40" i="11"/>
  <c r="A41" i="11"/>
  <c r="R40" i="11"/>
  <c r="I40" i="11"/>
  <c r="F40" i="11"/>
  <c r="B40" i="11"/>
  <c r="S40" i="11"/>
  <c r="A38" i="9"/>
  <c r="B37" i="9"/>
  <c r="K24" i="11" l="1"/>
  <c r="O24" i="11" s="1"/>
  <c r="L24" i="11"/>
  <c r="T24" i="11"/>
  <c r="E25" i="11"/>
  <c r="G25" i="11" s="1"/>
  <c r="J25" i="11" s="1"/>
  <c r="K25" i="11" s="1"/>
  <c r="O25" i="11" s="1"/>
  <c r="E24" i="16"/>
  <c r="G24" i="16" s="1"/>
  <c r="J24" i="16" s="1"/>
  <c r="T24" i="16" s="1"/>
  <c r="E24" i="9"/>
  <c r="C38" i="17"/>
  <c r="E24" i="12"/>
  <c r="G24" i="12" s="1"/>
  <c r="J24" i="12" s="1"/>
  <c r="T24" i="12" s="1"/>
  <c r="D38" i="13"/>
  <c r="D38" i="12"/>
  <c r="D38" i="17"/>
  <c r="C38" i="10"/>
  <c r="C38" i="14"/>
  <c r="D38" i="15"/>
  <c r="K24" i="15"/>
  <c r="O24" i="15" s="1"/>
  <c r="L24" i="15"/>
  <c r="K23" i="13"/>
  <c r="O23" i="13" s="1"/>
  <c r="L23" i="13"/>
  <c r="T23" i="13"/>
  <c r="D38" i="11"/>
  <c r="D38" i="16"/>
  <c r="K24" i="14"/>
  <c r="O24" i="14" s="1"/>
  <c r="T24" i="14"/>
  <c r="L24" i="14"/>
  <c r="C38" i="11"/>
  <c r="C38" i="16"/>
  <c r="C38" i="15"/>
  <c r="C38" i="13"/>
  <c r="K24" i="17"/>
  <c r="O24" i="17" s="1"/>
  <c r="L24" i="17"/>
  <c r="T24" i="17"/>
  <c r="C25" i="9"/>
  <c r="E25" i="9" s="1"/>
  <c r="B39" i="13"/>
  <c r="F39" i="13"/>
  <c r="A40" i="13"/>
  <c r="I39" i="13"/>
  <c r="H39" i="13"/>
  <c r="S39" i="13"/>
  <c r="R39" i="13"/>
  <c r="I39" i="12"/>
  <c r="B39" i="12"/>
  <c r="A40" i="12"/>
  <c r="S39" i="12"/>
  <c r="R39" i="12"/>
  <c r="F39" i="12"/>
  <c r="H39" i="12"/>
  <c r="A40" i="17"/>
  <c r="S39" i="17"/>
  <c r="R39" i="17"/>
  <c r="B39" i="17"/>
  <c r="F39" i="17"/>
  <c r="I39" i="17"/>
  <c r="H39" i="17"/>
  <c r="R39" i="15"/>
  <c r="B39" i="15"/>
  <c r="I39" i="15"/>
  <c r="H39" i="15"/>
  <c r="A40" i="15"/>
  <c r="F39" i="15"/>
  <c r="S39" i="15"/>
  <c r="A40" i="14"/>
  <c r="S39" i="14"/>
  <c r="R39" i="14"/>
  <c r="I39" i="14"/>
  <c r="H39" i="14"/>
  <c r="F39" i="14"/>
  <c r="B39" i="14"/>
  <c r="A39" i="9"/>
  <c r="B38" i="9"/>
  <c r="A42" i="11"/>
  <c r="S41" i="11"/>
  <c r="I41" i="11"/>
  <c r="R41" i="11"/>
  <c r="H41" i="11"/>
  <c r="B41" i="11"/>
  <c r="F41" i="11"/>
  <c r="G39" i="10"/>
  <c r="J39" i="10"/>
  <c r="E39" i="10"/>
  <c r="D39" i="13" s="1"/>
  <c r="D39" i="10"/>
  <c r="K39" i="10"/>
  <c r="A40" i="10"/>
  <c r="B39" i="10"/>
  <c r="C39" i="13" s="1"/>
  <c r="F40" i="16"/>
  <c r="H40" i="16"/>
  <c r="S40" i="16"/>
  <c r="R40" i="16"/>
  <c r="I40" i="16"/>
  <c r="B40" i="16"/>
  <c r="A41" i="16"/>
  <c r="L25" i="11" l="1"/>
  <c r="E26" i="11" s="1"/>
  <c r="G26" i="11" s="1"/>
  <c r="J26" i="11" s="1"/>
  <c r="L26" i="11" s="1"/>
  <c r="T25" i="11"/>
  <c r="L24" i="16"/>
  <c r="K24" i="16"/>
  <c r="O24" i="16" s="1"/>
  <c r="K24" i="12"/>
  <c r="O24" i="12" s="1"/>
  <c r="L24" i="12"/>
  <c r="K26" i="11"/>
  <c r="O26" i="11" s="1"/>
  <c r="E25" i="15"/>
  <c r="G25" i="15" s="1"/>
  <c r="J25" i="15" s="1"/>
  <c r="T25" i="15" s="1"/>
  <c r="C39" i="17"/>
  <c r="E25" i="17"/>
  <c r="G25" i="17" s="1"/>
  <c r="J25" i="17" s="1"/>
  <c r="K25" i="17" s="1"/>
  <c r="O25" i="17" s="1"/>
  <c r="D39" i="11"/>
  <c r="D39" i="16"/>
  <c r="C39" i="14"/>
  <c r="D39" i="14"/>
  <c r="C39" i="15"/>
  <c r="D39" i="15"/>
  <c r="C39" i="11"/>
  <c r="C39" i="16"/>
  <c r="E24" i="13"/>
  <c r="G24" i="13" s="1"/>
  <c r="J24" i="13" s="1"/>
  <c r="D39" i="17"/>
  <c r="C39" i="10"/>
  <c r="D39" i="12"/>
  <c r="C39" i="12"/>
  <c r="E25" i="14"/>
  <c r="G25" i="14" s="1"/>
  <c r="J25" i="14" s="1"/>
  <c r="D25" i="9"/>
  <c r="F25" i="9" s="1"/>
  <c r="R42" i="11"/>
  <c r="B42" i="11"/>
  <c r="I42" i="11"/>
  <c r="A43" i="11"/>
  <c r="F42" i="11"/>
  <c r="S42" i="11"/>
  <c r="H42" i="11"/>
  <c r="F40" i="15"/>
  <c r="I40" i="15"/>
  <c r="H40" i="15"/>
  <c r="B40" i="15"/>
  <c r="A41" i="15"/>
  <c r="S40" i="15"/>
  <c r="R40" i="15"/>
  <c r="S41" i="16"/>
  <c r="R41" i="16"/>
  <c r="B41" i="16"/>
  <c r="F41" i="16"/>
  <c r="H41" i="16"/>
  <c r="I41" i="16"/>
  <c r="A42" i="16"/>
  <c r="I40" i="14"/>
  <c r="B40" i="14"/>
  <c r="A41" i="14"/>
  <c r="S40" i="14"/>
  <c r="R40" i="14"/>
  <c r="H40" i="14"/>
  <c r="F40" i="14"/>
  <c r="F40" i="12"/>
  <c r="B40" i="12"/>
  <c r="A41" i="12"/>
  <c r="S40" i="12"/>
  <c r="I40" i="12"/>
  <c r="H40" i="12"/>
  <c r="R40" i="12"/>
  <c r="A41" i="13"/>
  <c r="B40" i="13"/>
  <c r="S40" i="13"/>
  <c r="R40" i="13"/>
  <c r="H40" i="13"/>
  <c r="I40" i="13"/>
  <c r="F40" i="13"/>
  <c r="E40" i="10"/>
  <c r="D40" i="14" s="1"/>
  <c r="A41" i="10"/>
  <c r="D40" i="10"/>
  <c r="K40" i="10"/>
  <c r="G40" i="10"/>
  <c r="J40" i="10"/>
  <c r="B40" i="10"/>
  <c r="C40" i="12" s="1"/>
  <c r="B39" i="9"/>
  <c r="A40" i="9"/>
  <c r="I40" i="17"/>
  <c r="H40" i="17"/>
  <c r="S40" i="17"/>
  <c r="F40" i="17"/>
  <c r="A41" i="17"/>
  <c r="R40" i="17"/>
  <c r="B40" i="17"/>
  <c r="T26" i="11" l="1"/>
  <c r="E25" i="12"/>
  <c r="G25" i="12" s="1"/>
  <c r="J25" i="12" s="1"/>
  <c r="L25" i="12" s="1"/>
  <c r="E25" i="16"/>
  <c r="G25" i="16" s="1"/>
  <c r="J25" i="16" s="1"/>
  <c r="L25" i="16" s="1"/>
  <c r="E27" i="11"/>
  <c r="G27" i="11" s="1"/>
  <c r="J27" i="11" s="1"/>
  <c r="L27" i="11" s="1"/>
  <c r="L25" i="15"/>
  <c r="K25" i="15"/>
  <c r="O25" i="15" s="1"/>
  <c r="L25" i="17"/>
  <c r="E26" i="17" s="1"/>
  <c r="G26" i="17" s="1"/>
  <c r="J26" i="17" s="1"/>
  <c r="T25" i="17"/>
  <c r="D40" i="13"/>
  <c r="C40" i="17"/>
  <c r="C40" i="14"/>
  <c r="K24" i="13"/>
  <c r="O24" i="13" s="1"/>
  <c r="T24" i="13"/>
  <c r="L24" i="13"/>
  <c r="C40" i="15"/>
  <c r="C40" i="10"/>
  <c r="C40" i="11"/>
  <c r="C40" i="16"/>
  <c r="C40" i="13"/>
  <c r="D40" i="11"/>
  <c r="D40" i="16"/>
  <c r="D40" i="12"/>
  <c r="K25" i="14"/>
  <c r="O25" i="14" s="1"/>
  <c r="T25" i="14"/>
  <c r="L25" i="14"/>
  <c r="D40" i="15"/>
  <c r="D40" i="17"/>
  <c r="C26" i="9"/>
  <c r="D26" i="9" s="1"/>
  <c r="F26" i="9" s="1"/>
  <c r="F41" i="14"/>
  <c r="B41" i="14"/>
  <c r="A42" i="14"/>
  <c r="S41" i="14"/>
  <c r="R41" i="14"/>
  <c r="I41" i="14"/>
  <c r="H41" i="14"/>
  <c r="A42" i="15"/>
  <c r="S41" i="15"/>
  <c r="R41" i="15"/>
  <c r="B41" i="15"/>
  <c r="F41" i="15"/>
  <c r="H41" i="15"/>
  <c r="I41" i="15"/>
  <c r="I41" i="13"/>
  <c r="A42" i="13"/>
  <c r="H41" i="13"/>
  <c r="R41" i="13"/>
  <c r="B41" i="13"/>
  <c r="S41" i="13"/>
  <c r="F41" i="13"/>
  <c r="F41" i="17"/>
  <c r="A42" i="17"/>
  <c r="H41" i="17"/>
  <c r="I41" i="17"/>
  <c r="B41" i="17"/>
  <c r="S41" i="17"/>
  <c r="R41" i="17"/>
  <c r="S41" i="12"/>
  <c r="B41" i="12"/>
  <c r="F41" i="12"/>
  <c r="R41" i="12"/>
  <c r="H41" i="12"/>
  <c r="I41" i="12"/>
  <c r="A42" i="12"/>
  <c r="H42" i="16"/>
  <c r="S42" i="16"/>
  <c r="I42" i="16"/>
  <c r="A43" i="16"/>
  <c r="R42" i="16"/>
  <c r="F42" i="16"/>
  <c r="B42" i="16"/>
  <c r="J41" i="10"/>
  <c r="A42" i="10"/>
  <c r="D41" i="10"/>
  <c r="K41" i="10"/>
  <c r="E41" i="10"/>
  <c r="D41" i="14" s="1"/>
  <c r="G41" i="10"/>
  <c r="B41" i="10"/>
  <c r="C41" i="17" s="1"/>
  <c r="B40" i="9"/>
  <c r="A41" i="9"/>
  <c r="F43" i="11"/>
  <c r="S43" i="11"/>
  <c r="I43" i="11"/>
  <c r="A44" i="11"/>
  <c r="R43" i="11"/>
  <c r="H43" i="11"/>
  <c r="B43" i="11"/>
  <c r="T25" i="12" l="1"/>
  <c r="K25" i="12"/>
  <c r="O25" i="12" s="1"/>
  <c r="K25" i="16"/>
  <c r="O25" i="16" s="1"/>
  <c r="T25" i="16"/>
  <c r="K27" i="11"/>
  <c r="O27" i="11" s="1"/>
  <c r="T27" i="11"/>
  <c r="E26" i="15"/>
  <c r="G26" i="15" s="1"/>
  <c r="J26" i="15" s="1"/>
  <c r="K26" i="15" s="1"/>
  <c r="O26" i="15" s="1"/>
  <c r="C41" i="10"/>
  <c r="C41" i="12"/>
  <c r="E26" i="14"/>
  <c r="G26" i="14" s="1"/>
  <c r="J26" i="14" s="1"/>
  <c r="T26" i="14" s="1"/>
  <c r="K26" i="17"/>
  <c r="O26" i="17" s="1"/>
  <c r="T26" i="17"/>
  <c r="L26" i="17"/>
  <c r="D41" i="11"/>
  <c r="D41" i="16"/>
  <c r="D41" i="12"/>
  <c r="D41" i="15"/>
  <c r="C41" i="13"/>
  <c r="C41" i="11"/>
  <c r="C41" i="16"/>
  <c r="D41" i="17"/>
  <c r="D41" i="13"/>
  <c r="C41" i="14"/>
  <c r="C41" i="15"/>
  <c r="E25" i="13"/>
  <c r="G25" i="13" s="1"/>
  <c r="J25" i="13" s="1"/>
  <c r="E26" i="9"/>
  <c r="F42" i="13"/>
  <c r="H42" i="13"/>
  <c r="B42" i="13"/>
  <c r="S42" i="13"/>
  <c r="R42" i="13"/>
  <c r="I42" i="13"/>
  <c r="A43" i="13"/>
  <c r="G42" i="10"/>
  <c r="E42" i="10"/>
  <c r="D42" i="13" s="1"/>
  <c r="D42" i="10"/>
  <c r="J42" i="10"/>
  <c r="K42" i="10"/>
  <c r="A43" i="10"/>
  <c r="B42" i="10"/>
  <c r="C42" i="10" s="1"/>
  <c r="A42" i="9"/>
  <c r="B41" i="9"/>
  <c r="A44" i="16"/>
  <c r="B43" i="16"/>
  <c r="S43" i="16"/>
  <c r="R43" i="16"/>
  <c r="F43" i="16"/>
  <c r="I43" i="16"/>
  <c r="H43" i="16"/>
  <c r="H42" i="12"/>
  <c r="B42" i="12"/>
  <c r="F42" i="12"/>
  <c r="A43" i="12"/>
  <c r="I42" i="12"/>
  <c r="R42" i="12"/>
  <c r="S42" i="12"/>
  <c r="I42" i="15"/>
  <c r="H42" i="15"/>
  <c r="S42" i="15"/>
  <c r="R42" i="15"/>
  <c r="B42" i="15"/>
  <c r="A43" i="15"/>
  <c r="F42" i="15"/>
  <c r="S42" i="14"/>
  <c r="B42" i="14"/>
  <c r="A43" i="14"/>
  <c r="R42" i="14"/>
  <c r="I42" i="14"/>
  <c r="H42" i="14"/>
  <c r="F42" i="14"/>
  <c r="S42" i="17"/>
  <c r="R42" i="17"/>
  <c r="B42" i="17"/>
  <c r="I42" i="17"/>
  <c r="F42" i="17"/>
  <c r="A43" i="17"/>
  <c r="H42" i="17"/>
  <c r="C27" i="9"/>
  <c r="A45" i="11"/>
  <c r="S44" i="11"/>
  <c r="B44" i="11"/>
  <c r="F44" i="11"/>
  <c r="I44" i="11"/>
  <c r="H44" i="11"/>
  <c r="R44" i="11"/>
  <c r="E26" i="12" l="1"/>
  <c r="G26" i="12" s="1"/>
  <c r="J26" i="12" s="1"/>
  <c r="L26" i="12" s="1"/>
  <c r="E26" i="16"/>
  <c r="G26" i="16" s="1"/>
  <c r="J26" i="16" s="1"/>
  <c r="L26" i="16" s="1"/>
  <c r="E28" i="11"/>
  <c r="G28" i="11" s="1"/>
  <c r="J28" i="11" s="1"/>
  <c r="L28" i="11" s="1"/>
  <c r="L26" i="15"/>
  <c r="E27" i="15" s="1"/>
  <c r="G27" i="15" s="1"/>
  <c r="J27" i="15" s="1"/>
  <c r="T26" i="15"/>
  <c r="L26" i="14"/>
  <c r="K26" i="14"/>
  <c r="O26" i="14" s="1"/>
  <c r="D42" i="12"/>
  <c r="C42" i="13"/>
  <c r="C42" i="14"/>
  <c r="D42" i="14"/>
  <c r="C42" i="12"/>
  <c r="C42" i="15"/>
  <c r="D42" i="17"/>
  <c r="D42" i="15"/>
  <c r="K26" i="16"/>
  <c r="O26" i="16" s="1"/>
  <c r="C42" i="11"/>
  <c r="C42" i="16"/>
  <c r="D42" i="11"/>
  <c r="D42" i="16"/>
  <c r="K25" i="13"/>
  <c r="O25" i="13" s="1"/>
  <c r="T25" i="13"/>
  <c r="L25" i="13"/>
  <c r="E27" i="17"/>
  <c r="G27" i="17" s="1"/>
  <c r="J27" i="17" s="1"/>
  <c r="C42" i="17"/>
  <c r="B43" i="12"/>
  <c r="F43" i="12"/>
  <c r="S43" i="12"/>
  <c r="R43" i="12"/>
  <c r="I43" i="12"/>
  <c r="H43" i="12"/>
  <c r="A44" i="12"/>
  <c r="A44" i="10"/>
  <c r="D43" i="10"/>
  <c r="K43" i="10"/>
  <c r="J43" i="10"/>
  <c r="G43" i="10"/>
  <c r="E43" i="10"/>
  <c r="D43" i="13" s="1"/>
  <c r="B43" i="10"/>
  <c r="C43" i="10" s="1"/>
  <c r="I45" i="11"/>
  <c r="H45" i="11"/>
  <c r="S45" i="11"/>
  <c r="A46" i="11"/>
  <c r="R45" i="11"/>
  <c r="F45" i="11"/>
  <c r="B45" i="11"/>
  <c r="H43" i="17"/>
  <c r="F43" i="17"/>
  <c r="R43" i="17"/>
  <c r="B43" i="17"/>
  <c r="S43" i="17"/>
  <c r="I43" i="17"/>
  <c r="A44" i="17"/>
  <c r="H43" i="14"/>
  <c r="B43" i="14"/>
  <c r="A44" i="14"/>
  <c r="S43" i="14"/>
  <c r="I43" i="14"/>
  <c r="F43" i="14"/>
  <c r="R43" i="14"/>
  <c r="F43" i="15"/>
  <c r="A44" i="15"/>
  <c r="H43" i="15"/>
  <c r="I43" i="15"/>
  <c r="R43" i="15"/>
  <c r="S43" i="15"/>
  <c r="B43" i="15"/>
  <c r="S43" i="13"/>
  <c r="F43" i="13"/>
  <c r="H43" i="13"/>
  <c r="A44" i="13"/>
  <c r="I43" i="13"/>
  <c r="R43" i="13"/>
  <c r="B43" i="13"/>
  <c r="R44" i="16"/>
  <c r="B44" i="16"/>
  <c r="I44" i="16"/>
  <c r="H44" i="16"/>
  <c r="S44" i="16"/>
  <c r="A45" i="16"/>
  <c r="F44" i="16"/>
  <c r="A43" i="9"/>
  <c r="B42" i="9"/>
  <c r="E27" i="9"/>
  <c r="D27" i="9"/>
  <c r="F27" i="9" s="1"/>
  <c r="T26" i="16" l="1"/>
  <c r="T26" i="12"/>
  <c r="K26" i="12"/>
  <c r="O26" i="12" s="1"/>
  <c r="K28" i="11"/>
  <c r="O28" i="11" s="1"/>
  <c r="T28" i="11"/>
  <c r="C43" i="14"/>
  <c r="E27" i="14"/>
  <c r="G27" i="14" s="1"/>
  <c r="J27" i="14" s="1"/>
  <c r="K27" i="14" s="1"/>
  <c r="O27" i="14" s="1"/>
  <c r="E29" i="11"/>
  <c r="G29" i="11" s="1"/>
  <c r="J29" i="11" s="1"/>
  <c r="C43" i="13"/>
  <c r="C43" i="15"/>
  <c r="E26" i="13"/>
  <c r="G26" i="13" s="1"/>
  <c r="J26" i="13" s="1"/>
  <c r="L26" i="13" s="1"/>
  <c r="D43" i="15"/>
  <c r="D43" i="12"/>
  <c r="D43" i="17"/>
  <c r="E27" i="16"/>
  <c r="G27" i="16" s="1"/>
  <c r="J27" i="16" s="1"/>
  <c r="K27" i="15"/>
  <c r="O27" i="15" s="1"/>
  <c r="T27" i="15"/>
  <c r="L27" i="15"/>
  <c r="C43" i="11"/>
  <c r="C43" i="16"/>
  <c r="C43" i="17"/>
  <c r="D43" i="11"/>
  <c r="D43" i="16"/>
  <c r="C43" i="12"/>
  <c r="K27" i="17"/>
  <c r="O27" i="17" s="1"/>
  <c r="L27" i="17"/>
  <c r="T27" i="17"/>
  <c r="D43" i="14"/>
  <c r="C28" i="9"/>
  <c r="E28" i="9" s="1"/>
  <c r="S44" i="15"/>
  <c r="R44" i="15"/>
  <c r="B44" i="15"/>
  <c r="I44" i="15"/>
  <c r="A45" i="15"/>
  <c r="H44" i="15"/>
  <c r="F44" i="15"/>
  <c r="B44" i="14"/>
  <c r="A45" i="14"/>
  <c r="S44" i="14"/>
  <c r="F44" i="14"/>
  <c r="R44" i="14"/>
  <c r="I44" i="14"/>
  <c r="H44" i="14"/>
  <c r="G44" i="10"/>
  <c r="K44" i="10"/>
  <c r="J44" i="10"/>
  <c r="A45" i="10"/>
  <c r="D44" i="10"/>
  <c r="B44" i="10"/>
  <c r="C44" i="10" s="1"/>
  <c r="E44" i="10"/>
  <c r="D44" i="15" s="1"/>
  <c r="B43" i="9"/>
  <c r="A44" i="9"/>
  <c r="A45" i="17"/>
  <c r="S44" i="17"/>
  <c r="I44" i="17"/>
  <c r="H44" i="17"/>
  <c r="F44" i="17"/>
  <c r="B44" i="17"/>
  <c r="R44" i="17"/>
  <c r="H44" i="13"/>
  <c r="F44" i="13"/>
  <c r="R44" i="13"/>
  <c r="I44" i="13"/>
  <c r="B44" i="13"/>
  <c r="S44" i="13"/>
  <c r="A45" i="13"/>
  <c r="F45" i="16"/>
  <c r="B45" i="16"/>
  <c r="I45" i="16"/>
  <c r="A46" i="16"/>
  <c r="H45" i="16"/>
  <c r="S45" i="16"/>
  <c r="R45" i="16"/>
  <c r="F46" i="11"/>
  <c r="B46" i="11"/>
  <c r="S46" i="11"/>
  <c r="R46" i="11"/>
  <c r="I46" i="11"/>
  <c r="A47" i="11"/>
  <c r="H46" i="11"/>
  <c r="R44" i="12"/>
  <c r="B44" i="12"/>
  <c r="A45" i="12"/>
  <c r="I44" i="12"/>
  <c r="S44" i="12"/>
  <c r="H44" i="12"/>
  <c r="F44" i="12"/>
  <c r="E27" i="12" l="1"/>
  <c r="G27" i="12" s="1"/>
  <c r="J27" i="12" s="1"/>
  <c r="K27" i="12" s="1"/>
  <c r="O27" i="12" s="1"/>
  <c r="T27" i="14"/>
  <c r="L27" i="14"/>
  <c r="E28" i="14" s="1"/>
  <c r="G28" i="14" s="1"/>
  <c r="J28" i="14" s="1"/>
  <c r="L28" i="14" s="1"/>
  <c r="T29" i="11"/>
  <c r="K29" i="11"/>
  <c r="L29" i="11"/>
  <c r="K26" i="13"/>
  <c r="O26" i="13" s="1"/>
  <c r="T26" i="13"/>
  <c r="C44" i="13"/>
  <c r="C44" i="12"/>
  <c r="D44" i="13"/>
  <c r="C44" i="17"/>
  <c r="K27" i="16"/>
  <c r="L27" i="16"/>
  <c r="T27" i="16"/>
  <c r="D44" i="12"/>
  <c r="D44" i="17"/>
  <c r="C44" i="11"/>
  <c r="C44" i="16"/>
  <c r="C44" i="14"/>
  <c r="E28" i="17"/>
  <c r="G28" i="17" s="1"/>
  <c r="J28" i="17" s="1"/>
  <c r="D44" i="11"/>
  <c r="D44" i="16"/>
  <c r="C44" i="15"/>
  <c r="E28" i="15"/>
  <c r="G28" i="15" s="1"/>
  <c r="J28" i="15" s="1"/>
  <c r="D44" i="14"/>
  <c r="D28" i="9"/>
  <c r="F28" i="9" s="1"/>
  <c r="H45" i="12"/>
  <c r="F45" i="12"/>
  <c r="B45" i="12"/>
  <c r="S45" i="12"/>
  <c r="A46" i="12"/>
  <c r="R45" i="12"/>
  <c r="I45" i="12"/>
  <c r="E45" i="10"/>
  <c r="D45" i="12" s="1"/>
  <c r="A46" i="10"/>
  <c r="D45" i="10"/>
  <c r="G45" i="10"/>
  <c r="J45" i="10"/>
  <c r="K45" i="10"/>
  <c r="B45" i="10"/>
  <c r="C45" i="10" s="1"/>
  <c r="S47" i="11"/>
  <c r="R47" i="11"/>
  <c r="B47" i="11"/>
  <c r="A48" i="11"/>
  <c r="F47" i="11"/>
  <c r="I47" i="11"/>
  <c r="H47" i="11"/>
  <c r="B44" i="9"/>
  <c r="A45" i="9"/>
  <c r="A47" i="16"/>
  <c r="S46" i="16"/>
  <c r="R46" i="16"/>
  <c r="H46" i="16"/>
  <c r="F46" i="16"/>
  <c r="B46" i="16"/>
  <c r="I46" i="16"/>
  <c r="R45" i="14"/>
  <c r="B45" i="14"/>
  <c r="F45" i="14"/>
  <c r="A46" i="14"/>
  <c r="I45" i="14"/>
  <c r="H45" i="14"/>
  <c r="S45" i="14"/>
  <c r="F45" i="13"/>
  <c r="R45" i="13"/>
  <c r="I45" i="13"/>
  <c r="A46" i="13"/>
  <c r="S45" i="13"/>
  <c r="B45" i="13"/>
  <c r="H45" i="13"/>
  <c r="R45" i="17"/>
  <c r="B45" i="17"/>
  <c r="I45" i="17"/>
  <c r="H45" i="17"/>
  <c r="A46" i="17"/>
  <c r="S45" i="17"/>
  <c r="F45" i="17"/>
  <c r="H45" i="15"/>
  <c r="F45" i="15"/>
  <c r="R45" i="15"/>
  <c r="B45" i="15"/>
  <c r="S45" i="15"/>
  <c r="I45" i="15"/>
  <c r="A46" i="15"/>
  <c r="T27" i="12" l="1"/>
  <c r="L27" i="12"/>
  <c r="E28" i="12" s="1"/>
  <c r="G28" i="12" s="1"/>
  <c r="J28" i="12" s="1"/>
  <c r="K28" i="12" s="1"/>
  <c r="O28" i="12" s="1"/>
  <c r="D45" i="15"/>
  <c r="E27" i="13"/>
  <c r="G27" i="13" s="1"/>
  <c r="J27" i="13" s="1"/>
  <c r="T27" i="13" s="1"/>
  <c r="O29" i="11"/>
  <c r="E30" i="11"/>
  <c r="G30" i="11" s="1"/>
  <c r="J30" i="11" s="1"/>
  <c r="C45" i="15"/>
  <c r="C45" i="17"/>
  <c r="D45" i="17"/>
  <c r="T28" i="14"/>
  <c r="K28" i="14"/>
  <c r="O28" i="14" s="1"/>
  <c r="C45" i="12"/>
  <c r="O27" i="16"/>
  <c r="E28" i="16"/>
  <c r="G28" i="16" s="1"/>
  <c r="J28" i="16" s="1"/>
  <c r="C45" i="11"/>
  <c r="C45" i="16"/>
  <c r="D45" i="11"/>
  <c r="D45" i="16"/>
  <c r="K28" i="17"/>
  <c r="O28" i="17" s="1"/>
  <c r="L28" i="17"/>
  <c r="T28" i="17"/>
  <c r="C45" i="14"/>
  <c r="K28" i="15"/>
  <c r="O28" i="15" s="1"/>
  <c r="T28" i="15"/>
  <c r="L28" i="15"/>
  <c r="C45" i="13"/>
  <c r="D45" i="13"/>
  <c r="D45" i="14"/>
  <c r="C29" i="9"/>
  <c r="E29" i="9" s="1"/>
  <c r="A47" i="12"/>
  <c r="F46" i="12"/>
  <c r="H46" i="12"/>
  <c r="S46" i="12"/>
  <c r="R46" i="12"/>
  <c r="I46" i="12"/>
  <c r="B46" i="12"/>
  <c r="F46" i="17"/>
  <c r="I46" i="17"/>
  <c r="S46" i="17"/>
  <c r="R46" i="17"/>
  <c r="B46" i="17"/>
  <c r="A47" i="17"/>
  <c r="H46" i="17"/>
  <c r="A47" i="15"/>
  <c r="S46" i="15"/>
  <c r="I46" i="15"/>
  <c r="H46" i="15"/>
  <c r="F46" i="15"/>
  <c r="R46" i="15"/>
  <c r="B46" i="15"/>
  <c r="I47" i="16"/>
  <c r="H47" i="16"/>
  <c r="B47" i="16"/>
  <c r="S47" i="16"/>
  <c r="R47" i="16"/>
  <c r="A48" i="16"/>
  <c r="F47" i="16"/>
  <c r="H48" i="11"/>
  <c r="B48" i="11"/>
  <c r="I48" i="11"/>
  <c r="A49" i="11"/>
  <c r="F48" i="11"/>
  <c r="S48" i="11"/>
  <c r="R48" i="11"/>
  <c r="R46" i="13"/>
  <c r="B46" i="13"/>
  <c r="F46" i="13"/>
  <c r="A47" i="13"/>
  <c r="S46" i="13"/>
  <c r="I46" i="13"/>
  <c r="H46" i="13"/>
  <c r="B46" i="14"/>
  <c r="F46" i="14"/>
  <c r="S46" i="14"/>
  <c r="R46" i="14"/>
  <c r="I46" i="14"/>
  <c r="H46" i="14"/>
  <c r="A47" i="14"/>
  <c r="A46" i="9"/>
  <c r="B45" i="9"/>
  <c r="K46" i="10"/>
  <c r="J46" i="10"/>
  <c r="E46" i="10"/>
  <c r="D46" i="12" s="1"/>
  <c r="G46" i="10"/>
  <c r="D46" i="10"/>
  <c r="A47" i="10"/>
  <c r="B46" i="10"/>
  <c r="C46" i="12" s="1"/>
  <c r="L28" i="12" l="1"/>
  <c r="E29" i="12" s="1"/>
  <c r="G29" i="12" s="1"/>
  <c r="J29" i="12" s="1"/>
  <c r="T28" i="12"/>
  <c r="T29" i="12"/>
  <c r="L27" i="13"/>
  <c r="K27" i="13"/>
  <c r="O27" i="13" s="1"/>
  <c r="K30" i="12"/>
  <c r="O30" i="12" s="1"/>
  <c r="K30" i="11"/>
  <c r="O30" i="11" s="1"/>
  <c r="T30" i="11"/>
  <c r="L30" i="11"/>
  <c r="C46" i="13"/>
  <c r="C46" i="10"/>
  <c r="D46" i="17"/>
  <c r="E29" i="17"/>
  <c r="G29" i="17" s="1"/>
  <c r="J29" i="17" s="1"/>
  <c r="T29" i="17" s="1"/>
  <c r="T28" i="16"/>
  <c r="K28" i="16"/>
  <c r="O28" i="16" s="1"/>
  <c r="L28" i="16"/>
  <c r="D46" i="14"/>
  <c r="E29" i="14"/>
  <c r="G29" i="14" s="1"/>
  <c r="J29" i="14" s="1"/>
  <c r="D46" i="13"/>
  <c r="C46" i="14"/>
  <c r="C46" i="15"/>
  <c r="C46" i="17"/>
  <c r="D46" i="11"/>
  <c r="D46" i="16"/>
  <c r="D46" i="15"/>
  <c r="C46" i="11"/>
  <c r="C46" i="16"/>
  <c r="E29" i="15"/>
  <c r="G29" i="15" s="1"/>
  <c r="J29" i="15" s="1"/>
  <c r="D29" i="9"/>
  <c r="F29" i="9" s="1"/>
  <c r="F48" i="16"/>
  <c r="A49" i="16"/>
  <c r="R48" i="16"/>
  <c r="H48" i="16"/>
  <c r="I48" i="16"/>
  <c r="S48" i="16"/>
  <c r="B48" i="16"/>
  <c r="A48" i="14"/>
  <c r="B47" i="14"/>
  <c r="I47" i="14"/>
  <c r="H47" i="14"/>
  <c r="F47" i="14"/>
  <c r="S47" i="14"/>
  <c r="R47" i="14"/>
  <c r="A48" i="17"/>
  <c r="S47" i="17"/>
  <c r="R47" i="17"/>
  <c r="B47" i="17"/>
  <c r="F47" i="17"/>
  <c r="I47" i="17"/>
  <c r="H47" i="17"/>
  <c r="A47" i="9"/>
  <c r="B46" i="9"/>
  <c r="A50" i="11"/>
  <c r="F49" i="11"/>
  <c r="S49" i="11"/>
  <c r="I49" i="11"/>
  <c r="H49" i="11"/>
  <c r="B49" i="11"/>
  <c r="R49" i="11"/>
  <c r="G47" i="10"/>
  <c r="J47" i="10"/>
  <c r="A48" i="10"/>
  <c r="K47" i="10"/>
  <c r="E47" i="10"/>
  <c r="D47" i="12" s="1"/>
  <c r="D47" i="10"/>
  <c r="B47" i="10"/>
  <c r="C47" i="17" s="1"/>
  <c r="H47" i="13"/>
  <c r="F47" i="13"/>
  <c r="A48" i="13"/>
  <c r="S47" i="13"/>
  <c r="B47" i="13"/>
  <c r="R47" i="13"/>
  <c r="I47" i="13"/>
  <c r="R47" i="15"/>
  <c r="B47" i="15"/>
  <c r="I47" i="15"/>
  <c r="H47" i="15"/>
  <c r="A48" i="15"/>
  <c r="S47" i="15"/>
  <c r="F47" i="15"/>
  <c r="I47" i="12"/>
  <c r="F47" i="12"/>
  <c r="R47" i="12"/>
  <c r="H47" i="12"/>
  <c r="B47" i="12"/>
  <c r="A48" i="12"/>
  <c r="S47" i="12"/>
  <c r="K29" i="12" l="1"/>
  <c r="O29" i="12" s="1"/>
  <c r="L29" i="12"/>
  <c r="E30" i="12" s="1"/>
  <c r="G30" i="12" s="1"/>
  <c r="J30" i="12" s="1"/>
  <c r="E28" i="13"/>
  <c r="G28" i="13" s="1"/>
  <c r="J28" i="13" s="1"/>
  <c r="T28" i="13" s="1"/>
  <c r="K29" i="17"/>
  <c r="O29" i="17" s="1"/>
  <c r="L29" i="17"/>
  <c r="E30" i="17" s="1"/>
  <c r="G30" i="17" s="1"/>
  <c r="J30" i="17" s="1"/>
  <c r="E31" i="12"/>
  <c r="G31" i="12" s="1"/>
  <c r="J31" i="12" s="1"/>
  <c r="K31" i="12" s="1"/>
  <c r="O31" i="12" s="1"/>
  <c r="E31" i="11"/>
  <c r="G31" i="11" s="1"/>
  <c r="J31" i="11" s="1"/>
  <c r="L31" i="11" s="1"/>
  <c r="D47" i="15"/>
  <c r="D47" i="13"/>
  <c r="K29" i="14"/>
  <c r="L29" i="14"/>
  <c r="T29" i="14"/>
  <c r="C47" i="15"/>
  <c r="C47" i="13"/>
  <c r="D47" i="17"/>
  <c r="D47" i="14"/>
  <c r="C47" i="12"/>
  <c r="E29" i="16"/>
  <c r="G29" i="16" s="1"/>
  <c r="J29" i="16" s="1"/>
  <c r="C47" i="10"/>
  <c r="C47" i="11"/>
  <c r="C47" i="16"/>
  <c r="C47" i="14"/>
  <c r="D47" i="11"/>
  <c r="D47" i="16"/>
  <c r="K28" i="13"/>
  <c r="O28" i="13" s="1"/>
  <c r="K29" i="15"/>
  <c r="O29" i="15" s="1"/>
  <c r="T29" i="15"/>
  <c r="L29" i="15"/>
  <c r="C30" i="9"/>
  <c r="E30" i="9" s="1"/>
  <c r="B47" i="9"/>
  <c r="A48" i="9"/>
  <c r="F48" i="12"/>
  <c r="R48" i="12"/>
  <c r="I48" i="12"/>
  <c r="B48" i="12"/>
  <c r="S48" i="12"/>
  <c r="H48" i="12"/>
  <c r="A49" i="12"/>
  <c r="A49" i="13"/>
  <c r="H48" i="13"/>
  <c r="F48" i="13"/>
  <c r="S48" i="13"/>
  <c r="B48" i="13"/>
  <c r="R48" i="13"/>
  <c r="I48" i="13"/>
  <c r="R50" i="11"/>
  <c r="B50" i="11"/>
  <c r="I50" i="11"/>
  <c r="H50" i="11"/>
  <c r="S50" i="11"/>
  <c r="A51" i="11"/>
  <c r="F50" i="11"/>
  <c r="I48" i="14"/>
  <c r="B48" i="14"/>
  <c r="S48" i="14"/>
  <c r="R48" i="14"/>
  <c r="H48" i="14"/>
  <c r="F48" i="14"/>
  <c r="A49" i="14"/>
  <c r="F48" i="15"/>
  <c r="I48" i="15"/>
  <c r="S48" i="15"/>
  <c r="R48" i="15"/>
  <c r="B48" i="15"/>
  <c r="H48" i="15"/>
  <c r="A49" i="15"/>
  <c r="E48" i="10"/>
  <c r="D48" i="13" s="1"/>
  <c r="A49" i="10"/>
  <c r="D48" i="10"/>
  <c r="K48" i="10"/>
  <c r="G48" i="10"/>
  <c r="J48" i="10"/>
  <c r="B48" i="10"/>
  <c r="C48" i="13" s="1"/>
  <c r="S49" i="16"/>
  <c r="R49" i="16"/>
  <c r="B49" i="16"/>
  <c r="I49" i="16"/>
  <c r="A50" i="16"/>
  <c r="F49" i="16"/>
  <c r="H49" i="16"/>
  <c r="I48" i="17"/>
  <c r="H48" i="17"/>
  <c r="S48" i="17"/>
  <c r="A49" i="17"/>
  <c r="B48" i="17"/>
  <c r="R48" i="17"/>
  <c r="F48" i="17"/>
  <c r="L30" i="12" l="1"/>
  <c r="T30" i="12"/>
  <c r="L28" i="13"/>
  <c r="L31" i="12"/>
  <c r="E32" i="12" s="1"/>
  <c r="G32" i="12" s="1"/>
  <c r="J32" i="12" s="1"/>
  <c r="K32" i="12" s="1"/>
  <c r="O32" i="12" s="1"/>
  <c r="T31" i="12"/>
  <c r="K31" i="11"/>
  <c r="O31" i="11" s="1"/>
  <c r="T31" i="11"/>
  <c r="D48" i="17"/>
  <c r="D48" i="12"/>
  <c r="C48" i="10"/>
  <c r="K29" i="16"/>
  <c r="O29" i="16" s="1"/>
  <c r="L29" i="16"/>
  <c r="T29" i="16"/>
  <c r="O29" i="14"/>
  <c r="E30" i="14"/>
  <c r="G30" i="14" s="1"/>
  <c r="J30" i="14" s="1"/>
  <c r="C48" i="11"/>
  <c r="C48" i="16"/>
  <c r="E30" i="15"/>
  <c r="G30" i="15" s="1"/>
  <c r="J30" i="15" s="1"/>
  <c r="D48" i="11"/>
  <c r="D48" i="16"/>
  <c r="E29" i="13"/>
  <c r="G29" i="13" s="1"/>
  <c r="J29" i="13" s="1"/>
  <c r="D48" i="15"/>
  <c r="C48" i="14"/>
  <c r="K30" i="17"/>
  <c r="O30" i="17" s="1"/>
  <c r="T30" i="17"/>
  <c r="L30" i="17"/>
  <c r="C48" i="17"/>
  <c r="C48" i="15"/>
  <c r="D48" i="14"/>
  <c r="C48" i="12"/>
  <c r="D30" i="9"/>
  <c r="F30" i="9" s="1"/>
  <c r="A50" i="15"/>
  <c r="S49" i="15"/>
  <c r="R49" i="15"/>
  <c r="B49" i="15"/>
  <c r="F49" i="15"/>
  <c r="H49" i="15"/>
  <c r="I49" i="15"/>
  <c r="F49" i="14"/>
  <c r="H49" i="14"/>
  <c r="A50" i="14"/>
  <c r="I49" i="14"/>
  <c r="R49" i="14"/>
  <c r="B49" i="14"/>
  <c r="S49" i="14"/>
  <c r="F49" i="17"/>
  <c r="A50" i="17"/>
  <c r="H49" i="17"/>
  <c r="S49" i="17"/>
  <c r="R49" i="17"/>
  <c r="B49" i="17"/>
  <c r="I49" i="17"/>
  <c r="I49" i="13"/>
  <c r="R49" i="13"/>
  <c r="H49" i="13"/>
  <c r="F49" i="13"/>
  <c r="B49" i="13"/>
  <c r="A50" i="13"/>
  <c r="S49" i="13"/>
  <c r="B48" i="9"/>
  <c r="A49" i="9"/>
  <c r="H50" i="16"/>
  <c r="A51" i="16"/>
  <c r="R50" i="16"/>
  <c r="F50" i="16"/>
  <c r="B50" i="16"/>
  <c r="S50" i="16"/>
  <c r="I50" i="16"/>
  <c r="F51" i="11"/>
  <c r="S51" i="11"/>
  <c r="I51" i="11"/>
  <c r="R51" i="11"/>
  <c r="A52" i="11"/>
  <c r="H51" i="11"/>
  <c r="B51" i="11"/>
  <c r="J49" i="10"/>
  <c r="A50" i="10"/>
  <c r="D49" i="10"/>
  <c r="G49" i="10"/>
  <c r="E49" i="10"/>
  <c r="D49" i="14" s="1"/>
  <c r="K49" i="10"/>
  <c r="B49" i="10"/>
  <c r="S49" i="12"/>
  <c r="F49" i="12"/>
  <c r="A50" i="12"/>
  <c r="R49" i="12"/>
  <c r="I49" i="12"/>
  <c r="H49" i="12"/>
  <c r="B49" i="12"/>
  <c r="T32" i="12" l="1"/>
  <c r="L32" i="12"/>
  <c r="E33" i="12" s="1"/>
  <c r="G33" i="12" s="1"/>
  <c r="J33" i="12" s="1"/>
  <c r="T33" i="12" s="1"/>
  <c r="E32" i="11"/>
  <c r="G32" i="11" s="1"/>
  <c r="J32" i="11" s="1"/>
  <c r="T32" i="11" s="1"/>
  <c r="D49" i="12"/>
  <c r="E30" i="16"/>
  <c r="G30" i="16" s="1"/>
  <c r="J30" i="16" s="1"/>
  <c r="T30" i="16" s="1"/>
  <c r="K30" i="14"/>
  <c r="O30" i="14" s="1"/>
  <c r="L30" i="14"/>
  <c r="T30" i="14"/>
  <c r="D49" i="17"/>
  <c r="D49" i="15"/>
  <c r="C49" i="17"/>
  <c r="C49" i="13"/>
  <c r="C49" i="14"/>
  <c r="K29" i="13"/>
  <c r="O29" i="13" s="1"/>
  <c r="T29" i="13"/>
  <c r="L29" i="13"/>
  <c r="C49" i="12"/>
  <c r="E31" i="17"/>
  <c r="G31" i="17" s="1"/>
  <c r="J31" i="17" s="1"/>
  <c r="C49" i="10"/>
  <c r="C49" i="15"/>
  <c r="C49" i="11"/>
  <c r="C49" i="16"/>
  <c r="D49" i="11"/>
  <c r="D49" i="16"/>
  <c r="D49" i="13"/>
  <c r="K30" i="15"/>
  <c r="O30" i="15" s="1"/>
  <c r="T30" i="15"/>
  <c r="L30" i="15"/>
  <c r="C31" i="9"/>
  <c r="E31" i="9" s="1"/>
  <c r="F50" i="13"/>
  <c r="R50" i="13"/>
  <c r="I50" i="13"/>
  <c r="H50" i="13"/>
  <c r="B50" i="13"/>
  <c r="A51" i="13"/>
  <c r="S50" i="13"/>
  <c r="S50" i="17"/>
  <c r="R50" i="17"/>
  <c r="B50" i="17"/>
  <c r="I50" i="17"/>
  <c r="H50" i="17"/>
  <c r="F50" i="17"/>
  <c r="A51" i="17"/>
  <c r="H50" i="12"/>
  <c r="F50" i="12"/>
  <c r="A51" i="12"/>
  <c r="S50" i="12"/>
  <c r="R50" i="12"/>
  <c r="B50" i="12"/>
  <c r="I50" i="12"/>
  <c r="A50" i="9"/>
  <c r="B49" i="9"/>
  <c r="A53" i="11"/>
  <c r="S52" i="11"/>
  <c r="I52" i="11"/>
  <c r="H52" i="11"/>
  <c r="B52" i="11"/>
  <c r="F52" i="11"/>
  <c r="R52" i="11"/>
  <c r="A52" i="16"/>
  <c r="S51" i="16"/>
  <c r="I51" i="16"/>
  <c r="B51" i="16"/>
  <c r="F51" i="16"/>
  <c r="R51" i="16"/>
  <c r="H51" i="16"/>
  <c r="S50" i="14"/>
  <c r="F50" i="14"/>
  <c r="H50" i="14"/>
  <c r="B50" i="14"/>
  <c r="R50" i="14"/>
  <c r="A51" i="14"/>
  <c r="I50" i="14"/>
  <c r="G50" i="10"/>
  <c r="E50" i="10"/>
  <c r="D50" i="13" s="1"/>
  <c r="A51" i="10"/>
  <c r="K50" i="10"/>
  <c r="J50" i="10"/>
  <c r="D50" i="10"/>
  <c r="B50" i="10"/>
  <c r="I50" i="15"/>
  <c r="H50" i="15"/>
  <c r="S50" i="15"/>
  <c r="A51" i="15"/>
  <c r="R50" i="15"/>
  <c r="B50" i="15"/>
  <c r="F50" i="15"/>
  <c r="L32" i="11" l="1"/>
  <c r="K32" i="11"/>
  <c r="O32" i="11" s="1"/>
  <c r="E31" i="15"/>
  <c r="G31" i="15" s="1"/>
  <c r="J31" i="15" s="1"/>
  <c r="T31" i="15" s="1"/>
  <c r="L30" i="16"/>
  <c r="L33" i="12"/>
  <c r="K30" i="16"/>
  <c r="O30" i="16" s="1"/>
  <c r="K33" i="12"/>
  <c r="O33" i="12" s="1"/>
  <c r="E30" i="13"/>
  <c r="G30" i="13" s="1"/>
  <c r="J30" i="13" s="1"/>
  <c r="T30" i="13" s="1"/>
  <c r="E31" i="14"/>
  <c r="G31" i="14" s="1"/>
  <c r="J31" i="14" s="1"/>
  <c r="K31" i="14" s="1"/>
  <c r="O31" i="14" s="1"/>
  <c r="D50" i="11"/>
  <c r="D50" i="16"/>
  <c r="D50" i="14"/>
  <c r="C50" i="11"/>
  <c r="C50" i="16"/>
  <c r="D50" i="12"/>
  <c r="C50" i="14"/>
  <c r="K31" i="17"/>
  <c r="O31" i="17" s="1"/>
  <c r="T31" i="17"/>
  <c r="L31" i="17"/>
  <c r="C50" i="17"/>
  <c r="C50" i="13"/>
  <c r="C50" i="12"/>
  <c r="D50" i="15"/>
  <c r="C50" i="15"/>
  <c r="C50" i="10"/>
  <c r="D50" i="17"/>
  <c r="D31" i="9"/>
  <c r="C32" i="9" s="1"/>
  <c r="F51" i="15"/>
  <c r="A52" i="15"/>
  <c r="H51" i="15"/>
  <c r="R51" i="15"/>
  <c r="B51" i="15"/>
  <c r="I51" i="15"/>
  <c r="S51" i="15"/>
  <c r="A52" i="10"/>
  <c r="D51" i="10"/>
  <c r="K51" i="10"/>
  <c r="J51" i="10"/>
  <c r="G51" i="10"/>
  <c r="E51" i="10"/>
  <c r="D51" i="15" s="1"/>
  <c r="B51" i="10"/>
  <c r="C51" i="14" s="1"/>
  <c r="A51" i="9"/>
  <c r="B50" i="9"/>
  <c r="H51" i="14"/>
  <c r="F51" i="14"/>
  <c r="R51" i="14"/>
  <c r="I51" i="14"/>
  <c r="A52" i="14"/>
  <c r="S51" i="14"/>
  <c r="B51" i="14"/>
  <c r="I53" i="11"/>
  <c r="H53" i="11"/>
  <c r="S53" i="11"/>
  <c r="F53" i="11"/>
  <c r="A54" i="11"/>
  <c r="B53" i="11"/>
  <c r="R53" i="11"/>
  <c r="H51" i="17"/>
  <c r="F51" i="17"/>
  <c r="R51" i="17"/>
  <c r="B51" i="17"/>
  <c r="A52" i="17"/>
  <c r="S51" i="17"/>
  <c r="I51" i="17"/>
  <c r="H51" i="12"/>
  <c r="F51" i="12"/>
  <c r="A52" i="12"/>
  <c r="S51" i="12"/>
  <c r="I51" i="12"/>
  <c r="B51" i="12"/>
  <c r="R51" i="12"/>
  <c r="R52" i="16"/>
  <c r="B52" i="16"/>
  <c r="I52" i="16"/>
  <c r="A53" i="16"/>
  <c r="F52" i="16"/>
  <c r="H52" i="16"/>
  <c r="S52" i="16"/>
  <c r="S51" i="13"/>
  <c r="A52" i="13"/>
  <c r="R51" i="13"/>
  <c r="I51" i="13"/>
  <c r="H51" i="13"/>
  <c r="B51" i="13"/>
  <c r="F51" i="13"/>
  <c r="E33" i="11" l="1"/>
  <c r="G33" i="11" s="1"/>
  <c r="J33" i="11" s="1"/>
  <c r="T33" i="11" s="1"/>
  <c r="K31" i="15"/>
  <c r="O31" i="15" s="1"/>
  <c r="L31" i="15"/>
  <c r="E32" i="15" s="1"/>
  <c r="G32" i="15" s="1"/>
  <c r="J32" i="15" s="1"/>
  <c r="E31" i="16"/>
  <c r="G31" i="16" s="1"/>
  <c r="J31" i="16" s="1"/>
  <c r="L31" i="16" s="1"/>
  <c r="K30" i="13"/>
  <c r="O30" i="13" s="1"/>
  <c r="E34" i="12"/>
  <c r="G34" i="12" s="1"/>
  <c r="J34" i="12" s="1"/>
  <c r="T34" i="12" s="1"/>
  <c r="L30" i="13"/>
  <c r="L31" i="14"/>
  <c r="E32" i="14" s="1"/>
  <c r="G32" i="14" s="1"/>
  <c r="J32" i="14" s="1"/>
  <c r="T31" i="14"/>
  <c r="D51" i="13"/>
  <c r="D51" i="17"/>
  <c r="D51" i="12"/>
  <c r="E32" i="17"/>
  <c r="G32" i="17" s="1"/>
  <c r="J32" i="17" s="1"/>
  <c r="K32" i="17" s="1"/>
  <c r="O32" i="17" s="1"/>
  <c r="D51" i="14"/>
  <c r="C51" i="10"/>
  <c r="C51" i="13"/>
  <c r="C51" i="12"/>
  <c r="C51" i="11"/>
  <c r="C51" i="16"/>
  <c r="C51" i="15"/>
  <c r="C51" i="17"/>
  <c r="D51" i="11"/>
  <c r="D51" i="16"/>
  <c r="F31" i="9"/>
  <c r="E32" i="9"/>
  <c r="D32" i="9"/>
  <c r="B51" i="9"/>
  <c r="A52" i="9"/>
  <c r="G52" i="10"/>
  <c r="K52" i="10"/>
  <c r="B52" i="10"/>
  <c r="C52" i="13" s="1"/>
  <c r="E52" i="10"/>
  <c r="D52" i="12" s="1"/>
  <c r="D52" i="10"/>
  <c r="A53" i="10"/>
  <c r="J52" i="10"/>
  <c r="F53" i="16"/>
  <c r="S53" i="16"/>
  <c r="I53" i="16"/>
  <c r="A54" i="16"/>
  <c r="B53" i="16"/>
  <c r="H53" i="16"/>
  <c r="R53" i="16"/>
  <c r="R52" i="12"/>
  <c r="B52" i="12"/>
  <c r="H52" i="12"/>
  <c r="F52" i="12"/>
  <c r="S52" i="12"/>
  <c r="I52" i="12"/>
  <c r="A53" i="12"/>
  <c r="S52" i="15"/>
  <c r="R52" i="15"/>
  <c r="B52" i="15"/>
  <c r="I52" i="15"/>
  <c r="F52" i="15"/>
  <c r="A53" i="15"/>
  <c r="H52" i="15"/>
  <c r="F52" i="14"/>
  <c r="R52" i="14"/>
  <c r="I52" i="14"/>
  <c r="B52" i="14"/>
  <c r="S52" i="14"/>
  <c r="H52" i="14"/>
  <c r="A53" i="14"/>
  <c r="H52" i="13"/>
  <c r="F52" i="13"/>
  <c r="S52" i="13"/>
  <c r="I52" i="13"/>
  <c r="A53" i="13"/>
  <c r="R52" i="13"/>
  <c r="B52" i="13"/>
  <c r="A53" i="17"/>
  <c r="S52" i="17"/>
  <c r="R52" i="17"/>
  <c r="B52" i="17"/>
  <c r="H52" i="17"/>
  <c r="I52" i="17"/>
  <c r="F52" i="17"/>
  <c r="F54" i="11"/>
  <c r="H54" i="11"/>
  <c r="I54" i="11"/>
  <c r="S54" i="11"/>
  <c r="R54" i="11"/>
  <c r="A55" i="11"/>
  <c r="B54" i="11"/>
  <c r="L33" i="11" l="1"/>
  <c r="K33" i="11"/>
  <c r="O33" i="11" s="1"/>
  <c r="K31" i="16"/>
  <c r="O31" i="16" s="1"/>
  <c r="T31" i="16"/>
  <c r="E31" i="13"/>
  <c r="G31" i="13" s="1"/>
  <c r="J31" i="13" s="1"/>
  <c r="L31" i="13" s="1"/>
  <c r="L34" i="12"/>
  <c r="K34" i="12"/>
  <c r="O34" i="12" s="1"/>
  <c r="T32" i="14"/>
  <c r="K32" i="14"/>
  <c r="O32" i="14" s="1"/>
  <c r="L32" i="14"/>
  <c r="D52" i="14"/>
  <c r="L32" i="17"/>
  <c r="E33" i="17" s="1"/>
  <c r="G33" i="17" s="1"/>
  <c r="J33" i="17" s="1"/>
  <c r="K33" i="17" s="1"/>
  <c r="O33" i="17" s="1"/>
  <c r="D52" i="17"/>
  <c r="D52" i="13"/>
  <c r="C52" i="12"/>
  <c r="T32" i="17"/>
  <c r="D52" i="15"/>
  <c r="C52" i="17"/>
  <c r="C52" i="14"/>
  <c r="C52" i="10"/>
  <c r="D52" i="11"/>
  <c r="D52" i="16"/>
  <c r="C52" i="11"/>
  <c r="C52" i="16"/>
  <c r="C52" i="15"/>
  <c r="K32" i="15"/>
  <c r="O32" i="15" s="1"/>
  <c r="T32" i="15"/>
  <c r="L32" i="15"/>
  <c r="F32" i="9"/>
  <c r="C33" i="9"/>
  <c r="R53" i="12"/>
  <c r="I53" i="12"/>
  <c r="H53" i="12"/>
  <c r="F53" i="12"/>
  <c r="B53" i="12"/>
  <c r="A54" i="12"/>
  <c r="S53" i="12"/>
  <c r="S55" i="11"/>
  <c r="R55" i="11"/>
  <c r="B55" i="11"/>
  <c r="F55" i="11"/>
  <c r="I55" i="11"/>
  <c r="H55" i="11"/>
  <c r="A56" i="11"/>
  <c r="S53" i="13"/>
  <c r="F53" i="13"/>
  <c r="B53" i="13"/>
  <c r="R53" i="13"/>
  <c r="H53" i="13"/>
  <c r="I53" i="13"/>
  <c r="A54" i="13"/>
  <c r="E53" i="10"/>
  <c r="D53" i="17" s="1"/>
  <c r="A54" i="10"/>
  <c r="D53" i="10"/>
  <c r="K53" i="10"/>
  <c r="J53" i="10"/>
  <c r="G53" i="10"/>
  <c r="B53" i="10"/>
  <c r="C53" i="10" s="1"/>
  <c r="B52" i="9"/>
  <c r="A53" i="9"/>
  <c r="R53" i="14"/>
  <c r="B53" i="14"/>
  <c r="F53" i="14"/>
  <c r="A54" i="14"/>
  <c r="S53" i="14"/>
  <c r="I53" i="14"/>
  <c r="H53" i="14"/>
  <c r="R53" i="17"/>
  <c r="B53" i="17"/>
  <c r="I53" i="17"/>
  <c r="H53" i="17"/>
  <c r="A54" i="17"/>
  <c r="F53" i="17"/>
  <c r="S53" i="17"/>
  <c r="H53" i="15"/>
  <c r="F53" i="15"/>
  <c r="R53" i="15"/>
  <c r="B53" i="15"/>
  <c r="A54" i="15"/>
  <c r="I53" i="15"/>
  <c r="S53" i="15"/>
  <c r="A55" i="16"/>
  <c r="S54" i="16"/>
  <c r="R54" i="16"/>
  <c r="F54" i="16"/>
  <c r="H54" i="16"/>
  <c r="I54" i="16"/>
  <c r="B54" i="16"/>
  <c r="E34" i="11" l="1"/>
  <c r="G34" i="11" s="1"/>
  <c r="J34" i="11" s="1"/>
  <c r="E32" i="16"/>
  <c r="G32" i="16" s="1"/>
  <c r="J32" i="16" s="1"/>
  <c r="T32" i="16" s="1"/>
  <c r="K31" i="13"/>
  <c r="O31" i="13" s="1"/>
  <c r="T31" i="13"/>
  <c r="E35" i="12"/>
  <c r="G35" i="12" s="1"/>
  <c r="J35" i="12" s="1"/>
  <c r="K35" i="12" s="1"/>
  <c r="O35" i="12" s="1"/>
  <c r="E33" i="14"/>
  <c r="G33" i="14" s="1"/>
  <c r="J33" i="14" s="1"/>
  <c r="K33" i="14" s="1"/>
  <c r="O33" i="14" s="1"/>
  <c r="L33" i="17"/>
  <c r="E34" i="17" s="1"/>
  <c r="G34" i="17" s="1"/>
  <c r="J34" i="17" s="1"/>
  <c r="T33" i="17"/>
  <c r="C53" i="17"/>
  <c r="D53" i="15"/>
  <c r="D53" i="11"/>
  <c r="D53" i="16"/>
  <c r="C53" i="11"/>
  <c r="C53" i="16"/>
  <c r="D53" i="12"/>
  <c r="C53" i="12"/>
  <c r="E33" i="15"/>
  <c r="G33" i="15" s="1"/>
  <c r="J33" i="15" s="1"/>
  <c r="C53" i="14"/>
  <c r="D53" i="13"/>
  <c r="D53" i="14"/>
  <c r="C53" i="15"/>
  <c r="C53" i="13"/>
  <c r="D33" i="9"/>
  <c r="F33" i="9" s="1"/>
  <c r="E33" i="9"/>
  <c r="A55" i="15"/>
  <c r="S54" i="15"/>
  <c r="F54" i="15"/>
  <c r="R54" i="15"/>
  <c r="I54" i="15"/>
  <c r="H54" i="15"/>
  <c r="B54" i="15"/>
  <c r="A54" i="9"/>
  <c r="B53" i="9"/>
  <c r="R54" i="13"/>
  <c r="B54" i="13"/>
  <c r="H54" i="13"/>
  <c r="I54" i="13"/>
  <c r="S54" i="13"/>
  <c r="A55" i="13"/>
  <c r="F54" i="13"/>
  <c r="I55" i="16"/>
  <c r="H55" i="16"/>
  <c r="S55" i="16"/>
  <c r="A56" i="16"/>
  <c r="R55" i="16"/>
  <c r="B55" i="16"/>
  <c r="F55" i="16"/>
  <c r="H54" i="14"/>
  <c r="F54" i="14"/>
  <c r="A55" i="14"/>
  <c r="S54" i="14"/>
  <c r="B54" i="14"/>
  <c r="R54" i="14"/>
  <c r="I54" i="14"/>
  <c r="K54" i="10"/>
  <c r="J54" i="10"/>
  <c r="E54" i="10"/>
  <c r="D54" i="14" s="1"/>
  <c r="A55" i="10"/>
  <c r="D54" i="10"/>
  <c r="G54" i="10"/>
  <c r="B54" i="10"/>
  <c r="C54" i="17" s="1"/>
  <c r="H56" i="11"/>
  <c r="R56" i="11"/>
  <c r="B56" i="11"/>
  <c r="S56" i="11"/>
  <c r="A57" i="11"/>
  <c r="I56" i="11"/>
  <c r="F56" i="11"/>
  <c r="A55" i="12"/>
  <c r="R54" i="12"/>
  <c r="I54" i="12"/>
  <c r="H54" i="12"/>
  <c r="B54" i="12"/>
  <c r="S54" i="12"/>
  <c r="F54" i="12"/>
  <c r="F54" i="17"/>
  <c r="I54" i="17"/>
  <c r="A55" i="17"/>
  <c r="R54" i="17"/>
  <c r="B54" i="17"/>
  <c r="S54" i="17"/>
  <c r="H54" i="17"/>
  <c r="T34" i="11" l="1"/>
  <c r="K34" i="11"/>
  <c r="L34" i="11"/>
  <c r="L32" i="16"/>
  <c r="K32" i="16"/>
  <c r="O32" i="16" s="1"/>
  <c r="E32" i="13"/>
  <c r="G32" i="13" s="1"/>
  <c r="J32" i="13" s="1"/>
  <c r="K32" i="13" s="1"/>
  <c r="O32" i="13" s="1"/>
  <c r="T35" i="12"/>
  <c r="L35" i="12"/>
  <c r="E36" i="12" s="1"/>
  <c r="G36" i="12" s="1"/>
  <c r="J36" i="12" s="1"/>
  <c r="L36" i="12" s="1"/>
  <c r="T33" i="14"/>
  <c r="L33" i="14"/>
  <c r="E34" i="14" s="1"/>
  <c r="G34" i="14" s="1"/>
  <c r="J34" i="14" s="1"/>
  <c r="K34" i="14" s="1"/>
  <c r="O34" i="14" s="1"/>
  <c r="C54" i="12"/>
  <c r="D54" i="13"/>
  <c r="C54" i="10"/>
  <c r="C54" i="13"/>
  <c r="C54" i="14"/>
  <c r="D54" i="15"/>
  <c r="D54" i="12"/>
  <c r="D54" i="11"/>
  <c r="D54" i="16"/>
  <c r="C54" i="11"/>
  <c r="C54" i="16"/>
  <c r="C54" i="15"/>
  <c r="K33" i="15"/>
  <c r="O33" i="15" s="1"/>
  <c r="L33" i="15"/>
  <c r="T33" i="15"/>
  <c r="K34" i="17"/>
  <c r="O34" i="17" s="1"/>
  <c r="L34" i="17"/>
  <c r="T34" i="17"/>
  <c r="D54" i="17"/>
  <c r="C34" i="9"/>
  <c r="D34" i="9" s="1"/>
  <c r="F34" i="9" s="1"/>
  <c r="F56" i="16"/>
  <c r="A57" i="16"/>
  <c r="H56" i="16"/>
  <c r="R56" i="16"/>
  <c r="B56" i="16"/>
  <c r="I56" i="16"/>
  <c r="S56" i="16"/>
  <c r="A56" i="17"/>
  <c r="S55" i="17"/>
  <c r="R55" i="17"/>
  <c r="B55" i="17"/>
  <c r="F55" i="17"/>
  <c r="H55" i="17"/>
  <c r="I55" i="17"/>
  <c r="B55" i="13"/>
  <c r="A56" i="13"/>
  <c r="R55" i="13"/>
  <c r="H55" i="13"/>
  <c r="I55" i="13"/>
  <c r="S55" i="13"/>
  <c r="F55" i="13"/>
  <c r="I55" i="12"/>
  <c r="A56" i="12"/>
  <c r="S55" i="12"/>
  <c r="R55" i="12"/>
  <c r="H55" i="12"/>
  <c r="F55" i="12"/>
  <c r="B55" i="12"/>
  <c r="A58" i="11"/>
  <c r="B57" i="11"/>
  <c r="S57" i="11"/>
  <c r="H57" i="11"/>
  <c r="F57" i="11"/>
  <c r="R57" i="11"/>
  <c r="I57" i="11"/>
  <c r="R55" i="15"/>
  <c r="B55" i="15"/>
  <c r="I55" i="15"/>
  <c r="H55" i="15"/>
  <c r="A56" i="15"/>
  <c r="F55" i="15"/>
  <c r="S55" i="15"/>
  <c r="A55" i="9"/>
  <c r="B54" i="9"/>
  <c r="A56" i="14"/>
  <c r="H55" i="14"/>
  <c r="F55" i="14"/>
  <c r="S55" i="14"/>
  <c r="I55" i="14"/>
  <c r="B55" i="14"/>
  <c r="R55" i="14"/>
  <c r="G55" i="10"/>
  <c r="J55" i="10"/>
  <c r="E55" i="10"/>
  <c r="D55" i="17" s="1"/>
  <c r="D55" i="10"/>
  <c r="K55" i="10"/>
  <c r="A56" i="10"/>
  <c r="B55" i="10"/>
  <c r="C55" i="13" s="1"/>
  <c r="E33" i="16" l="1"/>
  <c r="G33" i="16" s="1"/>
  <c r="J33" i="16" s="1"/>
  <c r="L33" i="16" s="1"/>
  <c r="E35" i="11"/>
  <c r="G35" i="11" s="1"/>
  <c r="J35" i="11" s="1"/>
  <c r="O34" i="11"/>
  <c r="T32" i="13"/>
  <c r="L32" i="13"/>
  <c r="E33" i="13" s="1"/>
  <c r="G33" i="13" s="1"/>
  <c r="J33" i="13" s="1"/>
  <c r="K33" i="13" s="1"/>
  <c r="O33" i="13" s="1"/>
  <c r="K36" i="12"/>
  <c r="O36" i="12" s="1"/>
  <c r="T36" i="12"/>
  <c r="L34" i="14"/>
  <c r="E35" i="14" s="1"/>
  <c r="G35" i="14" s="1"/>
  <c r="J35" i="14" s="1"/>
  <c r="K35" i="14" s="1"/>
  <c r="O35" i="14" s="1"/>
  <c r="K33" i="16"/>
  <c r="O33" i="16" s="1"/>
  <c r="C55" i="10"/>
  <c r="C55" i="12"/>
  <c r="C55" i="17"/>
  <c r="T34" i="14"/>
  <c r="E34" i="15"/>
  <c r="G34" i="15" s="1"/>
  <c r="J34" i="15" s="1"/>
  <c r="L34" i="15" s="1"/>
  <c r="C55" i="14"/>
  <c r="C55" i="15"/>
  <c r="C55" i="11"/>
  <c r="C55" i="16"/>
  <c r="E35" i="17"/>
  <c r="G35" i="17" s="1"/>
  <c r="J35" i="17" s="1"/>
  <c r="D55" i="15"/>
  <c r="D55" i="11"/>
  <c r="D55" i="16"/>
  <c r="D55" i="12"/>
  <c r="D55" i="14"/>
  <c r="D55" i="13"/>
  <c r="E34" i="9"/>
  <c r="C35" i="9"/>
  <c r="E35" i="9" s="1"/>
  <c r="F56" i="15"/>
  <c r="I56" i="15"/>
  <c r="H56" i="15"/>
  <c r="A57" i="15"/>
  <c r="S56" i="15"/>
  <c r="R56" i="15"/>
  <c r="B56" i="15"/>
  <c r="A57" i="13"/>
  <c r="R56" i="13"/>
  <c r="B56" i="13"/>
  <c r="I56" i="13"/>
  <c r="S56" i="13"/>
  <c r="H56" i="13"/>
  <c r="F56" i="13"/>
  <c r="R58" i="11"/>
  <c r="B58" i="11"/>
  <c r="I58" i="11"/>
  <c r="A59" i="11"/>
  <c r="S58" i="11"/>
  <c r="F58" i="11"/>
  <c r="H58" i="11"/>
  <c r="E56" i="10"/>
  <c r="D56" i="12" s="1"/>
  <c r="A57" i="10"/>
  <c r="D56" i="10"/>
  <c r="K56" i="10"/>
  <c r="G56" i="10"/>
  <c r="J56" i="10"/>
  <c r="B56" i="10"/>
  <c r="C56" i="10" s="1"/>
  <c r="B55" i="9"/>
  <c r="A56" i="9"/>
  <c r="F56" i="12"/>
  <c r="A57" i="12"/>
  <c r="S56" i="12"/>
  <c r="R56" i="12"/>
  <c r="I56" i="12"/>
  <c r="H56" i="12"/>
  <c r="B56" i="12"/>
  <c r="I56" i="17"/>
  <c r="B56" i="17"/>
  <c r="A57" i="17"/>
  <c r="S56" i="17"/>
  <c r="R56" i="17"/>
  <c r="H56" i="17"/>
  <c r="F56" i="17"/>
  <c r="S57" i="16"/>
  <c r="R57" i="16"/>
  <c r="B57" i="16"/>
  <c r="I57" i="16"/>
  <c r="F57" i="16"/>
  <c r="A58" i="16"/>
  <c r="H57" i="16"/>
  <c r="I56" i="14"/>
  <c r="R56" i="14"/>
  <c r="H56" i="14"/>
  <c r="F56" i="14"/>
  <c r="B56" i="14"/>
  <c r="S56" i="14"/>
  <c r="A57" i="14"/>
  <c r="T33" i="16" l="1"/>
  <c r="L33" i="13"/>
  <c r="T33" i="13"/>
  <c r="K35" i="11"/>
  <c r="O35" i="11" s="1"/>
  <c r="T35" i="11"/>
  <c r="L35" i="11"/>
  <c r="E37" i="12"/>
  <c r="G37" i="12" s="1"/>
  <c r="J37" i="12" s="1"/>
  <c r="L37" i="12" s="1"/>
  <c r="E34" i="16"/>
  <c r="G34" i="16" s="1"/>
  <c r="J34" i="16" s="1"/>
  <c r="T34" i="16" s="1"/>
  <c r="L35" i="14"/>
  <c r="E36" i="14" s="1"/>
  <c r="G36" i="14" s="1"/>
  <c r="J36" i="14" s="1"/>
  <c r="K36" i="14" s="1"/>
  <c r="O36" i="14" s="1"/>
  <c r="T35" i="14"/>
  <c r="K34" i="15"/>
  <c r="O34" i="15" s="1"/>
  <c r="C56" i="12"/>
  <c r="C56" i="13"/>
  <c r="T34" i="15"/>
  <c r="C56" i="14"/>
  <c r="E34" i="13"/>
  <c r="G34" i="13" s="1"/>
  <c r="J34" i="13" s="1"/>
  <c r="C56" i="11"/>
  <c r="C56" i="16"/>
  <c r="C56" i="15"/>
  <c r="K35" i="17"/>
  <c r="O35" i="17" s="1"/>
  <c r="L35" i="17"/>
  <c r="T35" i="17"/>
  <c r="D56" i="11"/>
  <c r="D56" i="16"/>
  <c r="D56" i="14"/>
  <c r="D56" i="17"/>
  <c r="D56" i="15"/>
  <c r="C56" i="17"/>
  <c r="D56" i="13"/>
  <c r="D35" i="9"/>
  <c r="F35" i="9" s="1"/>
  <c r="A58" i="15"/>
  <c r="S57" i="15"/>
  <c r="R57" i="15"/>
  <c r="B57" i="15"/>
  <c r="F57" i="15"/>
  <c r="I57" i="15"/>
  <c r="H57" i="15"/>
  <c r="B56" i="9"/>
  <c r="A57" i="9"/>
  <c r="I57" i="13"/>
  <c r="B57" i="13"/>
  <c r="A58" i="13"/>
  <c r="R57" i="13"/>
  <c r="F57" i="13"/>
  <c r="S57" i="13"/>
  <c r="H57" i="13"/>
  <c r="F57" i="14"/>
  <c r="R57" i="14"/>
  <c r="I57" i="14"/>
  <c r="H57" i="14"/>
  <c r="B57" i="14"/>
  <c r="A58" i="14"/>
  <c r="S57" i="14"/>
  <c r="S57" i="12"/>
  <c r="A58" i="12"/>
  <c r="R57" i="12"/>
  <c r="I57" i="12"/>
  <c r="H57" i="12"/>
  <c r="F57" i="12"/>
  <c r="B57" i="12"/>
  <c r="F59" i="11"/>
  <c r="I59" i="11"/>
  <c r="B59" i="11"/>
  <c r="R59" i="11"/>
  <c r="A60" i="11"/>
  <c r="S59" i="11"/>
  <c r="H59" i="11"/>
  <c r="H58" i="16"/>
  <c r="F58" i="16"/>
  <c r="R58" i="16"/>
  <c r="B58" i="16"/>
  <c r="A59" i="16"/>
  <c r="I58" i="16"/>
  <c r="S58" i="16"/>
  <c r="F57" i="17"/>
  <c r="B57" i="17"/>
  <c r="A58" i="17"/>
  <c r="S57" i="17"/>
  <c r="R57" i="17"/>
  <c r="I57" i="17"/>
  <c r="H57" i="17"/>
  <c r="J57" i="10"/>
  <c r="A58" i="10"/>
  <c r="D57" i="10"/>
  <c r="K57" i="10"/>
  <c r="E57" i="10"/>
  <c r="D57" i="15" s="1"/>
  <c r="G57" i="10"/>
  <c r="B57" i="10"/>
  <c r="C57" i="17" s="1"/>
  <c r="E36" i="11" l="1"/>
  <c r="G36" i="11" s="1"/>
  <c r="J36" i="11" s="1"/>
  <c r="T36" i="11" s="1"/>
  <c r="T37" i="12"/>
  <c r="K36" i="11"/>
  <c r="O36" i="11" s="1"/>
  <c r="L34" i="16"/>
  <c r="K34" i="16"/>
  <c r="O34" i="16" s="1"/>
  <c r="K37" i="12"/>
  <c r="O37" i="12" s="1"/>
  <c r="T36" i="14"/>
  <c r="L36" i="14"/>
  <c r="E37" i="14" s="1"/>
  <c r="G37" i="14" s="1"/>
  <c r="J37" i="14" s="1"/>
  <c r="E35" i="15"/>
  <c r="G35" i="15" s="1"/>
  <c r="J35" i="15" s="1"/>
  <c r="L35" i="15" s="1"/>
  <c r="C57" i="15"/>
  <c r="C57" i="10"/>
  <c r="C57" i="13"/>
  <c r="E36" i="17"/>
  <c r="G36" i="17" s="1"/>
  <c r="J36" i="17" s="1"/>
  <c r="T36" i="17" s="1"/>
  <c r="D57" i="13"/>
  <c r="D57" i="11"/>
  <c r="D57" i="16"/>
  <c r="C57" i="11"/>
  <c r="C57" i="16"/>
  <c r="C57" i="12"/>
  <c r="C57" i="14"/>
  <c r="K34" i="13"/>
  <c r="O34" i="13" s="1"/>
  <c r="T34" i="13"/>
  <c r="L34" i="13"/>
  <c r="D57" i="17"/>
  <c r="D57" i="12"/>
  <c r="D57" i="14"/>
  <c r="C36" i="9"/>
  <c r="E36" i="9" s="1"/>
  <c r="F58" i="13"/>
  <c r="A59" i="13"/>
  <c r="S58" i="13"/>
  <c r="I58" i="13"/>
  <c r="R58" i="13"/>
  <c r="H58" i="13"/>
  <c r="B58" i="13"/>
  <c r="I58" i="15"/>
  <c r="H58" i="15"/>
  <c r="S58" i="15"/>
  <c r="R58" i="15"/>
  <c r="B58" i="15"/>
  <c r="F58" i="15"/>
  <c r="A59" i="15"/>
  <c r="A58" i="9"/>
  <c r="B57" i="9"/>
  <c r="A60" i="16"/>
  <c r="S59" i="16"/>
  <c r="F59" i="16"/>
  <c r="R59" i="16"/>
  <c r="B59" i="16"/>
  <c r="I59" i="16"/>
  <c r="H59" i="16"/>
  <c r="G58" i="10"/>
  <c r="E58" i="10"/>
  <c r="D58" i="14" s="1"/>
  <c r="D58" i="10"/>
  <c r="J58" i="10"/>
  <c r="A59" i="10"/>
  <c r="K58" i="10"/>
  <c r="B58" i="10"/>
  <c r="C58" i="15" s="1"/>
  <c r="A61" i="11"/>
  <c r="S60" i="11"/>
  <c r="F60" i="11"/>
  <c r="I60" i="11"/>
  <c r="B60" i="11"/>
  <c r="R60" i="11"/>
  <c r="H60" i="11"/>
  <c r="S58" i="14"/>
  <c r="A59" i="14"/>
  <c r="R58" i="14"/>
  <c r="I58" i="14"/>
  <c r="H58" i="14"/>
  <c r="B58" i="14"/>
  <c r="F58" i="14"/>
  <c r="S58" i="17"/>
  <c r="B58" i="17"/>
  <c r="A59" i="17"/>
  <c r="R58" i="17"/>
  <c r="I58" i="17"/>
  <c r="H58" i="17"/>
  <c r="F58" i="17"/>
  <c r="H58" i="12"/>
  <c r="B58" i="12"/>
  <c r="A59" i="12"/>
  <c r="S58" i="12"/>
  <c r="R58" i="12"/>
  <c r="I58" i="12"/>
  <c r="F58" i="12"/>
  <c r="L36" i="11" l="1"/>
  <c r="E35" i="16"/>
  <c r="G35" i="16" s="1"/>
  <c r="J35" i="16" s="1"/>
  <c r="L35" i="16" s="1"/>
  <c r="E38" i="12"/>
  <c r="G38" i="12" s="1"/>
  <c r="J38" i="12" s="1"/>
  <c r="K38" i="12" s="1"/>
  <c r="O38" i="12" s="1"/>
  <c r="E37" i="11"/>
  <c r="G37" i="11" s="1"/>
  <c r="J37" i="11" s="1"/>
  <c r="K35" i="16"/>
  <c r="O35" i="16" s="1"/>
  <c r="K35" i="15"/>
  <c r="O35" i="15" s="1"/>
  <c r="T35" i="15"/>
  <c r="D58" i="17"/>
  <c r="D58" i="15"/>
  <c r="K36" i="17"/>
  <c r="O36" i="17" s="1"/>
  <c r="D36" i="9"/>
  <c r="F36" i="9" s="1"/>
  <c r="C58" i="10"/>
  <c r="C58" i="12"/>
  <c r="C58" i="17"/>
  <c r="C58" i="14"/>
  <c r="D58" i="13"/>
  <c r="D58" i="12"/>
  <c r="L36" i="17"/>
  <c r="K37" i="14"/>
  <c r="O37" i="14" s="1"/>
  <c r="L37" i="14"/>
  <c r="T37" i="14"/>
  <c r="E35" i="13"/>
  <c r="G35" i="13" s="1"/>
  <c r="J35" i="13" s="1"/>
  <c r="C58" i="11"/>
  <c r="C58" i="16"/>
  <c r="D58" i="11"/>
  <c r="D58" i="16"/>
  <c r="C58" i="13"/>
  <c r="B59" i="12"/>
  <c r="A60" i="12"/>
  <c r="S59" i="12"/>
  <c r="R59" i="12"/>
  <c r="I59" i="12"/>
  <c r="H59" i="12"/>
  <c r="F59" i="12"/>
  <c r="F59" i="15"/>
  <c r="A60" i="15"/>
  <c r="H59" i="15"/>
  <c r="I59" i="15"/>
  <c r="B59" i="15"/>
  <c r="S59" i="15"/>
  <c r="R59" i="15"/>
  <c r="S59" i="13"/>
  <c r="I59" i="13"/>
  <c r="B59" i="13"/>
  <c r="A60" i="13"/>
  <c r="F59" i="13"/>
  <c r="H59" i="13"/>
  <c r="R59" i="13"/>
  <c r="A60" i="10"/>
  <c r="D59" i="10"/>
  <c r="K59" i="10"/>
  <c r="J59" i="10"/>
  <c r="E59" i="10"/>
  <c r="D59" i="17" s="1"/>
  <c r="G59" i="10"/>
  <c r="B59" i="10"/>
  <c r="C59" i="15" s="1"/>
  <c r="A59" i="9"/>
  <c r="B58" i="9"/>
  <c r="I61" i="11"/>
  <c r="H61" i="11"/>
  <c r="S61" i="11"/>
  <c r="A62" i="11"/>
  <c r="B61" i="11"/>
  <c r="R61" i="11"/>
  <c r="F61" i="11"/>
  <c r="H59" i="14"/>
  <c r="A60" i="14"/>
  <c r="S59" i="14"/>
  <c r="R59" i="14"/>
  <c r="I59" i="14"/>
  <c r="B59" i="14"/>
  <c r="F59" i="14"/>
  <c r="H59" i="17"/>
  <c r="B59" i="17"/>
  <c r="A60" i="17"/>
  <c r="S59" i="17"/>
  <c r="R59" i="17"/>
  <c r="F59" i="17"/>
  <c r="I59" i="17"/>
  <c r="R60" i="16"/>
  <c r="B60" i="16"/>
  <c r="I60" i="16"/>
  <c r="H60" i="16"/>
  <c r="A61" i="16"/>
  <c r="F60" i="16"/>
  <c r="S60" i="16"/>
  <c r="T35" i="16" l="1"/>
  <c r="L38" i="12"/>
  <c r="E39" i="12" s="1"/>
  <c r="G39" i="12" s="1"/>
  <c r="J39" i="12" s="1"/>
  <c r="K39" i="12" s="1"/>
  <c r="O39" i="12" s="1"/>
  <c r="T38" i="12"/>
  <c r="T37" i="11"/>
  <c r="K37" i="11"/>
  <c r="L37" i="11"/>
  <c r="E36" i="16"/>
  <c r="G36" i="16" s="1"/>
  <c r="J36" i="16" s="1"/>
  <c r="K36" i="16" s="1"/>
  <c r="O36" i="16" s="1"/>
  <c r="C37" i="9"/>
  <c r="D37" i="9" s="1"/>
  <c r="E37" i="17"/>
  <c r="G37" i="17" s="1"/>
  <c r="J37" i="17" s="1"/>
  <c r="T37" i="17" s="1"/>
  <c r="E36" i="15"/>
  <c r="G36" i="15" s="1"/>
  <c r="J36" i="15" s="1"/>
  <c r="C59" i="17"/>
  <c r="C59" i="10"/>
  <c r="C59" i="12"/>
  <c r="D59" i="14"/>
  <c r="E38" i="14"/>
  <c r="G38" i="14" s="1"/>
  <c r="J38" i="14" s="1"/>
  <c r="D59" i="13"/>
  <c r="D59" i="15"/>
  <c r="D59" i="11"/>
  <c r="D59" i="16"/>
  <c r="C59" i="11"/>
  <c r="C59" i="16"/>
  <c r="C59" i="13"/>
  <c r="C59" i="14"/>
  <c r="D59" i="12"/>
  <c r="K35" i="13"/>
  <c r="O35" i="13" s="1"/>
  <c r="T35" i="13"/>
  <c r="L35" i="13"/>
  <c r="S60" i="15"/>
  <c r="R60" i="15"/>
  <c r="B60" i="15"/>
  <c r="I60" i="15"/>
  <c r="A61" i="15"/>
  <c r="H60" i="15"/>
  <c r="F60" i="15"/>
  <c r="B59" i="9"/>
  <c r="A60" i="9"/>
  <c r="R60" i="12"/>
  <c r="B60" i="12"/>
  <c r="A61" i="12"/>
  <c r="S60" i="12"/>
  <c r="I60" i="12"/>
  <c r="H60" i="12"/>
  <c r="F60" i="12"/>
  <c r="A61" i="14"/>
  <c r="S60" i="14"/>
  <c r="R60" i="14"/>
  <c r="I60" i="14"/>
  <c r="H60" i="14"/>
  <c r="F60" i="14"/>
  <c r="B60" i="14"/>
  <c r="B60" i="17"/>
  <c r="A61" i="17"/>
  <c r="S60" i="17"/>
  <c r="F60" i="17"/>
  <c r="I60" i="17"/>
  <c r="H60" i="17"/>
  <c r="R60" i="17"/>
  <c r="F62" i="11"/>
  <c r="H62" i="11"/>
  <c r="I62" i="11"/>
  <c r="S62" i="11"/>
  <c r="R62" i="11"/>
  <c r="A63" i="11"/>
  <c r="B62" i="11"/>
  <c r="F61" i="16"/>
  <c r="I61" i="16"/>
  <c r="H61" i="16"/>
  <c r="B61" i="16"/>
  <c r="A62" i="16"/>
  <c r="S61" i="16"/>
  <c r="R61" i="16"/>
  <c r="G60" i="10"/>
  <c r="K60" i="10"/>
  <c r="A61" i="10"/>
  <c r="J60" i="10"/>
  <c r="D60" i="10"/>
  <c r="B60" i="10"/>
  <c r="C60" i="13" s="1"/>
  <c r="E60" i="10"/>
  <c r="D60" i="13" s="1"/>
  <c r="H60" i="13"/>
  <c r="F60" i="13"/>
  <c r="S60" i="13"/>
  <c r="I60" i="13"/>
  <c r="A61" i="13"/>
  <c r="R60" i="13"/>
  <c r="B60" i="13"/>
  <c r="T39" i="12" l="1"/>
  <c r="L39" i="12"/>
  <c r="E40" i="12" s="1"/>
  <c r="G40" i="12" s="1"/>
  <c r="J40" i="12" s="1"/>
  <c r="K40" i="12" s="1"/>
  <c r="O40" i="12" s="1"/>
  <c r="L36" i="16"/>
  <c r="T36" i="16"/>
  <c r="O37" i="11"/>
  <c r="E38" i="11"/>
  <c r="G38" i="11" s="1"/>
  <c r="J38" i="11" s="1"/>
  <c r="E37" i="9"/>
  <c r="L37" i="17"/>
  <c r="K37" i="17"/>
  <c r="O37" i="17" s="1"/>
  <c r="T36" i="15"/>
  <c r="K36" i="15"/>
  <c r="L36" i="15"/>
  <c r="E36" i="13"/>
  <c r="G36" i="13" s="1"/>
  <c r="J36" i="13" s="1"/>
  <c r="K36" i="13" s="1"/>
  <c r="O36" i="13" s="1"/>
  <c r="E37" i="16"/>
  <c r="G37" i="16" s="1"/>
  <c r="J37" i="16" s="1"/>
  <c r="L37" i="16" s="1"/>
  <c r="D60" i="17"/>
  <c r="L38" i="14"/>
  <c r="K38" i="14"/>
  <c r="O38" i="14" s="1"/>
  <c r="T38" i="14"/>
  <c r="D60" i="15"/>
  <c r="C60" i="15"/>
  <c r="D60" i="11"/>
  <c r="D60" i="16"/>
  <c r="C60" i="11"/>
  <c r="C60" i="16"/>
  <c r="C60" i="17"/>
  <c r="C60" i="14"/>
  <c r="C60" i="10"/>
  <c r="C60" i="12"/>
  <c r="D60" i="14"/>
  <c r="D60" i="12"/>
  <c r="F37" i="9"/>
  <c r="C38" i="9"/>
  <c r="E61" i="10"/>
  <c r="D61" i="15" s="1"/>
  <c r="A62" i="10"/>
  <c r="D61" i="10"/>
  <c r="G61" i="10"/>
  <c r="K61" i="10"/>
  <c r="J61" i="10"/>
  <c r="B61" i="10"/>
  <c r="C61" i="10" s="1"/>
  <c r="R61" i="14"/>
  <c r="B61" i="14"/>
  <c r="A62" i="14"/>
  <c r="S61" i="14"/>
  <c r="I61" i="14"/>
  <c r="H61" i="14"/>
  <c r="F61" i="14"/>
  <c r="A63" i="16"/>
  <c r="S62" i="16"/>
  <c r="R62" i="16"/>
  <c r="B62" i="16"/>
  <c r="F62" i="16"/>
  <c r="I62" i="16"/>
  <c r="H62" i="16"/>
  <c r="R61" i="17"/>
  <c r="B61" i="17"/>
  <c r="F61" i="17"/>
  <c r="S61" i="17"/>
  <c r="I61" i="17"/>
  <c r="H61" i="17"/>
  <c r="A62" i="17"/>
  <c r="H61" i="15"/>
  <c r="F61" i="15"/>
  <c r="R61" i="15"/>
  <c r="B61" i="15"/>
  <c r="S61" i="15"/>
  <c r="I61" i="15"/>
  <c r="A62" i="15"/>
  <c r="S61" i="13"/>
  <c r="B61" i="13"/>
  <c r="F61" i="13"/>
  <c r="R61" i="13"/>
  <c r="H61" i="13"/>
  <c r="A62" i="13"/>
  <c r="I61" i="13"/>
  <c r="B61" i="12"/>
  <c r="A62" i="12"/>
  <c r="S61" i="12"/>
  <c r="I61" i="12"/>
  <c r="H61" i="12"/>
  <c r="R61" i="12"/>
  <c r="F61" i="12"/>
  <c r="B60" i="9"/>
  <c r="A61" i="9"/>
  <c r="S63" i="11"/>
  <c r="R63" i="11"/>
  <c r="B63" i="11"/>
  <c r="H63" i="11"/>
  <c r="F63" i="11"/>
  <c r="I63" i="11"/>
  <c r="A64" i="11"/>
  <c r="T40" i="12" l="1"/>
  <c r="L40" i="12"/>
  <c r="E41" i="12" s="1"/>
  <c r="G41" i="12" s="1"/>
  <c r="J41" i="12" s="1"/>
  <c r="T41" i="12" s="1"/>
  <c r="K38" i="11"/>
  <c r="L38" i="11"/>
  <c r="T38" i="11"/>
  <c r="E38" i="17"/>
  <c r="G38" i="17" s="1"/>
  <c r="J38" i="17" s="1"/>
  <c r="L38" i="17" s="1"/>
  <c r="C61" i="14"/>
  <c r="D61" i="17"/>
  <c r="L36" i="13"/>
  <c r="E37" i="13" s="1"/>
  <c r="G37" i="13" s="1"/>
  <c r="J37" i="13" s="1"/>
  <c r="T36" i="13"/>
  <c r="O36" i="15"/>
  <c r="E37" i="15"/>
  <c r="G37" i="15" s="1"/>
  <c r="J37" i="15" s="1"/>
  <c r="E39" i="14"/>
  <c r="G39" i="14" s="1"/>
  <c r="J39" i="14" s="1"/>
  <c r="L39" i="14" s="1"/>
  <c r="C61" i="15"/>
  <c r="K37" i="16"/>
  <c r="O37" i="16" s="1"/>
  <c r="C61" i="12"/>
  <c r="D61" i="13"/>
  <c r="T37" i="16"/>
  <c r="D61" i="12"/>
  <c r="C61" i="17"/>
  <c r="D61" i="14"/>
  <c r="C61" i="11"/>
  <c r="C61" i="16"/>
  <c r="C61" i="13"/>
  <c r="D61" i="11"/>
  <c r="D61" i="16"/>
  <c r="D38" i="9"/>
  <c r="F38" i="9" s="1"/>
  <c r="E38" i="9"/>
  <c r="I63" i="16"/>
  <c r="H63" i="16"/>
  <c r="S63" i="16"/>
  <c r="R63" i="16"/>
  <c r="B63" i="16"/>
  <c r="F63" i="16"/>
  <c r="A64" i="16"/>
  <c r="A63" i="12"/>
  <c r="B62" i="12"/>
  <c r="S62" i="12"/>
  <c r="F62" i="12"/>
  <c r="R62" i="12"/>
  <c r="H62" i="12"/>
  <c r="I62" i="12"/>
  <c r="R62" i="13"/>
  <c r="B62" i="13"/>
  <c r="H62" i="13"/>
  <c r="S62" i="13"/>
  <c r="A63" i="13"/>
  <c r="F62" i="13"/>
  <c r="I62" i="13"/>
  <c r="A63" i="15"/>
  <c r="S62" i="15"/>
  <c r="I62" i="15"/>
  <c r="H62" i="15"/>
  <c r="F62" i="15"/>
  <c r="B62" i="15"/>
  <c r="R62" i="15"/>
  <c r="B62" i="17"/>
  <c r="F62" i="17"/>
  <c r="A63" i="17"/>
  <c r="I62" i="17"/>
  <c r="H62" i="17"/>
  <c r="S62" i="17"/>
  <c r="R62" i="17"/>
  <c r="A62" i="9"/>
  <c r="B61" i="9"/>
  <c r="K62" i="10"/>
  <c r="J62" i="10"/>
  <c r="E62" i="10"/>
  <c r="D62" i="14" s="1"/>
  <c r="D62" i="10"/>
  <c r="G62" i="10"/>
  <c r="A63" i="10"/>
  <c r="B62" i="10"/>
  <c r="C62" i="17" s="1"/>
  <c r="B62" i="14"/>
  <c r="A63" i="14"/>
  <c r="S62" i="14"/>
  <c r="R62" i="14"/>
  <c r="I62" i="14"/>
  <c r="H62" i="14"/>
  <c r="F62" i="14"/>
  <c r="H64" i="11"/>
  <c r="R64" i="11"/>
  <c r="B64" i="11"/>
  <c r="F64" i="11"/>
  <c r="S64" i="11"/>
  <c r="I64" i="11"/>
  <c r="A65" i="11"/>
  <c r="K41" i="12" l="1"/>
  <c r="O41" i="12" s="1"/>
  <c r="L41" i="12"/>
  <c r="O38" i="11"/>
  <c r="E39" i="11"/>
  <c r="G39" i="11" s="1"/>
  <c r="J39" i="11" s="1"/>
  <c r="T38" i="17"/>
  <c r="K38" i="17"/>
  <c r="O38" i="17" s="1"/>
  <c r="L37" i="15"/>
  <c r="T37" i="15"/>
  <c r="K37" i="15"/>
  <c r="K39" i="14"/>
  <c r="O39" i="14" s="1"/>
  <c r="T39" i="14"/>
  <c r="E38" i="16"/>
  <c r="G38" i="16" s="1"/>
  <c r="J38" i="16" s="1"/>
  <c r="L38" i="16" s="1"/>
  <c r="E42" i="12"/>
  <c r="G42" i="12" s="1"/>
  <c r="J42" i="12" s="1"/>
  <c r="K42" i="12" s="1"/>
  <c r="O42" i="12" s="1"/>
  <c r="C62" i="10"/>
  <c r="C62" i="15"/>
  <c r="C62" i="13"/>
  <c r="C62" i="14"/>
  <c r="D62" i="15"/>
  <c r="C62" i="12"/>
  <c r="D62" i="11"/>
  <c r="D62" i="16"/>
  <c r="C62" i="11"/>
  <c r="C62" i="16"/>
  <c r="D62" i="17"/>
  <c r="D62" i="13"/>
  <c r="D62" i="12"/>
  <c r="K37" i="13"/>
  <c r="O37" i="13" s="1"/>
  <c r="T37" i="13"/>
  <c r="L37" i="13"/>
  <c r="C39" i="9"/>
  <c r="D39" i="9" s="1"/>
  <c r="A63" i="9"/>
  <c r="B62" i="9"/>
  <c r="B63" i="13"/>
  <c r="I63" i="13"/>
  <c r="A64" i="13"/>
  <c r="H63" i="13"/>
  <c r="F63" i="13"/>
  <c r="S63" i="13"/>
  <c r="R63" i="13"/>
  <c r="G63" i="10"/>
  <c r="J63" i="10"/>
  <c r="A64" i="10"/>
  <c r="K63" i="10"/>
  <c r="E63" i="10"/>
  <c r="D63" i="14" s="1"/>
  <c r="D63" i="10"/>
  <c r="B63" i="10"/>
  <c r="C63" i="17" s="1"/>
  <c r="A66" i="11"/>
  <c r="S65" i="11"/>
  <c r="R65" i="11"/>
  <c r="F65" i="11"/>
  <c r="B65" i="11"/>
  <c r="I65" i="11"/>
  <c r="H65" i="11"/>
  <c r="I63" i="12"/>
  <c r="B63" i="12"/>
  <c r="F63" i="12"/>
  <c r="A64" i="12"/>
  <c r="H63" i="12"/>
  <c r="R63" i="12"/>
  <c r="S63" i="12"/>
  <c r="A64" i="14"/>
  <c r="B63" i="14"/>
  <c r="S63" i="14"/>
  <c r="R63" i="14"/>
  <c r="I63" i="14"/>
  <c r="F63" i="14"/>
  <c r="H63" i="14"/>
  <c r="A64" i="17"/>
  <c r="B63" i="17"/>
  <c r="S63" i="17"/>
  <c r="R63" i="17"/>
  <c r="H63" i="17"/>
  <c r="I63" i="17"/>
  <c r="F63" i="17"/>
  <c r="F64" i="16"/>
  <c r="A65" i="16"/>
  <c r="H64" i="16"/>
  <c r="I64" i="16"/>
  <c r="S64" i="16"/>
  <c r="R64" i="16"/>
  <c r="B64" i="16"/>
  <c r="R63" i="15"/>
  <c r="B63" i="15"/>
  <c r="I63" i="15"/>
  <c r="H63" i="15"/>
  <c r="A64" i="15"/>
  <c r="S63" i="15"/>
  <c r="F63" i="15"/>
  <c r="K39" i="11" l="1"/>
  <c r="O39" i="11" s="1"/>
  <c r="L39" i="11"/>
  <c r="T39" i="11"/>
  <c r="E39" i="17"/>
  <c r="G39" i="17" s="1"/>
  <c r="J39" i="17" s="1"/>
  <c r="T39" i="17" s="1"/>
  <c r="L42" i="12"/>
  <c r="E43" i="12" s="1"/>
  <c r="G43" i="12" s="1"/>
  <c r="J43" i="12" s="1"/>
  <c r="O37" i="15"/>
  <c r="E38" i="15"/>
  <c r="G38" i="15" s="1"/>
  <c r="J38" i="15" s="1"/>
  <c r="C63" i="15"/>
  <c r="T42" i="12"/>
  <c r="E40" i="14"/>
  <c r="G40" i="14" s="1"/>
  <c r="J40" i="14" s="1"/>
  <c r="T40" i="14" s="1"/>
  <c r="K38" i="16"/>
  <c r="O38" i="16" s="1"/>
  <c r="T38" i="16"/>
  <c r="C63" i="12"/>
  <c r="D63" i="12"/>
  <c r="D63" i="13"/>
  <c r="C63" i="13"/>
  <c r="C63" i="10"/>
  <c r="C63" i="14"/>
  <c r="D63" i="17"/>
  <c r="D63" i="11"/>
  <c r="D63" i="16"/>
  <c r="D63" i="15"/>
  <c r="C63" i="11"/>
  <c r="C63" i="16"/>
  <c r="E39" i="9"/>
  <c r="E38" i="13"/>
  <c r="G38" i="13" s="1"/>
  <c r="J38" i="13" s="1"/>
  <c r="F39" i="9"/>
  <c r="C40" i="9"/>
  <c r="B63" i="9"/>
  <c r="A64" i="9"/>
  <c r="A65" i="13"/>
  <c r="R64" i="13"/>
  <c r="B64" i="13"/>
  <c r="F64" i="13"/>
  <c r="I64" i="13"/>
  <c r="S64" i="13"/>
  <c r="H64" i="13"/>
  <c r="S65" i="16"/>
  <c r="R65" i="16"/>
  <c r="B65" i="16"/>
  <c r="I65" i="16"/>
  <c r="A66" i="16"/>
  <c r="H65" i="16"/>
  <c r="F65" i="16"/>
  <c r="I64" i="14"/>
  <c r="B64" i="14"/>
  <c r="A65" i="14"/>
  <c r="S64" i="14"/>
  <c r="H64" i="14"/>
  <c r="F64" i="14"/>
  <c r="R64" i="14"/>
  <c r="E64" i="10"/>
  <c r="D64" i="17" s="1"/>
  <c r="A65" i="10"/>
  <c r="D64" i="10"/>
  <c r="K64" i="10"/>
  <c r="G64" i="10"/>
  <c r="J64" i="10"/>
  <c r="B64" i="10"/>
  <c r="C64" i="17" s="1"/>
  <c r="I64" i="17"/>
  <c r="S64" i="17"/>
  <c r="R64" i="17"/>
  <c r="F64" i="17"/>
  <c r="A65" i="17"/>
  <c r="H64" i="17"/>
  <c r="B64" i="17"/>
  <c r="F64" i="12"/>
  <c r="B64" i="12"/>
  <c r="S64" i="12"/>
  <c r="R64" i="12"/>
  <c r="I64" i="12"/>
  <c r="H64" i="12"/>
  <c r="A65" i="12"/>
  <c r="R66" i="11"/>
  <c r="B66" i="11"/>
  <c r="I66" i="11"/>
  <c r="H66" i="11"/>
  <c r="A67" i="11"/>
  <c r="F66" i="11"/>
  <c r="S66" i="11"/>
  <c r="F64" i="15"/>
  <c r="I64" i="15"/>
  <c r="S64" i="15"/>
  <c r="R64" i="15"/>
  <c r="B64" i="15"/>
  <c r="H64" i="15"/>
  <c r="A65" i="15"/>
  <c r="E40" i="11" l="1"/>
  <c r="G40" i="11" s="1"/>
  <c r="J40" i="11" s="1"/>
  <c r="K40" i="11" s="1"/>
  <c r="O40" i="11" s="1"/>
  <c r="L39" i="17"/>
  <c r="K39" i="17"/>
  <c r="T38" i="15"/>
  <c r="K38" i="15"/>
  <c r="L38" i="15"/>
  <c r="K40" i="14"/>
  <c r="O40" i="14" s="1"/>
  <c r="L40" i="14"/>
  <c r="E39" i="16"/>
  <c r="G39" i="16" s="1"/>
  <c r="J39" i="16" s="1"/>
  <c r="C64" i="14"/>
  <c r="D64" i="14"/>
  <c r="C64" i="13"/>
  <c r="C64" i="10"/>
  <c r="C64" i="15"/>
  <c r="D64" i="12"/>
  <c r="D64" i="15"/>
  <c r="K38" i="13"/>
  <c r="O38" i="13" s="1"/>
  <c r="T38" i="13"/>
  <c r="L38" i="13"/>
  <c r="C64" i="11"/>
  <c r="C64" i="16"/>
  <c r="K43" i="12"/>
  <c r="O43" i="12" s="1"/>
  <c r="T43" i="12"/>
  <c r="L43" i="12"/>
  <c r="C64" i="12"/>
  <c r="D64" i="11"/>
  <c r="D64" i="16"/>
  <c r="D64" i="13"/>
  <c r="E40" i="9"/>
  <c r="D40" i="9"/>
  <c r="F40" i="9" s="1"/>
  <c r="J65" i="10"/>
  <c r="A66" i="10"/>
  <c r="D65" i="10"/>
  <c r="G65" i="10"/>
  <c r="E65" i="10"/>
  <c r="D65" i="17" s="1"/>
  <c r="K65" i="10"/>
  <c r="B65" i="10"/>
  <c r="C65" i="12" s="1"/>
  <c r="S65" i="12"/>
  <c r="B65" i="12"/>
  <c r="A66" i="12"/>
  <c r="I65" i="12"/>
  <c r="R65" i="12"/>
  <c r="H65" i="12"/>
  <c r="F65" i="12"/>
  <c r="H66" i="16"/>
  <c r="F66" i="16"/>
  <c r="R66" i="16"/>
  <c r="B66" i="16"/>
  <c r="S66" i="16"/>
  <c r="A67" i="16"/>
  <c r="I66" i="16"/>
  <c r="I65" i="13"/>
  <c r="B65" i="13"/>
  <c r="S65" i="13"/>
  <c r="R65" i="13"/>
  <c r="H65" i="13"/>
  <c r="F65" i="13"/>
  <c r="A66" i="13"/>
  <c r="F65" i="14"/>
  <c r="B65" i="14"/>
  <c r="A66" i="14"/>
  <c r="S65" i="14"/>
  <c r="R65" i="14"/>
  <c r="I65" i="14"/>
  <c r="H65" i="14"/>
  <c r="B64" i="9"/>
  <c r="A65" i="9"/>
  <c r="A66" i="15"/>
  <c r="S65" i="15"/>
  <c r="R65" i="15"/>
  <c r="B65" i="15"/>
  <c r="F65" i="15"/>
  <c r="H65" i="15"/>
  <c r="I65" i="15"/>
  <c r="F65" i="17"/>
  <c r="A66" i="17"/>
  <c r="B65" i="17"/>
  <c r="S65" i="17"/>
  <c r="H65" i="17"/>
  <c r="I65" i="17"/>
  <c r="R65" i="17"/>
  <c r="F67" i="11"/>
  <c r="I67" i="11"/>
  <c r="A68" i="11"/>
  <c r="R67" i="11"/>
  <c r="B67" i="11"/>
  <c r="S67" i="11"/>
  <c r="H67" i="11"/>
  <c r="L40" i="11" l="1"/>
  <c r="T40" i="11"/>
  <c r="E41" i="11"/>
  <c r="G41" i="11" s="1"/>
  <c r="J41" i="11" s="1"/>
  <c r="L41" i="11" s="1"/>
  <c r="O39" i="17"/>
  <c r="E40" i="17"/>
  <c r="G40" i="17" s="1"/>
  <c r="J40" i="17" s="1"/>
  <c r="E41" i="14"/>
  <c r="G41" i="14" s="1"/>
  <c r="J41" i="14" s="1"/>
  <c r="T41" i="14" s="1"/>
  <c r="O38" i="15"/>
  <c r="E39" i="15"/>
  <c r="G39" i="15" s="1"/>
  <c r="J39" i="15" s="1"/>
  <c r="T39" i="16"/>
  <c r="K39" i="16"/>
  <c r="O39" i="16" s="1"/>
  <c r="L39" i="16"/>
  <c r="C65" i="14"/>
  <c r="C65" i="13"/>
  <c r="C65" i="17"/>
  <c r="C65" i="10"/>
  <c r="D65" i="11"/>
  <c r="D65" i="16"/>
  <c r="D65" i="14"/>
  <c r="D65" i="15"/>
  <c r="D65" i="13"/>
  <c r="C65" i="11"/>
  <c r="C65" i="16"/>
  <c r="E44" i="12"/>
  <c r="G44" i="12" s="1"/>
  <c r="J44" i="12" s="1"/>
  <c r="C65" i="15"/>
  <c r="D65" i="12"/>
  <c r="E39" i="13"/>
  <c r="G39" i="13" s="1"/>
  <c r="J39" i="13" s="1"/>
  <c r="C41" i="9"/>
  <c r="I66" i="15"/>
  <c r="H66" i="15"/>
  <c r="S66" i="15"/>
  <c r="A67" i="15"/>
  <c r="R66" i="15"/>
  <c r="B66" i="15"/>
  <c r="F66" i="15"/>
  <c r="F66" i="13"/>
  <c r="A67" i="13"/>
  <c r="I66" i="13"/>
  <c r="S66" i="13"/>
  <c r="H66" i="13"/>
  <c r="R66" i="13"/>
  <c r="B66" i="13"/>
  <c r="H66" i="12"/>
  <c r="F66" i="12"/>
  <c r="B66" i="12"/>
  <c r="S66" i="12"/>
  <c r="A67" i="12"/>
  <c r="I66" i="12"/>
  <c r="R66" i="12"/>
  <c r="A69" i="11"/>
  <c r="S68" i="11"/>
  <c r="R68" i="11"/>
  <c r="B68" i="11"/>
  <c r="F68" i="11"/>
  <c r="I68" i="11"/>
  <c r="H68" i="11"/>
  <c r="G66" i="10"/>
  <c r="E66" i="10"/>
  <c r="D66" i="15" s="1"/>
  <c r="A67" i="10"/>
  <c r="K66" i="10"/>
  <c r="J66" i="10"/>
  <c r="D66" i="10"/>
  <c r="B66" i="10"/>
  <c r="C66" i="15" s="1"/>
  <c r="A66" i="9"/>
  <c r="B65" i="9"/>
  <c r="S66" i="17"/>
  <c r="F66" i="17"/>
  <c r="I66" i="17"/>
  <c r="A67" i="17"/>
  <c r="H66" i="17"/>
  <c r="B66" i="17"/>
  <c r="R66" i="17"/>
  <c r="S66" i="14"/>
  <c r="B66" i="14"/>
  <c r="F66" i="14"/>
  <c r="A67" i="14"/>
  <c r="I66" i="14"/>
  <c r="H66" i="14"/>
  <c r="R66" i="14"/>
  <c r="A68" i="16"/>
  <c r="S67" i="16"/>
  <c r="I67" i="16"/>
  <c r="H67" i="16"/>
  <c r="F67" i="16"/>
  <c r="R67" i="16"/>
  <c r="B67" i="16"/>
  <c r="K41" i="11" l="1"/>
  <c r="O41" i="11" s="1"/>
  <c r="T41" i="11"/>
  <c r="E42" i="11"/>
  <c r="G42" i="11" s="1"/>
  <c r="J42" i="11" s="1"/>
  <c r="L41" i="14"/>
  <c r="K41" i="14"/>
  <c r="O41" i="14" s="1"/>
  <c r="K40" i="17"/>
  <c r="L40" i="17"/>
  <c r="T40" i="17"/>
  <c r="E40" i="16"/>
  <c r="G40" i="16" s="1"/>
  <c r="J40" i="16" s="1"/>
  <c r="T40" i="16" s="1"/>
  <c r="K39" i="15"/>
  <c r="T39" i="15"/>
  <c r="L39" i="15"/>
  <c r="D66" i="14"/>
  <c r="D66" i="12"/>
  <c r="D66" i="17"/>
  <c r="C66" i="14"/>
  <c r="C66" i="17"/>
  <c r="C66" i="12"/>
  <c r="K44" i="12"/>
  <c r="O44" i="12" s="1"/>
  <c r="T44" i="12"/>
  <c r="L44" i="12"/>
  <c r="C66" i="11"/>
  <c r="C66" i="16"/>
  <c r="D66" i="11"/>
  <c r="D66" i="16"/>
  <c r="C66" i="13"/>
  <c r="C66" i="10"/>
  <c r="D66" i="13"/>
  <c r="K39" i="13"/>
  <c r="O39" i="13" s="1"/>
  <c r="L39" i="13"/>
  <c r="T39" i="13"/>
  <c r="D41" i="9"/>
  <c r="F41" i="9" s="1"/>
  <c r="E41" i="9"/>
  <c r="S67" i="13"/>
  <c r="R67" i="13"/>
  <c r="B67" i="13"/>
  <c r="I67" i="13"/>
  <c r="F67" i="13"/>
  <c r="H67" i="13"/>
  <c r="A68" i="13"/>
  <c r="A67" i="9"/>
  <c r="B66" i="9"/>
  <c r="R68" i="16"/>
  <c r="B68" i="16"/>
  <c r="I68" i="16"/>
  <c r="H68" i="16"/>
  <c r="A69" i="16"/>
  <c r="F68" i="16"/>
  <c r="S68" i="16"/>
  <c r="H67" i="14"/>
  <c r="B67" i="14"/>
  <c r="F67" i="14"/>
  <c r="S67" i="14"/>
  <c r="R67" i="14"/>
  <c r="A68" i="14"/>
  <c r="I67" i="14"/>
  <c r="F67" i="15"/>
  <c r="A68" i="15"/>
  <c r="H67" i="15"/>
  <c r="R67" i="15"/>
  <c r="B67" i="15"/>
  <c r="S67" i="15"/>
  <c r="I67" i="15"/>
  <c r="A68" i="10"/>
  <c r="D67" i="10"/>
  <c r="K67" i="10"/>
  <c r="J67" i="10"/>
  <c r="G67" i="10"/>
  <c r="E67" i="10"/>
  <c r="D67" i="15" s="1"/>
  <c r="B67" i="10"/>
  <c r="C67" i="14" s="1"/>
  <c r="H67" i="17"/>
  <c r="F67" i="17"/>
  <c r="I67" i="17"/>
  <c r="S67" i="17"/>
  <c r="A68" i="17"/>
  <c r="B67" i="17"/>
  <c r="R67" i="17"/>
  <c r="I69" i="11"/>
  <c r="H69" i="11"/>
  <c r="S69" i="11"/>
  <c r="F69" i="11"/>
  <c r="A70" i="11"/>
  <c r="B69" i="11"/>
  <c r="R69" i="11"/>
  <c r="F67" i="12"/>
  <c r="H67" i="12"/>
  <c r="A68" i="12"/>
  <c r="S67" i="12"/>
  <c r="R67" i="12"/>
  <c r="B67" i="12"/>
  <c r="I67" i="12"/>
  <c r="K42" i="11" l="1"/>
  <c r="O42" i="11" s="1"/>
  <c r="L42" i="11"/>
  <c r="E43" i="11" s="1"/>
  <c r="G43" i="11" s="1"/>
  <c r="J43" i="11" s="1"/>
  <c r="T42" i="11"/>
  <c r="E42" i="14"/>
  <c r="G42" i="14" s="1"/>
  <c r="J42" i="14" s="1"/>
  <c r="K42" i="14" s="1"/>
  <c r="O42" i="14" s="1"/>
  <c r="O40" i="17"/>
  <c r="E41" i="17"/>
  <c r="G41" i="17" s="1"/>
  <c r="J41" i="17" s="1"/>
  <c r="L40" i="16"/>
  <c r="K40" i="16"/>
  <c r="O40" i="16" s="1"/>
  <c r="C67" i="12"/>
  <c r="O39" i="15"/>
  <c r="E40" i="15"/>
  <c r="G40" i="15" s="1"/>
  <c r="J40" i="15" s="1"/>
  <c r="D67" i="12"/>
  <c r="E40" i="13"/>
  <c r="G40" i="13" s="1"/>
  <c r="J40" i="13" s="1"/>
  <c r="K40" i="13" s="1"/>
  <c r="O40" i="13" s="1"/>
  <c r="C67" i="13"/>
  <c r="C67" i="17"/>
  <c r="D67" i="17"/>
  <c r="D67" i="11"/>
  <c r="D67" i="16"/>
  <c r="D67" i="14"/>
  <c r="D67" i="13"/>
  <c r="C67" i="11"/>
  <c r="C67" i="16"/>
  <c r="E45" i="12"/>
  <c r="G45" i="12" s="1"/>
  <c r="J45" i="12" s="1"/>
  <c r="C67" i="15"/>
  <c r="C67" i="10"/>
  <c r="C42" i="9"/>
  <c r="E42" i="9" s="1"/>
  <c r="S68" i="17"/>
  <c r="I68" i="17"/>
  <c r="R68" i="17"/>
  <c r="F68" i="17"/>
  <c r="A69" i="17"/>
  <c r="B68" i="17"/>
  <c r="H68" i="17"/>
  <c r="B67" i="9"/>
  <c r="A68" i="9"/>
  <c r="R68" i="12"/>
  <c r="B68" i="12"/>
  <c r="F68" i="12"/>
  <c r="H68" i="12"/>
  <c r="A69" i="12"/>
  <c r="S68" i="12"/>
  <c r="I68" i="12"/>
  <c r="G68" i="10"/>
  <c r="K68" i="10"/>
  <c r="E68" i="10"/>
  <c r="D68" i="14" s="1"/>
  <c r="D68" i="10"/>
  <c r="B68" i="10"/>
  <c r="C68" i="14" s="1"/>
  <c r="A69" i="10"/>
  <c r="J68" i="10"/>
  <c r="S68" i="15"/>
  <c r="R68" i="15"/>
  <c r="B68" i="15"/>
  <c r="I68" i="15"/>
  <c r="F68" i="15"/>
  <c r="A69" i="15"/>
  <c r="H68" i="15"/>
  <c r="B68" i="14"/>
  <c r="A69" i="14"/>
  <c r="I68" i="14"/>
  <c r="H68" i="14"/>
  <c r="F68" i="14"/>
  <c r="S68" i="14"/>
  <c r="R68" i="14"/>
  <c r="F70" i="11"/>
  <c r="A71" i="11"/>
  <c r="H70" i="11"/>
  <c r="I70" i="11"/>
  <c r="B70" i="11"/>
  <c r="S70" i="11"/>
  <c r="R70" i="11"/>
  <c r="H68" i="13"/>
  <c r="F68" i="13"/>
  <c r="S68" i="13"/>
  <c r="R68" i="13"/>
  <c r="A69" i="13"/>
  <c r="I68" i="13"/>
  <c r="B68" i="13"/>
  <c r="F69" i="16"/>
  <c r="I69" i="16"/>
  <c r="S69" i="16"/>
  <c r="R69" i="16"/>
  <c r="B69" i="16"/>
  <c r="A70" i="16"/>
  <c r="H69" i="16"/>
  <c r="T42" i="14" l="1"/>
  <c r="L42" i="14"/>
  <c r="L43" i="11"/>
  <c r="K43" i="11"/>
  <c r="O43" i="11" s="1"/>
  <c r="T43" i="11"/>
  <c r="K41" i="17"/>
  <c r="O41" i="17" s="1"/>
  <c r="L41" i="17"/>
  <c r="T41" i="17"/>
  <c r="E41" i="16"/>
  <c r="G41" i="16" s="1"/>
  <c r="J41" i="16" s="1"/>
  <c r="L41" i="16" s="1"/>
  <c r="T40" i="15"/>
  <c r="K40" i="15"/>
  <c r="L40" i="15"/>
  <c r="E43" i="14"/>
  <c r="G43" i="14" s="1"/>
  <c r="J43" i="14" s="1"/>
  <c r="T43" i="14" s="1"/>
  <c r="T40" i="13"/>
  <c r="L40" i="13"/>
  <c r="E41" i="13" s="1"/>
  <c r="G41" i="13" s="1"/>
  <c r="J41" i="13" s="1"/>
  <c r="C68" i="15"/>
  <c r="C68" i="12"/>
  <c r="C68" i="17"/>
  <c r="C68" i="13"/>
  <c r="D68" i="15"/>
  <c r="D68" i="12"/>
  <c r="K45" i="12"/>
  <c r="O45" i="12" s="1"/>
  <c r="T45" i="12"/>
  <c r="L45" i="12"/>
  <c r="C68" i="11"/>
  <c r="C68" i="16"/>
  <c r="D68" i="11"/>
  <c r="D68" i="16"/>
  <c r="C68" i="10"/>
  <c r="D68" i="13"/>
  <c r="D68" i="17"/>
  <c r="D42" i="9"/>
  <c r="F42" i="9" s="1"/>
  <c r="A71" i="16"/>
  <c r="S70" i="16"/>
  <c r="R70" i="16"/>
  <c r="B70" i="16"/>
  <c r="F70" i="16"/>
  <c r="H70" i="16"/>
  <c r="I70" i="16"/>
  <c r="S71" i="11"/>
  <c r="R71" i="11"/>
  <c r="B71" i="11"/>
  <c r="I71" i="11"/>
  <c r="F71" i="11"/>
  <c r="H71" i="11"/>
  <c r="A72" i="11"/>
  <c r="B68" i="9"/>
  <c r="A69" i="9"/>
  <c r="H69" i="15"/>
  <c r="F69" i="15"/>
  <c r="R69" i="15"/>
  <c r="B69" i="15"/>
  <c r="A70" i="15"/>
  <c r="I69" i="15"/>
  <c r="S69" i="15"/>
  <c r="A70" i="13"/>
  <c r="S69" i="13"/>
  <c r="F69" i="13"/>
  <c r="B69" i="13"/>
  <c r="H69" i="13"/>
  <c r="I69" i="13"/>
  <c r="R69" i="13"/>
  <c r="F69" i="12"/>
  <c r="R69" i="12"/>
  <c r="I69" i="12"/>
  <c r="B69" i="12"/>
  <c r="A70" i="12"/>
  <c r="S69" i="12"/>
  <c r="H69" i="12"/>
  <c r="E69" i="10"/>
  <c r="D69" i="12" s="1"/>
  <c r="A70" i="10"/>
  <c r="D69" i="10"/>
  <c r="K69" i="10"/>
  <c r="G69" i="10"/>
  <c r="J69" i="10"/>
  <c r="B69" i="10"/>
  <c r="C69" i="14" s="1"/>
  <c r="R69" i="14"/>
  <c r="B69" i="14"/>
  <c r="S69" i="14"/>
  <c r="I69" i="14"/>
  <c r="H69" i="14"/>
  <c r="F69" i="14"/>
  <c r="A70" i="14"/>
  <c r="R69" i="17"/>
  <c r="B69" i="17"/>
  <c r="A70" i="17"/>
  <c r="F69" i="17"/>
  <c r="S69" i="17"/>
  <c r="H69" i="17"/>
  <c r="I69" i="17"/>
  <c r="E44" i="11" l="1"/>
  <c r="G44" i="11" s="1"/>
  <c r="J44" i="11" s="1"/>
  <c r="K44" i="11" s="1"/>
  <c r="O44" i="11" s="1"/>
  <c r="E42" i="17"/>
  <c r="G42" i="17" s="1"/>
  <c r="J42" i="17" s="1"/>
  <c r="T42" i="17" s="1"/>
  <c r="T41" i="16"/>
  <c r="K41" i="16"/>
  <c r="E42" i="16" s="1"/>
  <c r="G42" i="16" s="1"/>
  <c r="J42" i="16" s="1"/>
  <c r="T42" i="16" s="1"/>
  <c r="C69" i="10"/>
  <c r="L43" i="14"/>
  <c r="K43" i="14"/>
  <c r="O43" i="14" s="1"/>
  <c r="O40" i="15"/>
  <c r="E41" i="15"/>
  <c r="G41" i="15" s="1"/>
  <c r="J41" i="15" s="1"/>
  <c r="T41" i="13"/>
  <c r="L41" i="13"/>
  <c r="K41" i="13"/>
  <c r="O41" i="13" s="1"/>
  <c r="E46" i="12"/>
  <c r="G46" i="12" s="1"/>
  <c r="J46" i="12" s="1"/>
  <c r="L46" i="12" s="1"/>
  <c r="C69" i="17"/>
  <c r="C69" i="11"/>
  <c r="C69" i="16"/>
  <c r="D69" i="15"/>
  <c r="C69" i="12"/>
  <c r="C69" i="15"/>
  <c r="D69" i="14"/>
  <c r="D69" i="17"/>
  <c r="D69" i="13"/>
  <c r="D69" i="11"/>
  <c r="D69" i="16"/>
  <c r="C69" i="13"/>
  <c r="C43" i="9"/>
  <c r="D43" i="9" s="1"/>
  <c r="F43" i="9" s="1"/>
  <c r="K70" i="10"/>
  <c r="J70" i="10"/>
  <c r="E70" i="10"/>
  <c r="D70" i="14" s="1"/>
  <c r="A71" i="10"/>
  <c r="D70" i="10"/>
  <c r="G70" i="10"/>
  <c r="B70" i="10"/>
  <c r="C70" i="15" s="1"/>
  <c r="R70" i="13"/>
  <c r="B70" i="13"/>
  <c r="I70" i="13"/>
  <c r="H70" i="13"/>
  <c r="A71" i="13"/>
  <c r="F70" i="13"/>
  <c r="S70" i="13"/>
  <c r="H72" i="11"/>
  <c r="F72" i="11"/>
  <c r="R72" i="11"/>
  <c r="B72" i="11"/>
  <c r="S72" i="11"/>
  <c r="I72" i="11"/>
  <c r="A73" i="11"/>
  <c r="A71" i="12"/>
  <c r="F70" i="12"/>
  <c r="R70" i="12"/>
  <c r="I70" i="12"/>
  <c r="H70" i="12"/>
  <c r="B70" i="12"/>
  <c r="S70" i="12"/>
  <c r="I71" i="16"/>
  <c r="H71" i="16"/>
  <c r="S71" i="16"/>
  <c r="A72" i="16"/>
  <c r="F71" i="16"/>
  <c r="R71" i="16"/>
  <c r="B71" i="16"/>
  <c r="R70" i="17"/>
  <c r="I70" i="17"/>
  <c r="H70" i="17"/>
  <c r="B70" i="17"/>
  <c r="A71" i="17"/>
  <c r="S70" i="17"/>
  <c r="F70" i="17"/>
  <c r="H70" i="14"/>
  <c r="A71" i="14"/>
  <c r="I70" i="14"/>
  <c r="F70" i="14"/>
  <c r="S70" i="14"/>
  <c r="R70" i="14"/>
  <c r="B70" i="14"/>
  <c r="A71" i="15"/>
  <c r="S70" i="15"/>
  <c r="F70" i="15"/>
  <c r="B70" i="15"/>
  <c r="H70" i="15"/>
  <c r="R70" i="15"/>
  <c r="I70" i="15"/>
  <c r="A70" i="9"/>
  <c r="B69" i="9"/>
  <c r="L44" i="11" l="1"/>
  <c r="E45" i="11"/>
  <c r="G45" i="11" s="1"/>
  <c r="J45" i="11" s="1"/>
  <c r="T44" i="11"/>
  <c r="K42" i="17"/>
  <c r="O42" i="17" s="1"/>
  <c r="L42" i="17"/>
  <c r="O41" i="16"/>
  <c r="L42" i="16"/>
  <c r="K42" i="16"/>
  <c r="O42" i="16" s="1"/>
  <c r="C44" i="9"/>
  <c r="E44" i="9" s="1"/>
  <c r="L41" i="15"/>
  <c r="K41" i="15"/>
  <c r="O41" i="15" s="1"/>
  <c r="T41" i="15"/>
  <c r="E42" i="13"/>
  <c r="G42" i="13" s="1"/>
  <c r="J42" i="13" s="1"/>
  <c r="L42" i="13" s="1"/>
  <c r="T46" i="12"/>
  <c r="E44" i="14"/>
  <c r="G44" i="14" s="1"/>
  <c r="J44" i="14" s="1"/>
  <c r="K46" i="12"/>
  <c r="O46" i="12" s="1"/>
  <c r="C70" i="17"/>
  <c r="D70" i="15"/>
  <c r="C70" i="14"/>
  <c r="D70" i="17"/>
  <c r="D70" i="12"/>
  <c r="C70" i="10"/>
  <c r="C70" i="12"/>
  <c r="C70" i="13"/>
  <c r="D70" i="11"/>
  <c r="D70" i="16"/>
  <c r="D70" i="13"/>
  <c r="C70" i="11"/>
  <c r="C70" i="16"/>
  <c r="E43" i="9"/>
  <c r="A74" i="11"/>
  <c r="S73" i="11"/>
  <c r="I73" i="11"/>
  <c r="H73" i="11"/>
  <c r="R73" i="11"/>
  <c r="F73" i="11"/>
  <c r="B73" i="11"/>
  <c r="A72" i="14"/>
  <c r="F71" i="14"/>
  <c r="H71" i="14"/>
  <c r="B71" i="14"/>
  <c r="S71" i="14"/>
  <c r="R71" i="14"/>
  <c r="I71" i="14"/>
  <c r="I71" i="12"/>
  <c r="F71" i="12"/>
  <c r="A72" i="12"/>
  <c r="S71" i="12"/>
  <c r="R71" i="12"/>
  <c r="H71" i="12"/>
  <c r="B71" i="12"/>
  <c r="G71" i="10"/>
  <c r="J71" i="10"/>
  <c r="E71" i="10"/>
  <c r="D71" i="14" s="1"/>
  <c r="D71" i="10"/>
  <c r="K71" i="10"/>
  <c r="A72" i="10"/>
  <c r="B71" i="10"/>
  <c r="C71" i="15" s="1"/>
  <c r="F72" i="16"/>
  <c r="R72" i="16"/>
  <c r="I72" i="16"/>
  <c r="B72" i="16"/>
  <c r="S72" i="16"/>
  <c r="H72" i="16"/>
  <c r="A73" i="16"/>
  <c r="F71" i="13"/>
  <c r="A72" i="13"/>
  <c r="B71" i="13"/>
  <c r="R71" i="13"/>
  <c r="I71" i="13"/>
  <c r="H71" i="13"/>
  <c r="S71" i="13"/>
  <c r="A71" i="9"/>
  <c r="B70" i="9"/>
  <c r="R71" i="15"/>
  <c r="B71" i="15"/>
  <c r="I71" i="15"/>
  <c r="H71" i="15"/>
  <c r="A72" i="15"/>
  <c r="F71" i="15"/>
  <c r="S71" i="15"/>
  <c r="A72" i="17"/>
  <c r="R71" i="17"/>
  <c r="I71" i="17"/>
  <c r="H71" i="17"/>
  <c r="B71" i="17"/>
  <c r="F71" i="17"/>
  <c r="S71" i="17"/>
  <c r="E43" i="17" l="1"/>
  <c r="G43" i="17" s="1"/>
  <c r="J43" i="17" s="1"/>
  <c r="L45" i="11"/>
  <c r="K45" i="11"/>
  <c r="O45" i="11" s="1"/>
  <c r="T45" i="11"/>
  <c r="D44" i="9"/>
  <c r="F44" i="9" s="1"/>
  <c r="E43" i="16"/>
  <c r="G43" i="16" s="1"/>
  <c r="J43" i="16" s="1"/>
  <c r="K43" i="16" s="1"/>
  <c r="O43" i="16" s="1"/>
  <c r="L43" i="17"/>
  <c r="K43" i="17"/>
  <c r="T43" i="17"/>
  <c r="E47" i="12"/>
  <c r="G47" i="12" s="1"/>
  <c r="J47" i="12" s="1"/>
  <c r="L47" i="12" s="1"/>
  <c r="E42" i="15"/>
  <c r="G42" i="15" s="1"/>
  <c r="J42" i="15" s="1"/>
  <c r="L42" i="15" s="1"/>
  <c r="K42" i="13"/>
  <c r="T42" i="13"/>
  <c r="T44" i="14"/>
  <c r="L44" i="14"/>
  <c r="K44" i="14"/>
  <c r="O44" i="14" s="1"/>
  <c r="D71" i="13"/>
  <c r="D71" i="15"/>
  <c r="D71" i="12"/>
  <c r="D71" i="17"/>
  <c r="C71" i="17"/>
  <c r="D71" i="11"/>
  <c r="D71" i="16"/>
  <c r="C71" i="11"/>
  <c r="C71" i="16"/>
  <c r="C71" i="12"/>
  <c r="C71" i="13"/>
  <c r="C71" i="14"/>
  <c r="C71" i="10"/>
  <c r="B71" i="9"/>
  <c r="A72" i="9"/>
  <c r="S73" i="16"/>
  <c r="F73" i="16"/>
  <c r="A74" i="16"/>
  <c r="R73" i="16"/>
  <c r="I73" i="16"/>
  <c r="H73" i="16"/>
  <c r="B73" i="16"/>
  <c r="F72" i="15"/>
  <c r="I72" i="15"/>
  <c r="H72" i="15"/>
  <c r="R72" i="15"/>
  <c r="A73" i="15"/>
  <c r="S72" i="15"/>
  <c r="B72" i="15"/>
  <c r="E72" i="10"/>
  <c r="D72" i="17" s="1"/>
  <c r="A73" i="10"/>
  <c r="D72" i="10"/>
  <c r="K72" i="10"/>
  <c r="G72" i="10"/>
  <c r="J72" i="10"/>
  <c r="B72" i="10"/>
  <c r="C72" i="15" s="1"/>
  <c r="I72" i="17"/>
  <c r="A73" i="17"/>
  <c r="S72" i="17"/>
  <c r="R72" i="17"/>
  <c r="H72" i="17"/>
  <c r="B72" i="17"/>
  <c r="F72" i="17"/>
  <c r="I72" i="14"/>
  <c r="F72" i="14"/>
  <c r="R72" i="14"/>
  <c r="H72" i="14"/>
  <c r="A73" i="14"/>
  <c r="S72" i="14"/>
  <c r="B72" i="14"/>
  <c r="A73" i="13"/>
  <c r="S72" i="13"/>
  <c r="R72" i="13"/>
  <c r="B72" i="13"/>
  <c r="F72" i="13"/>
  <c r="I72" i="13"/>
  <c r="H72" i="13"/>
  <c r="F72" i="12"/>
  <c r="H72" i="12"/>
  <c r="A73" i="12"/>
  <c r="S72" i="12"/>
  <c r="I72" i="12"/>
  <c r="R72" i="12"/>
  <c r="B72" i="12"/>
  <c r="R74" i="11"/>
  <c r="B74" i="11"/>
  <c r="I74" i="11"/>
  <c r="H74" i="11"/>
  <c r="A75" i="11"/>
  <c r="S74" i="11"/>
  <c r="F74" i="11"/>
  <c r="C45" i="9" l="1"/>
  <c r="D45" i="9" s="1"/>
  <c r="F45" i="9" s="1"/>
  <c r="E46" i="11"/>
  <c r="G46" i="11" s="1"/>
  <c r="J46" i="11" s="1"/>
  <c r="T46" i="11" s="1"/>
  <c r="L43" i="16"/>
  <c r="E44" i="16" s="1"/>
  <c r="G44" i="16" s="1"/>
  <c r="J44" i="16" s="1"/>
  <c r="L44" i="16" s="1"/>
  <c r="T43" i="16"/>
  <c r="T47" i="12"/>
  <c r="K47" i="12"/>
  <c r="O47" i="12" s="1"/>
  <c r="O43" i="17"/>
  <c r="E44" i="17"/>
  <c r="G44" i="17" s="1"/>
  <c r="J44" i="17" s="1"/>
  <c r="K42" i="15"/>
  <c r="O42" i="15" s="1"/>
  <c r="T42" i="15"/>
  <c r="O42" i="13"/>
  <c r="E43" i="13"/>
  <c r="G43" i="13" s="1"/>
  <c r="J43" i="13" s="1"/>
  <c r="E45" i="14"/>
  <c r="G45" i="14" s="1"/>
  <c r="J45" i="14" s="1"/>
  <c r="C72" i="14"/>
  <c r="C72" i="12"/>
  <c r="C72" i="10"/>
  <c r="C72" i="17"/>
  <c r="C72" i="13"/>
  <c r="D72" i="13"/>
  <c r="D72" i="11"/>
  <c r="D72" i="16"/>
  <c r="D72" i="12"/>
  <c r="D72" i="15"/>
  <c r="D72" i="14"/>
  <c r="C72" i="11"/>
  <c r="C72" i="16"/>
  <c r="F75" i="11"/>
  <c r="I75" i="11"/>
  <c r="S75" i="11"/>
  <c r="R75" i="11"/>
  <c r="B75" i="11"/>
  <c r="H75" i="11"/>
  <c r="A76" i="11"/>
  <c r="H74" i="16"/>
  <c r="F74" i="16"/>
  <c r="A75" i="16"/>
  <c r="S74" i="16"/>
  <c r="B74" i="16"/>
  <c r="R74" i="16"/>
  <c r="I74" i="16"/>
  <c r="S73" i="12"/>
  <c r="H73" i="12"/>
  <c r="F73" i="12"/>
  <c r="R73" i="12"/>
  <c r="B73" i="12"/>
  <c r="A74" i="12"/>
  <c r="I73" i="12"/>
  <c r="A74" i="15"/>
  <c r="S73" i="15"/>
  <c r="R73" i="15"/>
  <c r="B73" i="15"/>
  <c r="F73" i="15"/>
  <c r="H73" i="15"/>
  <c r="I73" i="15"/>
  <c r="F73" i="17"/>
  <c r="A74" i="17"/>
  <c r="S73" i="17"/>
  <c r="R73" i="17"/>
  <c r="I73" i="17"/>
  <c r="H73" i="17"/>
  <c r="B73" i="17"/>
  <c r="I73" i="13"/>
  <c r="H73" i="13"/>
  <c r="S73" i="13"/>
  <c r="F73" i="13"/>
  <c r="A74" i="13"/>
  <c r="R73" i="13"/>
  <c r="B73" i="13"/>
  <c r="F73" i="14"/>
  <c r="R73" i="14"/>
  <c r="I73" i="14"/>
  <c r="B73" i="14"/>
  <c r="S73" i="14"/>
  <c r="A74" i="14"/>
  <c r="H73" i="14"/>
  <c r="J73" i="10"/>
  <c r="A74" i="10"/>
  <c r="D73" i="10"/>
  <c r="K73" i="10"/>
  <c r="E73" i="10"/>
  <c r="D73" i="12" s="1"/>
  <c r="G73" i="10"/>
  <c r="B73" i="10"/>
  <c r="C73" i="14" s="1"/>
  <c r="B72" i="9"/>
  <c r="A73" i="9"/>
  <c r="C46" i="9" l="1"/>
  <c r="D46" i="9" s="1"/>
  <c r="F46" i="9" s="1"/>
  <c r="E45" i="9"/>
  <c r="K46" i="11"/>
  <c r="O46" i="11" s="1"/>
  <c r="L46" i="11"/>
  <c r="E47" i="11"/>
  <c r="G47" i="11" s="1"/>
  <c r="J47" i="11" s="1"/>
  <c r="E48" i="12"/>
  <c r="G48" i="12" s="1"/>
  <c r="J48" i="12" s="1"/>
  <c r="K48" i="12" s="1"/>
  <c r="O48" i="12" s="1"/>
  <c r="K44" i="16"/>
  <c r="O44" i="16" s="1"/>
  <c r="T44" i="17"/>
  <c r="L44" i="17"/>
  <c r="K44" i="17"/>
  <c r="T44" i="16"/>
  <c r="E43" i="15"/>
  <c r="G43" i="15" s="1"/>
  <c r="J43" i="15" s="1"/>
  <c r="T43" i="15" s="1"/>
  <c r="K43" i="13"/>
  <c r="O43" i="13" s="1"/>
  <c r="L43" i="13"/>
  <c r="T43" i="13"/>
  <c r="T45" i="14"/>
  <c r="K45" i="14"/>
  <c r="O45" i="14" s="1"/>
  <c r="L45" i="14"/>
  <c r="D73" i="17"/>
  <c r="C73" i="10"/>
  <c r="D73" i="13"/>
  <c r="D73" i="15"/>
  <c r="C73" i="11"/>
  <c r="C73" i="16"/>
  <c r="D73" i="14"/>
  <c r="C73" i="13"/>
  <c r="C73" i="17"/>
  <c r="C73" i="15"/>
  <c r="D73" i="11"/>
  <c r="D73" i="16"/>
  <c r="C73" i="12"/>
  <c r="E46" i="9"/>
  <c r="C47" i="9"/>
  <c r="A77" i="11"/>
  <c r="S76" i="11"/>
  <c r="R76" i="11"/>
  <c r="B76" i="11"/>
  <c r="F76" i="11"/>
  <c r="I76" i="11"/>
  <c r="H76" i="11"/>
  <c r="G74" i="10"/>
  <c r="E74" i="10"/>
  <c r="D74" i="14" s="1"/>
  <c r="D74" i="10"/>
  <c r="J74" i="10"/>
  <c r="A75" i="10"/>
  <c r="K74" i="10"/>
  <c r="B74" i="10"/>
  <c r="A74" i="9"/>
  <c r="B73" i="9"/>
  <c r="F74" i="13"/>
  <c r="A75" i="13"/>
  <c r="H74" i="13"/>
  <c r="I74" i="13"/>
  <c r="S74" i="13"/>
  <c r="R74" i="13"/>
  <c r="B74" i="13"/>
  <c r="S74" i="17"/>
  <c r="A75" i="17"/>
  <c r="R74" i="17"/>
  <c r="I74" i="17"/>
  <c r="H74" i="17"/>
  <c r="F74" i="17"/>
  <c r="B74" i="17"/>
  <c r="I74" i="15"/>
  <c r="H74" i="15"/>
  <c r="S74" i="15"/>
  <c r="R74" i="15"/>
  <c r="B74" i="15"/>
  <c r="A75" i="15"/>
  <c r="F74" i="15"/>
  <c r="H74" i="12"/>
  <c r="R74" i="12"/>
  <c r="I74" i="12"/>
  <c r="F74" i="12"/>
  <c r="B74" i="12"/>
  <c r="A75" i="12"/>
  <c r="S74" i="12"/>
  <c r="H75" i="16"/>
  <c r="F75" i="16"/>
  <c r="A76" i="16"/>
  <c r="S75" i="16"/>
  <c r="I75" i="16"/>
  <c r="R75" i="16"/>
  <c r="B75" i="16"/>
  <c r="S74" i="14"/>
  <c r="F74" i="14"/>
  <c r="A75" i="14"/>
  <c r="R74" i="14"/>
  <c r="I74" i="14"/>
  <c r="H74" i="14"/>
  <c r="B74" i="14"/>
  <c r="T48" i="12" l="1"/>
  <c r="T47" i="11"/>
  <c r="L47" i="11"/>
  <c r="K47" i="11"/>
  <c r="L48" i="12"/>
  <c r="E49" i="12" s="1"/>
  <c r="G49" i="12" s="1"/>
  <c r="J49" i="12" s="1"/>
  <c r="E45" i="16"/>
  <c r="G45" i="16" s="1"/>
  <c r="J45" i="16" s="1"/>
  <c r="T45" i="16" s="1"/>
  <c r="O44" i="17"/>
  <c r="E45" i="17"/>
  <c r="G45" i="17" s="1"/>
  <c r="J45" i="17" s="1"/>
  <c r="K43" i="15"/>
  <c r="O43" i="15" s="1"/>
  <c r="L43" i="15"/>
  <c r="E46" i="14"/>
  <c r="G46" i="14" s="1"/>
  <c r="J46" i="14" s="1"/>
  <c r="K46" i="14" s="1"/>
  <c r="O46" i="14" s="1"/>
  <c r="E44" i="13"/>
  <c r="G44" i="13" s="1"/>
  <c r="J44" i="13" s="1"/>
  <c r="K44" i="13" s="1"/>
  <c r="C74" i="12"/>
  <c r="D74" i="12"/>
  <c r="C74" i="14"/>
  <c r="D74" i="13"/>
  <c r="D74" i="15"/>
  <c r="C74" i="11"/>
  <c r="C74" i="16"/>
  <c r="C74" i="15"/>
  <c r="C74" i="17"/>
  <c r="C74" i="13"/>
  <c r="D74" i="11"/>
  <c r="D74" i="16"/>
  <c r="C74" i="10"/>
  <c r="D74" i="17"/>
  <c r="E47" i="9"/>
  <c r="D47" i="9"/>
  <c r="F47" i="9" s="1"/>
  <c r="H75" i="14"/>
  <c r="F75" i="14"/>
  <c r="A76" i="14"/>
  <c r="S75" i="14"/>
  <c r="B75" i="14"/>
  <c r="R75" i="14"/>
  <c r="I75" i="14"/>
  <c r="R76" i="16"/>
  <c r="B76" i="16"/>
  <c r="H76" i="16"/>
  <c r="F76" i="16"/>
  <c r="S76" i="16"/>
  <c r="A77" i="16"/>
  <c r="I76" i="16"/>
  <c r="A76" i="10"/>
  <c r="D75" i="10"/>
  <c r="K75" i="10"/>
  <c r="J75" i="10"/>
  <c r="E75" i="10"/>
  <c r="D75" i="13" s="1"/>
  <c r="G75" i="10"/>
  <c r="B75" i="10"/>
  <c r="C75" i="14" s="1"/>
  <c r="A76" i="12"/>
  <c r="I75" i="12"/>
  <c r="S75" i="12"/>
  <c r="H75" i="12"/>
  <c r="R75" i="12"/>
  <c r="F75" i="12"/>
  <c r="B75" i="12"/>
  <c r="A75" i="9"/>
  <c r="B74" i="9"/>
  <c r="F75" i="15"/>
  <c r="A76" i="15"/>
  <c r="H75" i="15"/>
  <c r="I75" i="15"/>
  <c r="R75" i="15"/>
  <c r="S75" i="15"/>
  <c r="B75" i="15"/>
  <c r="H75" i="17"/>
  <c r="B75" i="17"/>
  <c r="A76" i="17"/>
  <c r="S75" i="17"/>
  <c r="R75" i="17"/>
  <c r="F75" i="17"/>
  <c r="I75" i="17"/>
  <c r="S75" i="13"/>
  <c r="R75" i="13"/>
  <c r="B75" i="13"/>
  <c r="I75" i="13"/>
  <c r="F75" i="13"/>
  <c r="A76" i="13"/>
  <c r="H75" i="13"/>
  <c r="I77" i="11"/>
  <c r="H77" i="11"/>
  <c r="S77" i="11"/>
  <c r="A78" i="11"/>
  <c r="R77" i="11"/>
  <c r="F77" i="11"/>
  <c r="B77" i="11"/>
  <c r="K45" i="16" l="1"/>
  <c r="O45" i="16" s="1"/>
  <c r="O47" i="11"/>
  <c r="E48" i="11"/>
  <c r="G48" i="11" s="1"/>
  <c r="J48" i="11" s="1"/>
  <c r="L45" i="16"/>
  <c r="E46" i="16" s="1"/>
  <c r="G46" i="16" s="1"/>
  <c r="J46" i="16" s="1"/>
  <c r="K46" i="16" s="1"/>
  <c r="E44" i="15"/>
  <c r="G44" i="15" s="1"/>
  <c r="J44" i="15" s="1"/>
  <c r="K44" i="15" s="1"/>
  <c r="O44" i="15" s="1"/>
  <c r="K45" i="17"/>
  <c r="L45" i="17"/>
  <c r="T45" i="17"/>
  <c r="T46" i="14"/>
  <c r="L46" i="14"/>
  <c r="E47" i="14" s="1"/>
  <c r="G47" i="14" s="1"/>
  <c r="J47" i="14" s="1"/>
  <c r="K47" i="14" s="1"/>
  <c r="O47" i="14" s="1"/>
  <c r="L44" i="13"/>
  <c r="E45" i="13" s="1"/>
  <c r="G45" i="13" s="1"/>
  <c r="J45" i="13" s="1"/>
  <c r="T44" i="13"/>
  <c r="O44" i="13"/>
  <c r="C75" i="15"/>
  <c r="C75" i="12"/>
  <c r="D75" i="12"/>
  <c r="C75" i="13"/>
  <c r="C75" i="17"/>
  <c r="C75" i="10"/>
  <c r="K49" i="12"/>
  <c r="O49" i="12" s="1"/>
  <c r="L49" i="12"/>
  <c r="T49" i="12"/>
  <c r="C75" i="11"/>
  <c r="C75" i="16"/>
  <c r="D75" i="11"/>
  <c r="D75" i="16"/>
  <c r="D75" i="14"/>
  <c r="D75" i="17"/>
  <c r="D75" i="15"/>
  <c r="C48" i="9"/>
  <c r="E48" i="9" s="1"/>
  <c r="B75" i="9"/>
  <c r="A76" i="9"/>
  <c r="A77" i="15"/>
  <c r="S76" i="15"/>
  <c r="R76" i="15"/>
  <c r="B76" i="15"/>
  <c r="I76" i="15"/>
  <c r="H76" i="15"/>
  <c r="F76" i="15"/>
  <c r="G76" i="10"/>
  <c r="K76" i="10"/>
  <c r="A77" i="10"/>
  <c r="J76" i="10"/>
  <c r="D76" i="10"/>
  <c r="B76" i="10"/>
  <c r="C76" i="12" s="1"/>
  <c r="E76" i="10"/>
  <c r="D76" i="17" s="1"/>
  <c r="R76" i="12"/>
  <c r="B76" i="12"/>
  <c r="I76" i="12"/>
  <c r="A77" i="12"/>
  <c r="S76" i="12"/>
  <c r="F76" i="12"/>
  <c r="H76" i="12"/>
  <c r="H76" i="13"/>
  <c r="F76" i="13"/>
  <c r="R76" i="13"/>
  <c r="B76" i="13"/>
  <c r="S76" i="13"/>
  <c r="A77" i="13"/>
  <c r="I76" i="13"/>
  <c r="R77" i="16"/>
  <c r="I77" i="16"/>
  <c r="H77" i="16"/>
  <c r="F77" i="16"/>
  <c r="B77" i="16"/>
  <c r="A78" i="16"/>
  <c r="S77" i="16"/>
  <c r="F78" i="11"/>
  <c r="A79" i="11"/>
  <c r="H78" i="11"/>
  <c r="S78" i="11"/>
  <c r="R78" i="11"/>
  <c r="B78" i="11"/>
  <c r="I78" i="11"/>
  <c r="A77" i="17"/>
  <c r="B76" i="17"/>
  <c r="S76" i="17"/>
  <c r="R76" i="17"/>
  <c r="I76" i="17"/>
  <c r="H76" i="17"/>
  <c r="F76" i="17"/>
  <c r="A77" i="14"/>
  <c r="H76" i="14"/>
  <c r="F76" i="14"/>
  <c r="S76" i="14"/>
  <c r="I76" i="14"/>
  <c r="R76" i="14"/>
  <c r="B76" i="14"/>
  <c r="K48" i="11" l="1"/>
  <c r="O48" i="11" s="1"/>
  <c r="L48" i="11"/>
  <c r="T48" i="11"/>
  <c r="L44" i="15"/>
  <c r="E45" i="15" s="1"/>
  <c r="G45" i="15" s="1"/>
  <c r="J45" i="15" s="1"/>
  <c r="K45" i="15" s="1"/>
  <c r="O45" i="15" s="1"/>
  <c r="T44" i="15"/>
  <c r="O45" i="17"/>
  <c r="E46" i="17"/>
  <c r="G46" i="17" s="1"/>
  <c r="J46" i="17" s="1"/>
  <c r="L46" i="16"/>
  <c r="E47" i="16" s="1"/>
  <c r="G47" i="16" s="1"/>
  <c r="J47" i="16" s="1"/>
  <c r="T46" i="16"/>
  <c r="L47" i="14"/>
  <c r="E48" i="14" s="1"/>
  <c r="G48" i="14" s="1"/>
  <c r="J48" i="14" s="1"/>
  <c r="T47" i="14"/>
  <c r="K45" i="13"/>
  <c r="O45" i="13" s="1"/>
  <c r="L45" i="13"/>
  <c r="T45" i="13"/>
  <c r="O46" i="16"/>
  <c r="D76" i="13"/>
  <c r="E50" i="12"/>
  <c r="G50" i="12" s="1"/>
  <c r="J50" i="12" s="1"/>
  <c r="K50" i="12" s="1"/>
  <c r="O50" i="12" s="1"/>
  <c r="C76" i="14"/>
  <c r="C76" i="13"/>
  <c r="D76" i="12"/>
  <c r="C76" i="10"/>
  <c r="C76" i="17"/>
  <c r="C76" i="15"/>
  <c r="D76" i="11"/>
  <c r="D76" i="16"/>
  <c r="D76" i="15"/>
  <c r="D76" i="14"/>
  <c r="C76" i="11"/>
  <c r="C76" i="16"/>
  <c r="D48" i="9"/>
  <c r="F48" i="9" s="1"/>
  <c r="E77" i="10"/>
  <c r="D77" i="14" s="1"/>
  <c r="A78" i="10"/>
  <c r="D77" i="10"/>
  <c r="G77" i="10"/>
  <c r="J77" i="10"/>
  <c r="K77" i="10"/>
  <c r="B77" i="10"/>
  <c r="C77" i="13" s="1"/>
  <c r="R77" i="14"/>
  <c r="B77" i="14"/>
  <c r="I77" i="14"/>
  <c r="H77" i="14"/>
  <c r="S77" i="14"/>
  <c r="F77" i="14"/>
  <c r="A78" i="14"/>
  <c r="A78" i="13"/>
  <c r="S77" i="13"/>
  <c r="I77" i="13"/>
  <c r="H77" i="13"/>
  <c r="F77" i="13"/>
  <c r="B77" i="13"/>
  <c r="R77" i="13"/>
  <c r="F77" i="12"/>
  <c r="I77" i="12"/>
  <c r="S77" i="12"/>
  <c r="R77" i="12"/>
  <c r="A78" i="12"/>
  <c r="H77" i="12"/>
  <c r="B77" i="12"/>
  <c r="S79" i="11"/>
  <c r="R79" i="11"/>
  <c r="B79" i="11"/>
  <c r="I79" i="11"/>
  <c r="H79" i="11"/>
  <c r="F79" i="11"/>
  <c r="A80" i="11"/>
  <c r="R77" i="17"/>
  <c r="B77" i="17"/>
  <c r="I77" i="17"/>
  <c r="A78" i="17"/>
  <c r="F77" i="17"/>
  <c r="S77" i="17"/>
  <c r="H77" i="17"/>
  <c r="A79" i="16"/>
  <c r="R78" i="16"/>
  <c r="I78" i="16"/>
  <c r="H78" i="16"/>
  <c r="B78" i="16"/>
  <c r="S78" i="16"/>
  <c r="F78" i="16"/>
  <c r="R77" i="15"/>
  <c r="B77" i="15"/>
  <c r="A78" i="15"/>
  <c r="S77" i="15"/>
  <c r="I77" i="15"/>
  <c r="H77" i="15"/>
  <c r="F77" i="15"/>
  <c r="B76" i="9"/>
  <c r="A77" i="9"/>
  <c r="E49" i="11" l="1"/>
  <c r="G49" i="11" s="1"/>
  <c r="J49" i="11" s="1"/>
  <c r="T45" i="15"/>
  <c r="L49" i="11"/>
  <c r="K49" i="11"/>
  <c r="O49" i="11" s="1"/>
  <c r="T49" i="11"/>
  <c r="L45" i="15"/>
  <c r="E46" i="15" s="1"/>
  <c r="G46" i="15" s="1"/>
  <c r="J46" i="15" s="1"/>
  <c r="L46" i="15" s="1"/>
  <c r="K46" i="17"/>
  <c r="O46" i="17" s="1"/>
  <c r="L46" i="17"/>
  <c r="T46" i="17"/>
  <c r="L48" i="14"/>
  <c r="K48" i="14"/>
  <c r="O48" i="14" s="1"/>
  <c r="T48" i="14"/>
  <c r="E46" i="13"/>
  <c r="G46" i="13" s="1"/>
  <c r="J46" i="13" s="1"/>
  <c r="K47" i="16"/>
  <c r="L47" i="16"/>
  <c r="T47" i="16"/>
  <c r="L50" i="12"/>
  <c r="E51" i="12" s="1"/>
  <c r="G51" i="12" s="1"/>
  <c r="J51" i="12" s="1"/>
  <c r="T50" i="12"/>
  <c r="C49" i="9"/>
  <c r="E49" i="9" s="1"/>
  <c r="C77" i="10"/>
  <c r="D77" i="12"/>
  <c r="C77" i="15"/>
  <c r="C77" i="17"/>
  <c r="C77" i="12"/>
  <c r="D77" i="15"/>
  <c r="C77" i="11"/>
  <c r="C77" i="16"/>
  <c r="D77" i="11"/>
  <c r="D77" i="16"/>
  <c r="D77" i="13"/>
  <c r="D77" i="17"/>
  <c r="C77" i="14"/>
  <c r="I79" i="16"/>
  <c r="S79" i="16"/>
  <c r="H79" i="16"/>
  <c r="A80" i="16"/>
  <c r="R79" i="16"/>
  <c r="F79" i="16"/>
  <c r="B79" i="16"/>
  <c r="A78" i="9"/>
  <c r="B77" i="9"/>
  <c r="K78" i="10"/>
  <c r="J78" i="10"/>
  <c r="E78" i="10"/>
  <c r="D78" i="13" s="1"/>
  <c r="D78" i="10"/>
  <c r="G78" i="10"/>
  <c r="A79" i="10"/>
  <c r="B78" i="10"/>
  <c r="C78" i="10" s="1"/>
  <c r="H80" i="11"/>
  <c r="F80" i="11"/>
  <c r="R80" i="11"/>
  <c r="B80" i="11"/>
  <c r="A81" i="11"/>
  <c r="S80" i="11"/>
  <c r="I80" i="11"/>
  <c r="B78" i="15"/>
  <c r="A79" i="15"/>
  <c r="S78" i="15"/>
  <c r="R78" i="15"/>
  <c r="I78" i="15"/>
  <c r="F78" i="15"/>
  <c r="H78" i="15"/>
  <c r="R78" i="13"/>
  <c r="B78" i="13"/>
  <c r="I78" i="13"/>
  <c r="H78" i="13"/>
  <c r="A79" i="13"/>
  <c r="F78" i="13"/>
  <c r="S78" i="13"/>
  <c r="F78" i="14"/>
  <c r="A79" i="14"/>
  <c r="R78" i="14"/>
  <c r="H78" i="14"/>
  <c r="S78" i="14"/>
  <c r="B78" i="14"/>
  <c r="I78" i="14"/>
  <c r="F78" i="17"/>
  <c r="S78" i="17"/>
  <c r="R78" i="17"/>
  <c r="I78" i="17"/>
  <c r="A79" i="17"/>
  <c r="B78" i="17"/>
  <c r="H78" i="17"/>
  <c r="A79" i="12"/>
  <c r="S78" i="12"/>
  <c r="F78" i="12"/>
  <c r="B78" i="12"/>
  <c r="H78" i="12"/>
  <c r="I78" i="12"/>
  <c r="R78" i="12"/>
  <c r="E50" i="11" l="1"/>
  <c r="G50" i="11" s="1"/>
  <c r="J50" i="11" s="1"/>
  <c r="T50" i="11" s="1"/>
  <c r="E47" i="17"/>
  <c r="G47" i="17" s="1"/>
  <c r="J47" i="17" s="1"/>
  <c r="K47" i="17" s="1"/>
  <c r="O47" i="17" s="1"/>
  <c r="E49" i="14"/>
  <c r="G49" i="14" s="1"/>
  <c r="J49" i="14" s="1"/>
  <c r="K49" i="14" s="1"/>
  <c r="O49" i="14" s="1"/>
  <c r="C78" i="17"/>
  <c r="T46" i="15"/>
  <c r="K46" i="15"/>
  <c r="E47" i="15" s="1"/>
  <c r="G47" i="15" s="1"/>
  <c r="J47" i="15" s="1"/>
  <c r="K46" i="13"/>
  <c r="L46" i="13"/>
  <c r="T46" i="13"/>
  <c r="E48" i="16"/>
  <c r="G48" i="16" s="1"/>
  <c r="J48" i="16" s="1"/>
  <c r="O47" i="16"/>
  <c r="D49" i="9"/>
  <c r="F49" i="9" s="1"/>
  <c r="D78" i="14"/>
  <c r="D78" i="15"/>
  <c r="C78" i="15"/>
  <c r="D78" i="11"/>
  <c r="D78" i="16"/>
  <c r="D78" i="12"/>
  <c r="C78" i="11"/>
  <c r="C78" i="16"/>
  <c r="K51" i="12"/>
  <c r="O51" i="12" s="1"/>
  <c r="T51" i="12"/>
  <c r="L51" i="12"/>
  <c r="C78" i="12"/>
  <c r="D78" i="17"/>
  <c r="C78" i="14"/>
  <c r="C78" i="13"/>
  <c r="I79" i="12"/>
  <c r="H79" i="12"/>
  <c r="S79" i="12"/>
  <c r="A80" i="12"/>
  <c r="B79" i="12"/>
  <c r="F79" i="12"/>
  <c r="R79" i="12"/>
  <c r="G79" i="10"/>
  <c r="J79" i="10"/>
  <c r="A80" i="10"/>
  <c r="K79" i="10"/>
  <c r="D79" i="10"/>
  <c r="E79" i="10"/>
  <c r="D79" i="12" s="1"/>
  <c r="B79" i="10"/>
  <c r="C79" i="15" s="1"/>
  <c r="F80" i="16"/>
  <c r="B80" i="16"/>
  <c r="I80" i="16"/>
  <c r="A81" i="16"/>
  <c r="H80" i="16"/>
  <c r="S80" i="16"/>
  <c r="R80" i="16"/>
  <c r="A80" i="14"/>
  <c r="S79" i="14"/>
  <c r="B79" i="14"/>
  <c r="R79" i="14"/>
  <c r="I79" i="14"/>
  <c r="H79" i="14"/>
  <c r="F79" i="14"/>
  <c r="A82" i="11"/>
  <c r="S81" i="11"/>
  <c r="R81" i="11"/>
  <c r="B81" i="11"/>
  <c r="H81" i="11"/>
  <c r="F81" i="11"/>
  <c r="I81" i="11"/>
  <c r="F79" i="13"/>
  <c r="I79" i="13"/>
  <c r="S79" i="13"/>
  <c r="R79" i="13"/>
  <c r="B79" i="13"/>
  <c r="H79" i="13"/>
  <c r="A80" i="13"/>
  <c r="A80" i="15"/>
  <c r="B79" i="15"/>
  <c r="S79" i="15"/>
  <c r="R79" i="15"/>
  <c r="I79" i="15"/>
  <c r="F79" i="15"/>
  <c r="H79" i="15"/>
  <c r="A79" i="9"/>
  <c r="B78" i="9"/>
  <c r="A80" i="17"/>
  <c r="S79" i="17"/>
  <c r="F79" i="17"/>
  <c r="H79" i="17"/>
  <c r="R79" i="17"/>
  <c r="B79" i="17"/>
  <c r="I79" i="17"/>
  <c r="K50" i="11" l="1"/>
  <c r="O50" i="11" s="1"/>
  <c r="L50" i="11"/>
  <c r="T47" i="17"/>
  <c r="L47" i="17"/>
  <c r="E48" i="17" s="1"/>
  <c r="G48" i="17" s="1"/>
  <c r="J48" i="17" s="1"/>
  <c r="K48" i="17" s="1"/>
  <c r="O48" i="17" s="1"/>
  <c r="L49" i="14"/>
  <c r="E50" i="14" s="1"/>
  <c r="G50" i="14" s="1"/>
  <c r="J50" i="14" s="1"/>
  <c r="K50" i="14" s="1"/>
  <c r="O50" i="14" s="1"/>
  <c r="T49" i="14"/>
  <c r="O46" i="15"/>
  <c r="O46" i="13"/>
  <c r="E47" i="13"/>
  <c r="G47" i="13" s="1"/>
  <c r="J47" i="13" s="1"/>
  <c r="T47" i="15"/>
  <c r="K47" i="15"/>
  <c r="O47" i="15" s="1"/>
  <c r="L47" i="15"/>
  <c r="T48" i="16"/>
  <c r="L48" i="16"/>
  <c r="K48" i="16"/>
  <c r="C50" i="9"/>
  <c r="E50" i="9" s="1"/>
  <c r="D79" i="15"/>
  <c r="D79" i="17"/>
  <c r="D79" i="13"/>
  <c r="D79" i="14"/>
  <c r="C79" i="12"/>
  <c r="C79" i="13"/>
  <c r="C79" i="14"/>
  <c r="C79" i="17"/>
  <c r="C79" i="10"/>
  <c r="E52" i="12"/>
  <c r="G52" i="12" s="1"/>
  <c r="J52" i="12" s="1"/>
  <c r="D79" i="11"/>
  <c r="D79" i="16"/>
  <c r="C79" i="11"/>
  <c r="C79" i="16"/>
  <c r="I80" i="14"/>
  <c r="H80" i="14"/>
  <c r="A81" i="14"/>
  <c r="R80" i="14"/>
  <c r="F80" i="14"/>
  <c r="B80" i="14"/>
  <c r="S80" i="14"/>
  <c r="R82" i="11"/>
  <c r="B82" i="11"/>
  <c r="I82" i="11"/>
  <c r="H82" i="11"/>
  <c r="A83" i="11"/>
  <c r="F82" i="11"/>
  <c r="S82" i="11"/>
  <c r="S81" i="16"/>
  <c r="R81" i="16"/>
  <c r="B81" i="16"/>
  <c r="I81" i="16"/>
  <c r="H81" i="16"/>
  <c r="A82" i="16"/>
  <c r="F81" i="16"/>
  <c r="B79" i="9"/>
  <c r="A80" i="9"/>
  <c r="E80" i="10"/>
  <c r="D80" i="15" s="1"/>
  <c r="A81" i="10"/>
  <c r="D80" i="10"/>
  <c r="K80" i="10"/>
  <c r="G80" i="10"/>
  <c r="J80" i="10"/>
  <c r="B80" i="10"/>
  <c r="C80" i="14" s="1"/>
  <c r="I80" i="17"/>
  <c r="H80" i="17"/>
  <c r="A81" i="17"/>
  <c r="F80" i="17"/>
  <c r="B80" i="17"/>
  <c r="S80" i="17"/>
  <c r="R80" i="17"/>
  <c r="A81" i="13"/>
  <c r="S80" i="13"/>
  <c r="R80" i="13"/>
  <c r="B80" i="13"/>
  <c r="F80" i="13"/>
  <c r="I80" i="13"/>
  <c r="H80" i="13"/>
  <c r="I80" i="15"/>
  <c r="B80" i="15"/>
  <c r="A81" i="15"/>
  <c r="S80" i="15"/>
  <c r="H80" i="15"/>
  <c r="F80" i="15"/>
  <c r="R80" i="15"/>
  <c r="F80" i="12"/>
  <c r="H80" i="12"/>
  <c r="B80" i="12"/>
  <c r="R80" i="12"/>
  <c r="A81" i="12"/>
  <c r="I80" i="12"/>
  <c r="S80" i="12"/>
  <c r="E51" i="11" l="1"/>
  <c r="G51" i="11" s="1"/>
  <c r="J51" i="11" s="1"/>
  <c r="T48" i="17"/>
  <c r="L48" i="17"/>
  <c r="E49" i="17" s="1"/>
  <c r="G49" i="17" s="1"/>
  <c r="J49" i="17" s="1"/>
  <c r="L50" i="14"/>
  <c r="E51" i="14" s="1"/>
  <c r="G51" i="14" s="1"/>
  <c r="J51" i="14" s="1"/>
  <c r="T50" i="14"/>
  <c r="C80" i="17"/>
  <c r="C80" i="15"/>
  <c r="E48" i="15"/>
  <c r="G48" i="15" s="1"/>
  <c r="J48" i="15" s="1"/>
  <c r="K47" i="13"/>
  <c r="O47" i="13" s="1"/>
  <c r="T47" i="13"/>
  <c r="L47" i="13"/>
  <c r="O48" i="16"/>
  <c r="E49" i="16"/>
  <c r="G49" i="16" s="1"/>
  <c r="J49" i="16" s="1"/>
  <c r="C80" i="13"/>
  <c r="C80" i="10"/>
  <c r="C80" i="12"/>
  <c r="D50" i="9"/>
  <c r="F50" i="9" s="1"/>
  <c r="D80" i="13"/>
  <c r="C80" i="11"/>
  <c r="C80" i="16"/>
  <c r="D80" i="12"/>
  <c r="D80" i="17"/>
  <c r="D80" i="14"/>
  <c r="K52" i="12"/>
  <c r="O52" i="12" s="1"/>
  <c r="L52" i="12"/>
  <c r="T52" i="12"/>
  <c r="D80" i="11"/>
  <c r="D80" i="16"/>
  <c r="S81" i="12"/>
  <c r="R81" i="12"/>
  <c r="B81" i="12"/>
  <c r="I81" i="12"/>
  <c r="A82" i="12"/>
  <c r="H81" i="12"/>
  <c r="F81" i="12"/>
  <c r="F83" i="11"/>
  <c r="I83" i="11"/>
  <c r="A84" i="11"/>
  <c r="R83" i="11"/>
  <c r="B83" i="11"/>
  <c r="H83" i="11"/>
  <c r="S83" i="11"/>
  <c r="F81" i="15"/>
  <c r="B81" i="15"/>
  <c r="A82" i="15"/>
  <c r="S81" i="15"/>
  <c r="H81" i="15"/>
  <c r="I81" i="15"/>
  <c r="R81" i="15"/>
  <c r="F81" i="17"/>
  <c r="A82" i="17"/>
  <c r="I81" i="17"/>
  <c r="S81" i="17"/>
  <c r="H81" i="17"/>
  <c r="R81" i="17"/>
  <c r="B81" i="17"/>
  <c r="I81" i="13"/>
  <c r="H81" i="13"/>
  <c r="S81" i="13"/>
  <c r="A82" i="13"/>
  <c r="R81" i="13"/>
  <c r="F81" i="13"/>
  <c r="B81" i="13"/>
  <c r="J81" i="10"/>
  <c r="A82" i="10"/>
  <c r="D81" i="10"/>
  <c r="G81" i="10"/>
  <c r="E81" i="10"/>
  <c r="D81" i="13" s="1"/>
  <c r="K81" i="10"/>
  <c r="B81" i="10"/>
  <c r="C81" i="14" s="1"/>
  <c r="F81" i="14"/>
  <c r="I81" i="14"/>
  <c r="S81" i="14"/>
  <c r="H81" i="14"/>
  <c r="B81" i="14"/>
  <c r="R81" i="14"/>
  <c r="A82" i="14"/>
  <c r="H82" i="16"/>
  <c r="R82" i="16"/>
  <c r="B82" i="16"/>
  <c r="I82" i="16"/>
  <c r="F82" i="16"/>
  <c r="S82" i="16"/>
  <c r="A83" i="16"/>
  <c r="B80" i="9"/>
  <c r="A81" i="9"/>
  <c r="L51" i="11" l="1"/>
  <c r="T51" i="11"/>
  <c r="K51" i="11"/>
  <c r="O51" i="11" s="1"/>
  <c r="T49" i="17"/>
  <c r="L49" i="17"/>
  <c r="K49" i="17"/>
  <c r="O49" i="17" s="1"/>
  <c r="E48" i="13"/>
  <c r="G48" i="13" s="1"/>
  <c r="J48" i="13" s="1"/>
  <c r="L48" i="13" s="1"/>
  <c r="D81" i="14"/>
  <c r="K48" i="15"/>
  <c r="O48" i="15" s="1"/>
  <c r="T48" i="15"/>
  <c r="L48" i="15"/>
  <c r="L51" i="14"/>
  <c r="K51" i="14"/>
  <c r="O51" i="14" s="1"/>
  <c r="T51" i="14"/>
  <c r="C51" i="9"/>
  <c r="E51" i="9" s="1"/>
  <c r="L49" i="16"/>
  <c r="T49" i="16"/>
  <c r="K49" i="16"/>
  <c r="O49" i="16" s="1"/>
  <c r="E53" i="12"/>
  <c r="G53" i="12" s="1"/>
  <c r="J53" i="12" s="1"/>
  <c r="T53" i="12" s="1"/>
  <c r="C81" i="11"/>
  <c r="C81" i="16"/>
  <c r="C81" i="17"/>
  <c r="C81" i="15"/>
  <c r="D81" i="11"/>
  <c r="D81" i="16"/>
  <c r="C81" i="13"/>
  <c r="C81" i="10"/>
  <c r="D81" i="17"/>
  <c r="D81" i="12"/>
  <c r="D81" i="15"/>
  <c r="C81" i="12"/>
  <c r="A85" i="11"/>
  <c r="S84" i="11"/>
  <c r="R84" i="11"/>
  <c r="B84" i="11"/>
  <c r="F84" i="11"/>
  <c r="H84" i="11"/>
  <c r="I84" i="11"/>
  <c r="S82" i="15"/>
  <c r="B82" i="15"/>
  <c r="F82" i="15"/>
  <c r="R82" i="15"/>
  <c r="H82" i="15"/>
  <c r="A83" i="15"/>
  <c r="I82" i="15"/>
  <c r="A82" i="9"/>
  <c r="B81" i="9"/>
  <c r="G82" i="10"/>
  <c r="E82" i="10"/>
  <c r="D82" i="14" s="1"/>
  <c r="A83" i="10"/>
  <c r="K82" i="10"/>
  <c r="J82" i="10"/>
  <c r="D82" i="10"/>
  <c r="B82" i="10"/>
  <c r="C82" i="15" s="1"/>
  <c r="A84" i="16"/>
  <c r="S83" i="16"/>
  <c r="H83" i="16"/>
  <c r="R83" i="16"/>
  <c r="F83" i="16"/>
  <c r="I83" i="16"/>
  <c r="B83" i="16"/>
  <c r="S82" i="14"/>
  <c r="R82" i="14"/>
  <c r="B82" i="14"/>
  <c r="A83" i="14"/>
  <c r="F82" i="14"/>
  <c r="H82" i="14"/>
  <c r="I82" i="14"/>
  <c r="S82" i="17"/>
  <c r="R82" i="17"/>
  <c r="B82" i="17"/>
  <c r="I82" i="17"/>
  <c r="F82" i="17"/>
  <c r="A83" i="17"/>
  <c r="H82" i="17"/>
  <c r="H82" i="12"/>
  <c r="R82" i="12"/>
  <c r="B82" i="12"/>
  <c r="I82" i="12"/>
  <c r="A83" i="12"/>
  <c r="S82" i="12"/>
  <c r="F82" i="12"/>
  <c r="F82" i="13"/>
  <c r="A83" i="13"/>
  <c r="H82" i="13"/>
  <c r="S82" i="13"/>
  <c r="R82" i="13"/>
  <c r="B82" i="13"/>
  <c r="I82" i="13"/>
  <c r="E52" i="11" l="1"/>
  <c r="G52" i="11" s="1"/>
  <c r="J52" i="11" s="1"/>
  <c r="E50" i="17"/>
  <c r="G50" i="17" s="1"/>
  <c r="J50" i="17" s="1"/>
  <c r="K50" i="17" s="1"/>
  <c r="O50" i="17" s="1"/>
  <c r="K48" i="13"/>
  <c r="O48" i="13" s="1"/>
  <c r="T48" i="13"/>
  <c r="E49" i="15"/>
  <c r="G49" i="15" s="1"/>
  <c r="J49" i="15" s="1"/>
  <c r="L49" i="15" s="1"/>
  <c r="D51" i="9"/>
  <c r="F51" i="9" s="1"/>
  <c r="E52" i="14"/>
  <c r="G52" i="14" s="1"/>
  <c r="J52" i="14" s="1"/>
  <c r="K53" i="12"/>
  <c r="O53" i="12" s="1"/>
  <c r="E50" i="16"/>
  <c r="G50" i="16" s="1"/>
  <c r="J50" i="16" s="1"/>
  <c r="C82" i="13"/>
  <c r="C82" i="17"/>
  <c r="C82" i="14"/>
  <c r="L53" i="12"/>
  <c r="D82" i="12"/>
  <c r="D82" i="13"/>
  <c r="D82" i="15"/>
  <c r="D82" i="17"/>
  <c r="C82" i="10"/>
  <c r="C82" i="12"/>
  <c r="C82" i="11"/>
  <c r="C82" i="16"/>
  <c r="D82" i="11"/>
  <c r="D82" i="16"/>
  <c r="H83" i="15"/>
  <c r="B83" i="15"/>
  <c r="F83" i="15"/>
  <c r="I83" i="15"/>
  <c r="A84" i="15"/>
  <c r="R83" i="15"/>
  <c r="S83" i="15"/>
  <c r="R84" i="16"/>
  <c r="B84" i="16"/>
  <c r="I84" i="16"/>
  <c r="A85" i="16"/>
  <c r="S84" i="16"/>
  <c r="F84" i="16"/>
  <c r="H84" i="16"/>
  <c r="H83" i="14"/>
  <c r="R83" i="14"/>
  <c r="A84" i="14"/>
  <c r="I83" i="14"/>
  <c r="F83" i="14"/>
  <c r="S83" i="14"/>
  <c r="B83" i="14"/>
  <c r="A84" i="10"/>
  <c r="D83" i="10"/>
  <c r="K83" i="10"/>
  <c r="J83" i="10"/>
  <c r="G83" i="10"/>
  <c r="E83" i="10"/>
  <c r="D83" i="17" s="1"/>
  <c r="B83" i="10"/>
  <c r="C83" i="10" s="1"/>
  <c r="A83" i="9"/>
  <c r="B82" i="9"/>
  <c r="I85" i="11"/>
  <c r="H85" i="11"/>
  <c r="S85" i="11"/>
  <c r="F85" i="11"/>
  <c r="A86" i="11"/>
  <c r="R85" i="11"/>
  <c r="B85" i="11"/>
  <c r="H83" i="17"/>
  <c r="F83" i="17"/>
  <c r="S83" i="17"/>
  <c r="R83" i="17"/>
  <c r="A84" i="17"/>
  <c r="B83" i="17"/>
  <c r="I83" i="17"/>
  <c r="S83" i="13"/>
  <c r="R83" i="13"/>
  <c r="B83" i="13"/>
  <c r="I83" i="13"/>
  <c r="H83" i="13"/>
  <c r="F83" i="13"/>
  <c r="A84" i="13"/>
  <c r="A84" i="12"/>
  <c r="I83" i="12"/>
  <c r="S83" i="12"/>
  <c r="H83" i="12"/>
  <c r="R83" i="12"/>
  <c r="F83" i="12"/>
  <c r="B83" i="12"/>
  <c r="L52" i="11" l="1"/>
  <c r="T52" i="11"/>
  <c r="K52" i="11"/>
  <c r="O52" i="11" s="1"/>
  <c r="E53" i="11"/>
  <c r="G53" i="11" s="1"/>
  <c r="J53" i="11" s="1"/>
  <c r="L50" i="17"/>
  <c r="E51" i="17" s="1"/>
  <c r="G51" i="17" s="1"/>
  <c r="J51" i="17" s="1"/>
  <c r="T50" i="17"/>
  <c r="E49" i="13"/>
  <c r="G49" i="13" s="1"/>
  <c r="J49" i="13" s="1"/>
  <c r="T49" i="13" s="1"/>
  <c r="K49" i="15"/>
  <c r="O49" i="15" s="1"/>
  <c r="T49" i="15"/>
  <c r="C52" i="9"/>
  <c r="E52" i="9" s="1"/>
  <c r="T52" i="14"/>
  <c r="L52" i="14"/>
  <c r="K52" i="14"/>
  <c r="O52" i="14" s="1"/>
  <c r="E54" i="12"/>
  <c r="G54" i="12" s="1"/>
  <c r="J54" i="12" s="1"/>
  <c r="K54" i="12" s="1"/>
  <c r="O54" i="12" s="1"/>
  <c r="K50" i="16"/>
  <c r="L50" i="16"/>
  <c r="T50" i="16"/>
  <c r="D83" i="13"/>
  <c r="D83" i="12"/>
  <c r="C83" i="12"/>
  <c r="C83" i="13"/>
  <c r="D83" i="14"/>
  <c r="C83" i="17"/>
  <c r="D83" i="15"/>
  <c r="C83" i="11"/>
  <c r="C83" i="16"/>
  <c r="C83" i="14"/>
  <c r="C83" i="15"/>
  <c r="D83" i="11"/>
  <c r="D83" i="16"/>
  <c r="B84" i="15"/>
  <c r="R84" i="15"/>
  <c r="F84" i="15"/>
  <c r="H84" i="15"/>
  <c r="S84" i="15"/>
  <c r="I84" i="15"/>
  <c r="A85" i="15"/>
  <c r="G84" i="10"/>
  <c r="K84" i="10"/>
  <c r="B84" i="10"/>
  <c r="C84" i="14" s="1"/>
  <c r="E84" i="10"/>
  <c r="D84" i="14" s="1"/>
  <c r="D84" i="10"/>
  <c r="A85" i="10"/>
  <c r="J84" i="10"/>
  <c r="R84" i="12"/>
  <c r="B84" i="12"/>
  <c r="I84" i="12"/>
  <c r="A85" i="12"/>
  <c r="H84" i="12"/>
  <c r="S84" i="12"/>
  <c r="F84" i="12"/>
  <c r="A85" i="17"/>
  <c r="S84" i="17"/>
  <c r="F84" i="17"/>
  <c r="B84" i="17"/>
  <c r="H84" i="17"/>
  <c r="R84" i="17"/>
  <c r="I84" i="17"/>
  <c r="B83" i="9"/>
  <c r="A84" i="9"/>
  <c r="A85" i="14"/>
  <c r="F84" i="14"/>
  <c r="B84" i="14"/>
  <c r="R84" i="14"/>
  <c r="I84" i="14"/>
  <c r="H84" i="14"/>
  <c r="S84" i="14"/>
  <c r="F85" i="16"/>
  <c r="I85" i="16"/>
  <c r="R85" i="16"/>
  <c r="A86" i="16"/>
  <c r="B85" i="16"/>
  <c r="H85" i="16"/>
  <c r="S85" i="16"/>
  <c r="H84" i="13"/>
  <c r="F84" i="13"/>
  <c r="R84" i="13"/>
  <c r="B84" i="13"/>
  <c r="A85" i="13"/>
  <c r="S84" i="13"/>
  <c r="I84" i="13"/>
  <c r="F86" i="11"/>
  <c r="A87" i="11"/>
  <c r="H86" i="11"/>
  <c r="I86" i="11"/>
  <c r="R86" i="11"/>
  <c r="S86" i="11"/>
  <c r="B86" i="11"/>
  <c r="L53" i="11" l="1"/>
  <c r="K53" i="11"/>
  <c r="O53" i="11" s="1"/>
  <c r="T53" i="11"/>
  <c r="E54" i="11"/>
  <c r="G54" i="11" s="1"/>
  <c r="J54" i="11" s="1"/>
  <c r="L49" i="13"/>
  <c r="K49" i="13"/>
  <c r="O49" i="13" s="1"/>
  <c r="D52" i="9"/>
  <c r="F52" i="9" s="1"/>
  <c r="E50" i="15"/>
  <c r="G50" i="15" s="1"/>
  <c r="J50" i="15" s="1"/>
  <c r="K50" i="15" s="1"/>
  <c r="L51" i="17"/>
  <c r="K51" i="17"/>
  <c r="T51" i="17"/>
  <c r="E53" i="14"/>
  <c r="G53" i="14" s="1"/>
  <c r="J53" i="14" s="1"/>
  <c r="K53" i="14" s="1"/>
  <c r="O53" i="14" s="1"/>
  <c r="L54" i="12"/>
  <c r="E55" i="12" s="1"/>
  <c r="G55" i="12" s="1"/>
  <c r="J55" i="12" s="1"/>
  <c r="T54" i="12"/>
  <c r="O50" i="16"/>
  <c r="E51" i="16"/>
  <c r="G51" i="16" s="1"/>
  <c r="J51" i="16" s="1"/>
  <c r="D84" i="12"/>
  <c r="C84" i="17"/>
  <c r="C84" i="13"/>
  <c r="D84" i="17"/>
  <c r="D84" i="11"/>
  <c r="D84" i="16"/>
  <c r="C84" i="11"/>
  <c r="C84" i="16"/>
  <c r="C84" i="15"/>
  <c r="D84" i="15"/>
  <c r="C84" i="12"/>
  <c r="C84" i="10"/>
  <c r="D84" i="13"/>
  <c r="A86" i="13"/>
  <c r="S85" i="13"/>
  <c r="R85" i="13"/>
  <c r="B85" i="13"/>
  <c r="H85" i="13"/>
  <c r="I85" i="13"/>
  <c r="F85" i="13"/>
  <c r="S87" i="11"/>
  <c r="R87" i="11"/>
  <c r="B87" i="11"/>
  <c r="I87" i="11"/>
  <c r="F87" i="11"/>
  <c r="A88" i="11"/>
  <c r="H87" i="11"/>
  <c r="B84" i="9"/>
  <c r="A85" i="9"/>
  <c r="R85" i="15"/>
  <c r="B85" i="15"/>
  <c r="A86" i="15"/>
  <c r="I85" i="15"/>
  <c r="H85" i="15"/>
  <c r="F85" i="15"/>
  <c r="S85" i="15"/>
  <c r="E85" i="10"/>
  <c r="D85" i="14" s="1"/>
  <c r="A86" i="10"/>
  <c r="D85" i="10"/>
  <c r="K85" i="10"/>
  <c r="G85" i="10"/>
  <c r="J85" i="10"/>
  <c r="B85" i="10"/>
  <c r="C85" i="10" s="1"/>
  <c r="R85" i="17"/>
  <c r="B85" i="17"/>
  <c r="I85" i="17"/>
  <c r="H85" i="17"/>
  <c r="A86" i="17"/>
  <c r="F85" i="17"/>
  <c r="S85" i="17"/>
  <c r="A87" i="16"/>
  <c r="S86" i="16"/>
  <c r="F86" i="16"/>
  <c r="B86" i="16"/>
  <c r="R86" i="16"/>
  <c r="I86" i="16"/>
  <c r="H86" i="16"/>
  <c r="R85" i="14"/>
  <c r="B85" i="14"/>
  <c r="I85" i="14"/>
  <c r="H85" i="14"/>
  <c r="A86" i="14"/>
  <c r="F85" i="14"/>
  <c r="S85" i="14"/>
  <c r="F85" i="12"/>
  <c r="I85" i="12"/>
  <c r="H85" i="12"/>
  <c r="S85" i="12"/>
  <c r="R85" i="12"/>
  <c r="B85" i="12"/>
  <c r="A86" i="12"/>
  <c r="K54" i="11" l="1"/>
  <c r="O54" i="11" s="1"/>
  <c r="L54" i="11"/>
  <c r="E55" i="11" s="1"/>
  <c r="G55" i="11" s="1"/>
  <c r="J55" i="11" s="1"/>
  <c r="T54" i="11"/>
  <c r="E50" i="13"/>
  <c r="G50" i="13" s="1"/>
  <c r="J50" i="13" s="1"/>
  <c r="T50" i="13" s="1"/>
  <c r="C53" i="9"/>
  <c r="D53" i="9" s="1"/>
  <c r="F53" i="9" s="1"/>
  <c r="L50" i="15"/>
  <c r="E51" i="15" s="1"/>
  <c r="G51" i="15" s="1"/>
  <c r="J51" i="15" s="1"/>
  <c r="T50" i="15"/>
  <c r="L53" i="14"/>
  <c r="E54" i="14" s="1"/>
  <c r="G54" i="14" s="1"/>
  <c r="J54" i="14" s="1"/>
  <c r="L54" i="14" s="1"/>
  <c r="T53" i="14"/>
  <c r="O51" i="17"/>
  <c r="E52" i="17"/>
  <c r="G52" i="17" s="1"/>
  <c r="J52" i="17" s="1"/>
  <c r="O50" i="15"/>
  <c r="K51" i="16"/>
  <c r="O51" i="16" s="1"/>
  <c r="L51" i="16"/>
  <c r="T51" i="16"/>
  <c r="D85" i="12"/>
  <c r="C85" i="15"/>
  <c r="D85" i="17"/>
  <c r="C85" i="14"/>
  <c r="D85" i="15"/>
  <c r="D85" i="13"/>
  <c r="C85" i="12"/>
  <c r="D85" i="11"/>
  <c r="D85" i="16"/>
  <c r="C85" i="11"/>
  <c r="C85" i="16"/>
  <c r="K55" i="12"/>
  <c r="O55" i="12" s="1"/>
  <c r="T55" i="12"/>
  <c r="L55" i="12"/>
  <c r="C85" i="13"/>
  <c r="C85" i="17"/>
  <c r="F86" i="17"/>
  <c r="B86" i="17"/>
  <c r="R86" i="17"/>
  <c r="S86" i="17"/>
  <c r="A87" i="17"/>
  <c r="I86" i="17"/>
  <c r="H86" i="17"/>
  <c r="H86" i="15"/>
  <c r="S86" i="15"/>
  <c r="R86" i="15"/>
  <c r="F86" i="15"/>
  <c r="A87" i="15"/>
  <c r="I86" i="15"/>
  <c r="B86" i="15"/>
  <c r="R86" i="13"/>
  <c r="B86" i="13"/>
  <c r="I86" i="13"/>
  <c r="H86" i="13"/>
  <c r="A87" i="13"/>
  <c r="F86" i="13"/>
  <c r="S86" i="13"/>
  <c r="I87" i="16"/>
  <c r="H87" i="16"/>
  <c r="S87" i="16"/>
  <c r="A88" i="16"/>
  <c r="B87" i="16"/>
  <c r="R87" i="16"/>
  <c r="F87" i="16"/>
  <c r="K86" i="10"/>
  <c r="J86" i="10"/>
  <c r="E86" i="10"/>
  <c r="D86" i="14" s="1"/>
  <c r="A87" i="10"/>
  <c r="D86" i="10"/>
  <c r="G86" i="10"/>
  <c r="B86" i="10"/>
  <c r="C86" i="10" s="1"/>
  <c r="H88" i="11"/>
  <c r="F88" i="11"/>
  <c r="R88" i="11"/>
  <c r="B88" i="11"/>
  <c r="S88" i="11"/>
  <c r="I88" i="11"/>
  <c r="A89" i="11"/>
  <c r="F86" i="14"/>
  <c r="I86" i="14"/>
  <c r="S86" i="14"/>
  <c r="H86" i="14"/>
  <c r="A87" i="14"/>
  <c r="B86" i="14"/>
  <c r="R86" i="14"/>
  <c r="A87" i="12"/>
  <c r="S86" i="12"/>
  <c r="F86" i="12"/>
  <c r="R86" i="12"/>
  <c r="B86" i="12"/>
  <c r="I86" i="12"/>
  <c r="H86" i="12"/>
  <c r="A86" i="9"/>
  <c r="B85" i="9"/>
  <c r="T55" i="11" l="1"/>
  <c r="K55" i="11"/>
  <c r="O55" i="11" s="1"/>
  <c r="L55" i="11"/>
  <c r="C54" i="9"/>
  <c r="D54" i="9" s="1"/>
  <c r="F54" i="9" s="1"/>
  <c r="E53" i="9"/>
  <c r="K50" i="13"/>
  <c r="O50" i="13" s="1"/>
  <c r="L50" i="13"/>
  <c r="T52" i="17"/>
  <c r="K52" i="17"/>
  <c r="L52" i="17"/>
  <c r="T54" i="14"/>
  <c r="K54" i="14"/>
  <c r="O54" i="14" s="1"/>
  <c r="K51" i="15"/>
  <c r="O51" i="15" s="1"/>
  <c r="T51" i="15"/>
  <c r="L51" i="15"/>
  <c r="C86" i="12"/>
  <c r="E52" i="16"/>
  <c r="G52" i="16" s="1"/>
  <c r="J52" i="16" s="1"/>
  <c r="C86" i="17"/>
  <c r="C86" i="13"/>
  <c r="C86" i="15"/>
  <c r="C86" i="14"/>
  <c r="D86" i="17"/>
  <c r="D86" i="12"/>
  <c r="D86" i="15"/>
  <c r="E56" i="12"/>
  <c r="G56" i="12" s="1"/>
  <c r="J56" i="12" s="1"/>
  <c r="D86" i="11"/>
  <c r="D86" i="16"/>
  <c r="D86" i="13"/>
  <c r="C86" i="11"/>
  <c r="C86" i="16"/>
  <c r="A87" i="9"/>
  <c r="B86" i="9"/>
  <c r="A88" i="14"/>
  <c r="S87" i="14"/>
  <c r="I87" i="14"/>
  <c r="R87" i="14"/>
  <c r="F87" i="14"/>
  <c r="B87" i="14"/>
  <c r="H87" i="14"/>
  <c r="A90" i="11"/>
  <c r="S89" i="11"/>
  <c r="I89" i="11"/>
  <c r="H89" i="11"/>
  <c r="F89" i="11"/>
  <c r="B89" i="11"/>
  <c r="R89" i="11"/>
  <c r="F87" i="13"/>
  <c r="I87" i="13"/>
  <c r="A88" i="13"/>
  <c r="R87" i="13"/>
  <c r="B87" i="13"/>
  <c r="S87" i="13"/>
  <c r="H87" i="13"/>
  <c r="A88" i="15"/>
  <c r="S87" i="15"/>
  <c r="F87" i="15"/>
  <c r="I87" i="15"/>
  <c r="H87" i="15"/>
  <c r="R87" i="15"/>
  <c r="B87" i="15"/>
  <c r="G87" i="10"/>
  <c r="J87" i="10"/>
  <c r="E87" i="10"/>
  <c r="D87" i="12" s="1"/>
  <c r="D87" i="10"/>
  <c r="K87" i="10"/>
  <c r="A88" i="10"/>
  <c r="B87" i="10"/>
  <c r="C87" i="10" s="1"/>
  <c r="F88" i="16"/>
  <c r="H88" i="16"/>
  <c r="A89" i="16"/>
  <c r="S88" i="16"/>
  <c r="R88" i="16"/>
  <c r="I88" i="16"/>
  <c r="B88" i="16"/>
  <c r="I87" i="12"/>
  <c r="H87" i="12"/>
  <c r="S87" i="12"/>
  <c r="R87" i="12"/>
  <c r="A88" i="12"/>
  <c r="B87" i="12"/>
  <c r="F87" i="12"/>
  <c r="A88" i="17"/>
  <c r="S87" i="17"/>
  <c r="R87" i="17"/>
  <c r="B87" i="17"/>
  <c r="I87" i="17"/>
  <c r="H87" i="17"/>
  <c r="F87" i="17"/>
  <c r="E56" i="11" l="1"/>
  <c r="G56" i="11" s="1"/>
  <c r="J56" i="11" s="1"/>
  <c r="E54" i="9"/>
  <c r="C55" i="9"/>
  <c r="E55" i="9" s="1"/>
  <c r="E51" i="13"/>
  <c r="G51" i="13" s="1"/>
  <c r="J51" i="13" s="1"/>
  <c r="K51" i="13" s="1"/>
  <c r="O51" i="13" s="1"/>
  <c r="E55" i="14"/>
  <c r="G55" i="14" s="1"/>
  <c r="J55" i="14" s="1"/>
  <c r="K55" i="14" s="1"/>
  <c r="O55" i="14" s="1"/>
  <c r="O52" i="17"/>
  <c r="E53" i="17"/>
  <c r="G53" i="17" s="1"/>
  <c r="J53" i="17" s="1"/>
  <c r="E52" i="15"/>
  <c r="G52" i="15" s="1"/>
  <c r="J52" i="15" s="1"/>
  <c r="T52" i="15" s="1"/>
  <c r="T52" i="16"/>
  <c r="K52" i="16"/>
  <c r="O52" i="16" s="1"/>
  <c r="L52" i="16"/>
  <c r="C87" i="11"/>
  <c r="C87" i="16"/>
  <c r="D87" i="11"/>
  <c r="D87" i="16"/>
  <c r="D87" i="15"/>
  <c r="C87" i="17"/>
  <c r="D87" i="14"/>
  <c r="K56" i="12"/>
  <c r="O56" i="12" s="1"/>
  <c r="L56" i="12"/>
  <c r="T56" i="12"/>
  <c r="C87" i="15"/>
  <c r="D87" i="17"/>
  <c r="C87" i="13"/>
  <c r="C87" i="12"/>
  <c r="C87" i="14"/>
  <c r="D87" i="13"/>
  <c r="A89" i="13"/>
  <c r="S88" i="13"/>
  <c r="R88" i="13"/>
  <c r="B88" i="13"/>
  <c r="F88" i="13"/>
  <c r="I88" i="13"/>
  <c r="H88" i="13"/>
  <c r="I88" i="14"/>
  <c r="H88" i="14"/>
  <c r="R88" i="14"/>
  <c r="A89" i="14"/>
  <c r="B88" i="14"/>
  <c r="S88" i="14"/>
  <c r="F88" i="14"/>
  <c r="I88" i="17"/>
  <c r="H88" i="17"/>
  <c r="R88" i="17"/>
  <c r="F88" i="17"/>
  <c r="A89" i="17"/>
  <c r="S88" i="17"/>
  <c r="B88" i="17"/>
  <c r="F88" i="12"/>
  <c r="H88" i="12"/>
  <c r="A89" i="12"/>
  <c r="B88" i="12"/>
  <c r="S88" i="12"/>
  <c r="R88" i="12"/>
  <c r="I88" i="12"/>
  <c r="R90" i="11"/>
  <c r="B90" i="11"/>
  <c r="I90" i="11"/>
  <c r="H90" i="11"/>
  <c r="A91" i="11"/>
  <c r="S90" i="11"/>
  <c r="F90" i="11"/>
  <c r="B87" i="9"/>
  <c r="A88" i="9"/>
  <c r="S89" i="16"/>
  <c r="R89" i="16"/>
  <c r="B89" i="16"/>
  <c r="I89" i="16"/>
  <c r="H89" i="16"/>
  <c r="A90" i="16"/>
  <c r="F89" i="16"/>
  <c r="E88" i="10"/>
  <c r="D88" i="17" s="1"/>
  <c r="A89" i="10"/>
  <c r="D88" i="10"/>
  <c r="K88" i="10"/>
  <c r="G88" i="10"/>
  <c r="J88" i="10"/>
  <c r="B88" i="10"/>
  <c r="C88" i="14" s="1"/>
  <c r="I88" i="15"/>
  <c r="H88" i="15"/>
  <c r="B88" i="15"/>
  <c r="A89" i="15"/>
  <c r="F88" i="15"/>
  <c r="S88" i="15"/>
  <c r="R88" i="15"/>
  <c r="K56" i="11" l="1"/>
  <c r="O56" i="11" s="1"/>
  <c r="L56" i="11"/>
  <c r="E57" i="11" s="1"/>
  <c r="G57" i="11" s="1"/>
  <c r="J57" i="11" s="1"/>
  <c r="T56" i="11"/>
  <c r="L51" i="13"/>
  <c r="E52" i="13" s="1"/>
  <c r="G52" i="13" s="1"/>
  <c r="J52" i="13" s="1"/>
  <c r="K52" i="13" s="1"/>
  <c r="O52" i="13" s="1"/>
  <c r="T51" i="13"/>
  <c r="D55" i="9"/>
  <c r="F55" i="9" s="1"/>
  <c r="L55" i="14"/>
  <c r="E56" i="14" s="1"/>
  <c r="G56" i="14" s="1"/>
  <c r="J56" i="14" s="1"/>
  <c r="L56" i="14" s="1"/>
  <c r="T55" i="14"/>
  <c r="L52" i="15"/>
  <c r="K52" i="15"/>
  <c r="O52" i="15" s="1"/>
  <c r="K53" i="17"/>
  <c r="O53" i="17" s="1"/>
  <c r="L53" i="17"/>
  <c r="T53" i="17"/>
  <c r="E53" i="16"/>
  <c r="G53" i="16" s="1"/>
  <c r="J53" i="16" s="1"/>
  <c r="E57" i="12"/>
  <c r="G57" i="12" s="1"/>
  <c r="J57" i="12" s="1"/>
  <c r="L57" i="12" s="1"/>
  <c r="D88" i="15"/>
  <c r="C88" i="10"/>
  <c r="D88" i="12"/>
  <c r="D88" i="14"/>
  <c r="C88" i="13"/>
  <c r="C88" i="15"/>
  <c r="C88" i="17"/>
  <c r="C88" i="12"/>
  <c r="D88" i="11"/>
  <c r="D88" i="16"/>
  <c r="C88" i="11"/>
  <c r="C88" i="16"/>
  <c r="D88" i="13"/>
  <c r="H90" i="16"/>
  <c r="R90" i="16"/>
  <c r="B90" i="16"/>
  <c r="I90" i="16"/>
  <c r="F90" i="16"/>
  <c r="A91" i="16"/>
  <c r="S90" i="16"/>
  <c r="A90" i="17"/>
  <c r="H89" i="17"/>
  <c r="I89" i="17"/>
  <c r="R89" i="17"/>
  <c r="B89" i="17"/>
  <c r="S89" i="17"/>
  <c r="F89" i="17"/>
  <c r="F91" i="11"/>
  <c r="I91" i="11"/>
  <c r="S91" i="11"/>
  <c r="R91" i="11"/>
  <c r="B91" i="11"/>
  <c r="H91" i="11"/>
  <c r="A92" i="11"/>
  <c r="F89" i="14"/>
  <c r="S89" i="14"/>
  <c r="I89" i="14"/>
  <c r="B89" i="14"/>
  <c r="A90" i="14"/>
  <c r="R89" i="14"/>
  <c r="H89" i="14"/>
  <c r="I89" i="13"/>
  <c r="H89" i="13"/>
  <c r="S89" i="13"/>
  <c r="F89" i="13"/>
  <c r="A90" i="13"/>
  <c r="B89" i="13"/>
  <c r="R89" i="13"/>
  <c r="J89" i="10"/>
  <c r="A90" i="10"/>
  <c r="D89" i="10"/>
  <c r="K89" i="10"/>
  <c r="E89" i="10"/>
  <c r="D89" i="13" s="1"/>
  <c r="G89" i="10"/>
  <c r="B89" i="10"/>
  <c r="B88" i="9"/>
  <c r="A89" i="9"/>
  <c r="S89" i="12"/>
  <c r="R89" i="12"/>
  <c r="B89" i="12"/>
  <c r="A90" i="12"/>
  <c r="F89" i="12"/>
  <c r="I89" i="12"/>
  <c r="H89" i="12"/>
  <c r="F89" i="15"/>
  <c r="S89" i="15"/>
  <c r="I89" i="15"/>
  <c r="R89" i="15"/>
  <c r="A90" i="15"/>
  <c r="H89" i="15"/>
  <c r="B89" i="15"/>
  <c r="K57" i="11" l="1"/>
  <c r="O57" i="11" s="1"/>
  <c r="L57" i="11"/>
  <c r="E58" i="11" s="1"/>
  <c r="G58" i="11" s="1"/>
  <c r="J58" i="11" s="1"/>
  <c r="T57" i="11"/>
  <c r="K56" i="14"/>
  <c r="O56" i="14" s="1"/>
  <c r="C56" i="9"/>
  <c r="E56" i="9" s="1"/>
  <c r="L52" i="13"/>
  <c r="E53" i="13" s="1"/>
  <c r="G53" i="13" s="1"/>
  <c r="J53" i="13" s="1"/>
  <c r="K53" i="13" s="1"/>
  <c r="O53" i="13" s="1"/>
  <c r="T52" i="13"/>
  <c r="T56" i="14"/>
  <c r="E54" i="17"/>
  <c r="G54" i="17" s="1"/>
  <c r="J54" i="17" s="1"/>
  <c r="T54" i="17" s="1"/>
  <c r="E53" i="15"/>
  <c r="G53" i="15" s="1"/>
  <c r="J53" i="15" s="1"/>
  <c r="L53" i="15" s="1"/>
  <c r="K57" i="12"/>
  <c r="O57" i="12" s="1"/>
  <c r="T57" i="12"/>
  <c r="T53" i="16"/>
  <c r="K53" i="16"/>
  <c r="L53" i="16"/>
  <c r="C89" i="11"/>
  <c r="C89" i="16"/>
  <c r="C89" i="12"/>
  <c r="D89" i="11"/>
  <c r="D89" i="16"/>
  <c r="C89" i="17"/>
  <c r="C89" i="14"/>
  <c r="D89" i="17"/>
  <c r="C89" i="15"/>
  <c r="C89" i="10"/>
  <c r="C89" i="13"/>
  <c r="D89" i="14"/>
  <c r="D89" i="15"/>
  <c r="D89" i="12"/>
  <c r="A91" i="14"/>
  <c r="S90" i="14"/>
  <c r="R90" i="14"/>
  <c r="B90" i="14"/>
  <c r="F90" i="14"/>
  <c r="I90" i="14"/>
  <c r="H90" i="14"/>
  <c r="A90" i="9"/>
  <c r="B89" i="9"/>
  <c r="A92" i="16"/>
  <c r="I91" i="16"/>
  <c r="S91" i="16"/>
  <c r="H91" i="16"/>
  <c r="R91" i="16"/>
  <c r="F91" i="16"/>
  <c r="B91" i="16"/>
  <c r="G90" i="10"/>
  <c r="E90" i="10"/>
  <c r="D90" i="14" s="1"/>
  <c r="D90" i="10"/>
  <c r="J90" i="10"/>
  <c r="A91" i="10"/>
  <c r="K90" i="10"/>
  <c r="B90" i="10"/>
  <c r="C90" i="13" s="1"/>
  <c r="F90" i="13"/>
  <c r="A91" i="13"/>
  <c r="H90" i="13"/>
  <c r="I90" i="13"/>
  <c r="B90" i="13"/>
  <c r="S90" i="13"/>
  <c r="R90" i="13"/>
  <c r="A93" i="11"/>
  <c r="S92" i="11"/>
  <c r="R92" i="11"/>
  <c r="B92" i="11"/>
  <c r="F92" i="11"/>
  <c r="I92" i="11"/>
  <c r="H92" i="11"/>
  <c r="H90" i="12"/>
  <c r="R90" i="12"/>
  <c r="B90" i="12"/>
  <c r="I90" i="12"/>
  <c r="F90" i="12"/>
  <c r="A91" i="12"/>
  <c r="S90" i="12"/>
  <c r="S90" i="17"/>
  <c r="R90" i="17"/>
  <c r="B90" i="17"/>
  <c r="I90" i="17"/>
  <c r="A91" i="17"/>
  <c r="H90" i="17"/>
  <c r="F90" i="17"/>
  <c r="S90" i="15"/>
  <c r="R90" i="15"/>
  <c r="B90" i="15"/>
  <c r="I90" i="15"/>
  <c r="H90" i="15"/>
  <c r="A91" i="15"/>
  <c r="F90" i="15"/>
  <c r="E57" i="14" l="1"/>
  <c r="G57" i="14" s="1"/>
  <c r="J57" i="14" s="1"/>
  <c r="L57" i="14" s="1"/>
  <c r="L58" i="11"/>
  <c r="K58" i="11"/>
  <c r="O58" i="11" s="1"/>
  <c r="T58" i="11"/>
  <c r="E59" i="11"/>
  <c r="G59" i="11" s="1"/>
  <c r="J59" i="11" s="1"/>
  <c r="T59" i="11" s="1"/>
  <c r="D56" i="9"/>
  <c r="F56" i="9" s="1"/>
  <c r="L53" i="13"/>
  <c r="E54" i="13" s="1"/>
  <c r="G54" i="13" s="1"/>
  <c r="J54" i="13" s="1"/>
  <c r="L54" i="13" s="1"/>
  <c r="T53" i="13"/>
  <c r="K57" i="14"/>
  <c r="O57" i="14" s="1"/>
  <c r="K54" i="17"/>
  <c r="O54" i="17" s="1"/>
  <c r="L54" i="17"/>
  <c r="T53" i="15"/>
  <c r="K53" i="15"/>
  <c r="O53" i="15" s="1"/>
  <c r="D90" i="15"/>
  <c r="E58" i="12"/>
  <c r="G58" i="12" s="1"/>
  <c r="J58" i="12" s="1"/>
  <c r="K58" i="12" s="1"/>
  <c r="O58" i="12" s="1"/>
  <c r="O53" i="16"/>
  <c r="E54" i="16"/>
  <c r="G54" i="16" s="1"/>
  <c r="J54" i="16" s="1"/>
  <c r="D90" i="17"/>
  <c r="K54" i="13"/>
  <c r="O54" i="13" s="1"/>
  <c r="D90" i="12"/>
  <c r="C90" i="12"/>
  <c r="C90" i="10"/>
  <c r="C90" i="15"/>
  <c r="C90" i="17"/>
  <c r="C90" i="14"/>
  <c r="C90" i="11"/>
  <c r="C90" i="16"/>
  <c r="D90" i="11"/>
  <c r="D90" i="16"/>
  <c r="D90" i="13"/>
  <c r="H91" i="15"/>
  <c r="R91" i="15"/>
  <c r="A92" i="15"/>
  <c r="I91" i="15"/>
  <c r="F91" i="15"/>
  <c r="S91" i="15"/>
  <c r="B91" i="15"/>
  <c r="I93" i="11"/>
  <c r="H93" i="11"/>
  <c r="S93" i="11"/>
  <c r="A94" i="11"/>
  <c r="B93" i="11"/>
  <c r="R93" i="11"/>
  <c r="F93" i="11"/>
  <c r="A92" i="12"/>
  <c r="I91" i="12"/>
  <c r="B91" i="12"/>
  <c r="H91" i="12"/>
  <c r="F91" i="12"/>
  <c r="R91" i="12"/>
  <c r="S91" i="12"/>
  <c r="H91" i="17"/>
  <c r="F91" i="17"/>
  <c r="R91" i="17"/>
  <c r="B91" i="17"/>
  <c r="S91" i="17"/>
  <c r="I91" i="17"/>
  <c r="A92" i="17"/>
  <c r="A92" i="10"/>
  <c r="D91" i="10"/>
  <c r="K91" i="10"/>
  <c r="J91" i="10"/>
  <c r="E91" i="10"/>
  <c r="D91" i="14" s="1"/>
  <c r="G91" i="10"/>
  <c r="B91" i="10"/>
  <c r="C91" i="17" s="1"/>
  <c r="I91" i="14"/>
  <c r="H91" i="14"/>
  <c r="S91" i="14"/>
  <c r="A92" i="14"/>
  <c r="F91" i="14"/>
  <c r="B91" i="14"/>
  <c r="R91" i="14"/>
  <c r="S91" i="13"/>
  <c r="R91" i="13"/>
  <c r="B91" i="13"/>
  <c r="I91" i="13"/>
  <c r="F91" i="13"/>
  <c r="H91" i="13"/>
  <c r="A92" i="13"/>
  <c r="R92" i="16"/>
  <c r="B92" i="16"/>
  <c r="I92" i="16"/>
  <c r="H92" i="16"/>
  <c r="A93" i="16"/>
  <c r="F92" i="16"/>
  <c r="S92" i="16"/>
  <c r="A91" i="9"/>
  <c r="B90" i="9"/>
  <c r="C57" i="9" l="1"/>
  <c r="T57" i="14"/>
  <c r="K59" i="11"/>
  <c r="O59" i="11" s="1"/>
  <c r="L59" i="11"/>
  <c r="T54" i="13"/>
  <c r="E58" i="14"/>
  <c r="G58" i="14" s="1"/>
  <c r="J58" i="14" s="1"/>
  <c r="T58" i="14" s="1"/>
  <c r="E60" i="11"/>
  <c r="G60" i="11" s="1"/>
  <c r="J60" i="11" s="1"/>
  <c r="E55" i="17"/>
  <c r="G55" i="17" s="1"/>
  <c r="J55" i="17" s="1"/>
  <c r="L55" i="17" s="1"/>
  <c r="E54" i="15"/>
  <c r="G54" i="15" s="1"/>
  <c r="J54" i="15" s="1"/>
  <c r="T58" i="12"/>
  <c r="L58" i="12"/>
  <c r="E59" i="12" s="1"/>
  <c r="G59" i="12" s="1"/>
  <c r="J59" i="12" s="1"/>
  <c r="T59" i="12" s="1"/>
  <c r="K54" i="16"/>
  <c r="O54" i="16" s="1"/>
  <c r="L54" i="16"/>
  <c r="T54" i="16"/>
  <c r="E55" i="13"/>
  <c r="G55" i="13" s="1"/>
  <c r="J55" i="13" s="1"/>
  <c r="L55" i="13" s="1"/>
  <c r="D91" i="15"/>
  <c r="C91" i="13"/>
  <c r="C91" i="10"/>
  <c r="D91" i="11"/>
  <c r="D91" i="16"/>
  <c r="D91" i="13"/>
  <c r="C91" i="14"/>
  <c r="C91" i="15"/>
  <c r="C91" i="12"/>
  <c r="C91" i="11"/>
  <c r="C91" i="16"/>
  <c r="D91" i="12"/>
  <c r="D91" i="17"/>
  <c r="E57" i="9"/>
  <c r="D57" i="9"/>
  <c r="A93" i="17"/>
  <c r="S92" i="17"/>
  <c r="I92" i="17"/>
  <c r="H92" i="17"/>
  <c r="F92" i="17"/>
  <c r="R92" i="17"/>
  <c r="B92" i="17"/>
  <c r="R92" i="12"/>
  <c r="B92" i="12"/>
  <c r="I92" i="12"/>
  <c r="A93" i="12"/>
  <c r="H92" i="12"/>
  <c r="F92" i="12"/>
  <c r="S92" i="12"/>
  <c r="F93" i="16"/>
  <c r="I93" i="16"/>
  <c r="A94" i="16"/>
  <c r="R93" i="16"/>
  <c r="B93" i="16"/>
  <c r="S93" i="16"/>
  <c r="H93" i="16"/>
  <c r="H92" i="13"/>
  <c r="F92" i="13"/>
  <c r="R92" i="13"/>
  <c r="B92" i="13"/>
  <c r="S92" i="13"/>
  <c r="I92" i="13"/>
  <c r="A93" i="13"/>
  <c r="F92" i="14"/>
  <c r="A93" i="14"/>
  <c r="H92" i="14"/>
  <c r="R92" i="14"/>
  <c r="I92" i="14"/>
  <c r="B92" i="14"/>
  <c r="S92" i="14"/>
  <c r="F94" i="11"/>
  <c r="A95" i="11"/>
  <c r="H94" i="11"/>
  <c r="S94" i="11"/>
  <c r="R94" i="11"/>
  <c r="B94" i="11"/>
  <c r="I94" i="11"/>
  <c r="G92" i="10"/>
  <c r="K92" i="10"/>
  <c r="A93" i="10"/>
  <c r="J92" i="10"/>
  <c r="D92" i="10"/>
  <c r="B92" i="10"/>
  <c r="C92" i="12" s="1"/>
  <c r="E92" i="10"/>
  <c r="D92" i="12" s="1"/>
  <c r="B91" i="9"/>
  <c r="A92" i="9"/>
  <c r="A93" i="15"/>
  <c r="S92" i="15"/>
  <c r="B92" i="15"/>
  <c r="F92" i="15"/>
  <c r="I92" i="15"/>
  <c r="H92" i="15"/>
  <c r="R92" i="15"/>
  <c r="K58" i="14" l="1"/>
  <c r="O58" i="14" s="1"/>
  <c r="L58" i="14"/>
  <c r="K55" i="17"/>
  <c r="O55" i="17" s="1"/>
  <c r="T55" i="17"/>
  <c r="K60" i="11"/>
  <c r="L60" i="11"/>
  <c r="T60" i="11"/>
  <c r="E56" i="17"/>
  <c r="G56" i="17" s="1"/>
  <c r="J56" i="17" s="1"/>
  <c r="L56" i="17" s="1"/>
  <c r="L54" i="15"/>
  <c r="T54" i="15"/>
  <c r="K54" i="15"/>
  <c r="K59" i="12"/>
  <c r="O59" i="12" s="1"/>
  <c r="E55" i="16"/>
  <c r="G55" i="16" s="1"/>
  <c r="J55" i="16" s="1"/>
  <c r="T55" i="16" s="1"/>
  <c r="E59" i="14"/>
  <c r="G59" i="14" s="1"/>
  <c r="J59" i="14" s="1"/>
  <c r="L59" i="12"/>
  <c r="T55" i="13"/>
  <c r="D92" i="14"/>
  <c r="K55" i="13"/>
  <c r="E56" i="13" s="1"/>
  <c r="G56" i="13" s="1"/>
  <c r="J56" i="13" s="1"/>
  <c r="D92" i="15"/>
  <c r="C92" i="10"/>
  <c r="C92" i="14"/>
  <c r="C92" i="13"/>
  <c r="D92" i="11"/>
  <c r="D92" i="16"/>
  <c r="D92" i="13"/>
  <c r="D92" i="17"/>
  <c r="C92" i="11"/>
  <c r="C92" i="16"/>
  <c r="C92" i="15"/>
  <c r="C92" i="17"/>
  <c r="F57" i="9"/>
  <c r="C58" i="9"/>
  <c r="R93" i="15"/>
  <c r="B93" i="15"/>
  <c r="I93" i="15"/>
  <c r="H93" i="15"/>
  <c r="A94" i="15"/>
  <c r="F93" i="15"/>
  <c r="S93" i="15"/>
  <c r="S93" i="14"/>
  <c r="R93" i="14"/>
  <c r="B93" i="14"/>
  <c r="I93" i="14"/>
  <c r="A94" i="14"/>
  <c r="H93" i="14"/>
  <c r="F93" i="14"/>
  <c r="E93" i="10"/>
  <c r="D93" i="12" s="1"/>
  <c r="A94" i="10"/>
  <c r="D93" i="10"/>
  <c r="G93" i="10"/>
  <c r="K93" i="10"/>
  <c r="J93" i="10"/>
  <c r="B93" i="10"/>
  <c r="C93" i="14" s="1"/>
  <c r="F93" i="12"/>
  <c r="I93" i="12"/>
  <c r="H93" i="12"/>
  <c r="S93" i="12"/>
  <c r="A94" i="12"/>
  <c r="B93" i="12"/>
  <c r="R93" i="12"/>
  <c r="A94" i="13"/>
  <c r="S93" i="13"/>
  <c r="I93" i="13"/>
  <c r="H93" i="13"/>
  <c r="R93" i="13"/>
  <c r="F93" i="13"/>
  <c r="B93" i="13"/>
  <c r="B92" i="9"/>
  <c r="A93" i="9"/>
  <c r="A95" i="16"/>
  <c r="S94" i="16"/>
  <c r="R94" i="16"/>
  <c r="B94" i="16"/>
  <c r="F94" i="16"/>
  <c r="I94" i="16"/>
  <c r="H94" i="16"/>
  <c r="S95" i="11"/>
  <c r="R95" i="11"/>
  <c r="B95" i="11"/>
  <c r="I95" i="11"/>
  <c r="H95" i="11"/>
  <c r="F95" i="11"/>
  <c r="A96" i="11"/>
  <c r="R93" i="17"/>
  <c r="B93" i="17"/>
  <c r="I93" i="17"/>
  <c r="H93" i="17"/>
  <c r="A94" i="17"/>
  <c r="F93" i="17"/>
  <c r="S93" i="17"/>
  <c r="T56" i="17" l="1"/>
  <c r="O60" i="11"/>
  <c r="E61" i="11"/>
  <c r="G61" i="11" s="1"/>
  <c r="J61" i="11" s="1"/>
  <c r="K56" i="17"/>
  <c r="O56" i="17" s="1"/>
  <c r="O54" i="15"/>
  <c r="E55" i="15"/>
  <c r="G55" i="15" s="1"/>
  <c r="J55" i="15" s="1"/>
  <c r="E60" i="12"/>
  <c r="G60" i="12" s="1"/>
  <c r="J60" i="12" s="1"/>
  <c r="L60" i="12" s="1"/>
  <c r="L55" i="16"/>
  <c r="K55" i="16"/>
  <c r="O55" i="16" s="1"/>
  <c r="K59" i="14"/>
  <c r="O59" i="14" s="1"/>
  <c r="L59" i="14"/>
  <c r="T59" i="14"/>
  <c r="O55" i="13"/>
  <c r="T56" i="13"/>
  <c r="K56" i="13"/>
  <c r="O56" i="13" s="1"/>
  <c r="L56" i="13"/>
  <c r="D93" i="13"/>
  <c r="C93" i="13"/>
  <c r="C93" i="10"/>
  <c r="C93" i="12"/>
  <c r="C93" i="15"/>
  <c r="D93" i="14"/>
  <c r="C93" i="11"/>
  <c r="C93" i="16"/>
  <c r="D93" i="11"/>
  <c r="D93" i="16"/>
  <c r="D93" i="15"/>
  <c r="C93" i="17"/>
  <c r="D93" i="17"/>
  <c r="E58" i="9"/>
  <c r="D58" i="9"/>
  <c r="F58" i="9" s="1"/>
  <c r="F94" i="15"/>
  <c r="I94" i="15"/>
  <c r="H94" i="15"/>
  <c r="S94" i="15"/>
  <c r="R94" i="15"/>
  <c r="A95" i="15"/>
  <c r="B94" i="15"/>
  <c r="F94" i="17"/>
  <c r="I94" i="17"/>
  <c r="S94" i="17"/>
  <c r="R94" i="17"/>
  <c r="B94" i="17"/>
  <c r="A95" i="17"/>
  <c r="H94" i="17"/>
  <c r="H96" i="11"/>
  <c r="F96" i="11"/>
  <c r="R96" i="11"/>
  <c r="B96" i="11"/>
  <c r="A97" i="11"/>
  <c r="S96" i="11"/>
  <c r="I96" i="11"/>
  <c r="A95" i="12"/>
  <c r="S94" i="12"/>
  <c r="F94" i="12"/>
  <c r="H94" i="12"/>
  <c r="R94" i="12"/>
  <c r="I94" i="12"/>
  <c r="B94" i="12"/>
  <c r="K94" i="10"/>
  <c r="J94" i="10"/>
  <c r="E94" i="10"/>
  <c r="D94" i="13" s="1"/>
  <c r="D94" i="10"/>
  <c r="G94" i="10"/>
  <c r="A95" i="10"/>
  <c r="B94" i="10"/>
  <c r="C94" i="14" s="1"/>
  <c r="A94" i="9"/>
  <c r="B93" i="9"/>
  <c r="I95" i="16"/>
  <c r="H95" i="16"/>
  <c r="S95" i="16"/>
  <c r="F95" i="16"/>
  <c r="A96" i="16"/>
  <c r="R95" i="16"/>
  <c r="B95" i="16"/>
  <c r="R94" i="13"/>
  <c r="B94" i="13"/>
  <c r="I94" i="13"/>
  <c r="H94" i="13"/>
  <c r="A95" i="13"/>
  <c r="S94" i="13"/>
  <c r="F94" i="13"/>
  <c r="H94" i="14"/>
  <c r="F94" i="14"/>
  <c r="R94" i="14"/>
  <c r="B94" i="14"/>
  <c r="I94" i="14"/>
  <c r="S94" i="14"/>
  <c r="A95" i="14"/>
  <c r="K61" i="11" l="1"/>
  <c r="O61" i="11" s="1"/>
  <c r="T61" i="11"/>
  <c r="L61" i="11"/>
  <c r="E57" i="17"/>
  <c r="G57" i="17" s="1"/>
  <c r="J57" i="17" s="1"/>
  <c r="L57" i="17" s="1"/>
  <c r="K55" i="15"/>
  <c r="O55" i="15" s="1"/>
  <c r="T55" i="15"/>
  <c r="L55" i="15"/>
  <c r="T60" i="12"/>
  <c r="K60" i="12"/>
  <c r="O60" i="12" s="1"/>
  <c r="E56" i="16"/>
  <c r="G56" i="16" s="1"/>
  <c r="J56" i="16" s="1"/>
  <c r="T56" i="16" s="1"/>
  <c r="E60" i="14"/>
  <c r="G60" i="14" s="1"/>
  <c r="J60" i="14" s="1"/>
  <c r="T60" i="14" s="1"/>
  <c r="E57" i="13"/>
  <c r="G57" i="13" s="1"/>
  <c r="J57" i="13" s="1"/>
  <c r="K57" i="13" s="1"/>
  <c r="O57" i="13" s="1"/>
  <c r="D94" i="14"/>
  <c r="D94" i="12"/>
  <c r="C94" i="15"/>
  <c r="D94" i="11"/>
  <c r="D94" i="16"/>
  <c r="D94" i="17"/>
  <c r="C94" i="17"/>
  <c r="C94" i="10"/>
  <c r="D94" i="15"/>
  <c r="C94" i="11"/>
  <c r="C94" i="16"/>
  <c r="C94" i="13"/>
  <c r="C94" i="12"/>
  <c r="C59" i="9"/>
  <c r="D59" i="9" s="1"/>
  <c r="F59" i="9" s="1"/>
  <c r="I95" i="12"/>
  <c r="H95" i="12"/>
  <c r="S95" i="12"/>
  <c r="F95" i="12"/>
  <c r="R95" i="12"/>
  <c r="A96" i="12"/>
  <c r="B95" i="12"/>
  <c r="A96" i="15"/>
  <c r="S95" i="15"/>
  <c r="R95" i="15"/>
  <c r="B95" i="15"/>
  <c r="F95" i="15"/>
  <c r="H95" i="15"/>
  <c r="I95" i="15"/>
  <c r="A96" i="17"/>
  <c r="S95" i="17"/>
  <c r="R95" i="17"/>
  <c r="B95" i="17"/>
  <c r="F95" i="17"/>
  <c r="H95" i="17"/>
  <c r="I95" i="17"/>
  <c r="A95" i="9"/>
  <c r="B94" i="9"/>
  <c r="A98" i="11"/>
  <c r="S97" i="11"/>
  <c r="R97" i="11"/>
  <c r="B97" i="11"/>
  <c r="H97" i="11"/>
  <c r="I97" i="11"/>
  <c r="F97" i="11"/>
  <c r="A96" i="14"/>
  <c r="S95" i="14"/>
  <c r="I95" i="14"/>
  <c r="H95" i="14"/>
  <c r="F95" i="14"/>
  <c r="B95" i="14"/>
  <c r="R95" i="14"/>
  <c r="F95" i="13"/>
  <c r="I95" i="13"/>
  <c r="S95" i="13"/>
  <c r="R95" i="13"/>
  <c r="B95" i="13"/>
  <c r="A96" i="13"/>
  <c r="H95" i="13"/>
  <c r="F96" i="16"/>
  <c r="A97" i="16"/>
  <c r="H96" i="16"/>
  <c r="I96" i="16"/>
  <c r="B96" i="16"/>
  <c r="S96" i="16"/>
  <c r="R96" i="16"/>
  <c r="G95" i="10"/>
  <c r="J95" i="10"/>
  <c r="A96" i="10"/>
  <c r="K95" i="10"/>
  <c r="D95" i="10"/>
  <c r="E95" i="10"/>
  <c r="D95" i="12" s="1"/>
  <c r="B95" i="10"/>
  <c r="C95" i="14" s="1"/>
  <c r="E62" i="11" l="1"/>
  <c r="G62" i="11" s="1"/>
  <c r="J62" i="11" s="1"/>
  <c r="T57" i="17"/>
  <c r="K57" i="17"/>
  <c r="O57" i="17" s="1"/>
  <c r="E56" i="15"/>
  <c r="G56" i="15" s="1"/>
  <c r="J56" i="15" s="1"/>
  <c r="T56" i="15" s="1"/>
  <c r="E61" i="12"/>
  <c r="G61" i="12" s="1"/>
  <c r="J61" i="12" s="1"/>
  <c r="K61" i="12" s="1"/>
  <c r="O61" i="12" s="1"/>
  <c r="L56" i="16"/>
  <c r="K56" i="16"/>
  <c r="L60" i="14"/>
  <c r="K60" i="14"/>
  <c r="O60" i="14" s="1"/>
  <c r="L57" i="13"/>
  <c r="E58" i="13" s="1"/>
  <c r="G58" i="13" s="1"/>
  <c r="J58" i="13" s="1"/>
  <c r="T57" i="13"/>
  <c r="D95" i="13"/>
  <c r="D95" i="15"/>
  <c r="C95" i="11"/>
  <c r="C95" i="16"/>
  <c r="C95" i="17"/>
  <c r="D95" i="11"/>
  <c r="D95" i="16"/>
  <c r="C95" i="10"/>
  <c r="C95" i="15"/>
  <c r="D95" i="17"/>
  <c r="C95" i="13"/>
  <c r="D95" i="14"/>
  <c r="C95" i="12"/>
  <c r="E59" i="9"/>
  <c r="C60" i="9"/>
  <c r="E60" i="9" s="1"/>
  <c r="E96" i="10"/>
  <c r="D96" i="17" s="1"/>
  <c r="A97" i="10"/>
  <c r="D96" i="10"/>
  <c r="K96" i="10"/>
  <c r="G96" i="10"/>
  <c r="J96" i="10"/>
  <c r="B96" i="10"/>
  <c r="C96" i="10" s="1"/>
  <c r="R96" i="14"/>
  <c r="B96" i="14"/>
  <c r="I96" i="14"/>
  <c r="H96" i="14"/>
  <c r="A97" i="14"/>
  <c r="S96" i="14"/>
  <c r="F96" i="14"/>
  <c r="A97" i="13"/>
  <c r="S96" i="13"/>
  <c r="R96" i="13"/>
  <c r="B96" i="13"/>
  <c r="F96" i="13"/>
  <c r="I96" i="13"/>
  <c r="H96" i="13"/>
  <c r="I96" i="15"/>
  <c r="H96" i="15"/>
  <c r="S96" i="15"/>
  <c r="R96" i="15"/>
  <c r="B96" i="15"/>
  <c r="A97" i="15"/>
  <c r="F96" i="15"/>
  <c r="F96" i="12"/>
  <c r="H96" i="12"/>
  <c r="R96" i="12"/>
  <c r="A97" i="12"/>
  <c r="B96" i="12"/>
  <c r="I96" i="12"/>
  <c r="S96" i="12"/>
  <c r="S97" i="16"/>
  <c r="R97" i="16"/>
  <c r="B97" i="16"/>
  <c r="I97" i="16"/>
  <c r="F97" i="16"/>
  <c r="H97" i="16"/>
  <c r="A98" i="16"/>
  <c r="I96" i="17"/>
  <c r="H96" i="17"/>
  <c r="S96" i="17"/>
  <c r="A97" i="17"/>
  <c r="F96" i="17"/>
  <c r="R96" i="17"/>
  <c r="B96" i="17"/>
  <c r="R98" i="11"/>
  <c r="B98" i="11"/>
  <c r="I98" i="11"/>
  <c r="H98" i="11"/>
  <c r="A99" i="11"/>
  <c r="F98" i="11"/>
  <c r="S98" i="11"/>
  <c r="B95" i="9"/>
  <c r="A96" i="9"/>
  <c r="T62" i="11" l="1"/>
  <c r="L62" i="11"/>
  <c r="K62" i="11"/>
  <c r="O62" i="11" s="1"/>
  <c r="E58" i="17"/>
  <c r="G58" i="17" s="1"/>
  <c r="J58" i="17" s="1"/>
  <c r="K56" i="15"/>
  <c r="O56" i="15" s="1"/>
  <c r="L56" i="15"/>
  <c r="T61" i="12"/>
  <c r="L61" i="12"/>
  <c r="E62" i="12" s="1"/>
  <c r="G62" i="12" s="1"/>
  <c r="J62" i="12" s="1"/>
  <c r="O56" i="16"/>
  <c r="E57" i="16"/>
  <c r="G57" i="16" s="1"/>
  <c r="J57" i="16" s="1"/>
  <c r="E61" i="14"/>
  <c r="G61" i="14" s="1"/>
  <c r="J61" i="14" s="1"/>
  <c r="L61" i="14" s="1"/>
  <c r="C96" i="12"/>
  <c r="C96" i="15"/>
  <c r="C96" i="13"/>
  <c r="C96" i="14"/>
  <c r="L58" i="13"/>
  <c r="K58" i="13"/>
  <c r="T58" i="13"/>
  <c r="D96" i="12"/>
  <c r="D96" i="15"/>
  <c r="D96" i="14"/>
  <c r="C96" i="17"/>
  <c r="C96" i="11"/>
  <c r="C96" i="16"/>
  <c r="D96" i="11"/>
  <c r="D96" i="16"/>
  <c r="D96" i="13"/>
  <c r="D60" i="9"/>
  <c r="C61" i="9" s="1"/>
  <c r="S97" i="12"/>
  <c r="R97" i="12"/>
  <c r="B97" i="12"/>
  <c r="A98" i="12"/>
  <c r="F97" i="12"/>
  <c r="I97" i="12"/>
  <c r="H97" i="12"/>
  <c r="F97" i="15"/>
  <c r="A98" i="15"/>
  <c r="H97" i="15"/>
  <c r="I97" i="15"/>
  <c r="B97" i="15"/>
  <c r="R97" i="15"/>
  <c r="S97" i="15"/>
  <c r="F97" i="14"/>
  <c r="I97" i="14"/>
  <c r="H97" i="14"/>
  <c r="A98" i="14"/>
  <c r="S97" i="14"/>
  <c r="R97" i="14"/>
  <c r="B97" i="14"/>
  <c r="B96" i="9"/>
  <c r="A97" i="9"/>
  <c r="J97" i="10"/>
  <c r="A98" i="10"/>
  <c r="D97" i="10"/>
  <c r="G97" i="10"/>
  <c r="E97" i="10"/>
  <c r="D97" i="12" s="1"/>
  <c r="K97" i="10"/>
  <c r="B97" i="10"/>
  <c r="C97" i="10" s="1"/>
  <c r="F97" i="17"/>
  <c r="A98" i="17"/>
  <c r="H97" i="17"/>
  <c r="R97" i="17"/>
  <c r="B97" i="17"/>
  <c r="I97" i="17"/>
  <c r="S97" i="17"/>
  <c r="F99" i="11"/>
  <c r="I99" i="11"/>
  <c r="A100" i="11"/>
  <c r="R99" i="11"/>
  <c r="B99" i="11"/>
  <c r="S99" i="11"/>
  <c r="H99" i="11"/>
  <c r="I97" i="13"/>
  <c r="H97" i="13"/>
  <c r="S97" i="13"/>
  <c r="A98" i="13"/>
  <c r="F97" i="13"/>
  <c r="B97" i="13"/>
  <c r="R97" i="13"/>
  <c r="H98" i="16"/>
  <c r="F98" i="16"/>
  <c r="R98" i="16"/>
  <c r="B98" i="16"/>
  <c r="S98" i="16"/>
  <c r="I98" i="16"/>
  <c r="A99" i="16"/>
  <c r="E63" i="11" l="1"/>
  <c r="G63" i="11" s="1"/>
  <c r="J63" i="11" s="1"/>
  <c r="E57" i="15"/>
  <c r="G57" i="15" s="1"/>
  <c r="J57" i="15" s="1"/>
  <c r="K57" i="15" s="1"/>
  <c r="O57" i="15" s="1"/>
  <c r="T58" i="17"/>
  <c r="K58" i="17"/>
  <c r="L58" i="17"/>
  <c r="T57" i="15"/>
  <c r="L57" i="16"/>
  <c r="T57" i="16"/>
  <c r="K57" i="16"/>
  <c r="T61" i="14"/>
  <c r="K61" i="14"/>
  <c r="O61" i="14" s="1"/>
  <c r="C97" i="13"/>
  <c r="O58" i="13"/>
  <c r="E59" i="13"/>
  <c r="G59" i="13" s="1"/>
  <c r="J59" i="13" s="1"/>
  <c r="D97" i="15"/>
  <c r="F60" i="9"/>
  <c r="D97" i="13"/>
  <c r="C97" i="17"/>
  <c r="D97" i="17"/>
  <c r="D97" i="14"/>
  <c r="K62" i="12"/>
  <c r="O62" i="12" s="1"/>
  <c r="T62" i="12"/>
  <c r="L62" i="12"/>
  <c r="C97" i="11"/>
  <c r="C97" i="16"/>
  <c r="C97" i="14"/>
  <c r="C97" i="15"/>
  <c r="C97" i="12"/>
  <c r="D97" i="11"/>
  <c r="D97" i="16"/>
  <c r="D61" i="9"/>
  <c r="E61" i="9"/>
  <c r="H98" i="12"/>
  <c r="R98" i="12"/>
  <c r="B98" i="12"/>
  <c r="A99" i="12"/>
  <c r="S98" i="12"/>
  <c r="I98" i="12"/>
  <c r="F98" i="12"/>
  <c r="G98" i="10"/>
  <c r="E98" i="10"/>
  <c r="D98" i="14" s="1"/>
  <c r="A99" i="10"/>
  <c r="K98" i="10"/>
  <c r="J98" i="10"/>
  <c r="D98" i="10"/>
  <c r="B98" i="10"/>
  <c r="C98" i="12" s="1"/>
  <c r="A99" i="14"/>
  <c r="S98" i="14"/>
  <c r="R98" i="14"/>
  <c r="B98" i="14"/>
  <c r="F98" i="14"/>
  <c r="I98" i="14"/>
  <c r="H98" i="14"/>
  <c r="F98" i="13"/>
  <c r="A99" i="13"/>
  <c r="H98" i="13"/>
  <c r="S98" i="13"/>
  <c r="R98" i="13"/>
  <c r="B98" i="13"/>
  <c r="I98" i="13"/>
  <c r="A100" i="16"/>
  <c r="S99" i="16"/>
  <c r="I99" i="16"/>
  <c r="H99" i="16"/>
  <c r="R99" i="16"/>
  <c r="F99" i="16"/>
  <c r="B99" i="16"/>
  <c r="S98" i="15"/>
  <c r="R98" i="15"/>
  <c r="B98" i="15"/>
  <c r="I98" i="15"/>
  <c r="A99" i="15"/>
  <c r="F98" i="15"/>
  <c r="H98" i="15"/>
  <c r="A101" i="11"/>
  <c r="S100" i="11"/>
  <c r="R100" i="11"/>
  <c r="B100" i="11"/>
  <c r="F100" i="11"/>
  <c r="I100" i="11"/>
  <c r="H100" i="11"/>
  <c r="S98" i="17"/>
  <c r="R98" i="17"/>
  <c r="B98" i="17"/>
  <c r="I98" i="17"/>
  <c r="F98" i="17"/>
  <c r="H98" i="17"/>
  <c r="A99" i="17"/>
  <c r="A98" i="9"/>
  <c r="B97" i="9"/>
  <c r="L57" i="15" l="1"/>
  <c r="T63" i="11"/>
  <c r="K63" i="11"/>
  <c r="O63" i="11" s="1"/>
  <c r="L63" i="11"/>
  <c r="E64" i="11" s="1"/>
  <c r="G64" i="11" s="1"/>
  <c r="J64" i="11" s="1"/>
  <c r="O58" i="17"/>
  <c r="E59" i="17"/>
  <c r="G59" i="17" s="1"/>
  <c r="J59" i="17" s="1"/>
  <c r="E58" i="15"/>
  <c r="G58" i="15" s="1"/>
  <c r="J58" i="15" s="1"/>
  <c r="L58" i="15" s="1"/>
  <c r="O57" i="16"/>
  <c r="E58" i="16"/>
  <c r="G58" i="16" s="1"/>
  <c r="J58" i="16" s="1"/>
  <c r="E62" i="14"/>
  <c r="G62" i="14" s="1"/>
  <c r="J62" i="14" s="1"/>
  <c r="T62" i="14" s="1"/>
  <c r="C98" i="15"/>
  <c r="C98" i="17"/>
  <c r="D98" i="13"/>
  <c r="C98" i="14"/>
  <c r="T59" i="13"/>
  <c r="K59" i="13"/>
  <c r="O59" i="13" s="1"/>
  <c r="L59" i="13"/>
  <c r="D98" i="17"/>
  <c r="D98" i="15"/>
  <c r="C98" i="10"/>
  <c r="C98" i="11"/>
  <c r="C98" i="16"/>
  <c r="D98" i="11"/>
  <c r="D98" i="16"/>
  <c r="D98" i="12"/>
  <c r="E63" i="12"/>
  <c r="G63" i="12" s="1"/>
  <c r="J63" i="12" s="1"/>
  <c r="C98" i="13"/>
  <c r="F61" i="9"/>
  <c r="C62" i="9"/>
  <c r="A100" i="10"/>
  <c r="D99" i="10"/>
  <c r="K99" i="10"/>
  <c r="J99" i="10"/>
  <c r="G99" i="10"/>
  <c r="E99" i="10"/>
  <c r="D99" i="17" s="1"/>
  <c r="B99" i="10"/>
  <c r="C99" i="10" s="1"/>
  <c r="R100" i="16"/>
  <c r="B100" i="16"/>
  <c r="I100" i="16"/>
  <c r="H100" i="16"/>
  <c r="A101" i="16"/>
  <c r="S100" i="16"/>
  <c r="F100" i="16"/>
  <c r="I99" i="14"/>
  <c r="H99" i="14"/>
  <c r="S99" i="14"/>
  <c r="R99" i="14"/>
  <c r="B99" i="14"/>
  <c r="A100" i="14"/>
  <c r="F99" i="14"/>
  <c r="S99" i="13"/>
  <c r="R99" i="13"/>
  <c r="B99" i="13"/>
  <c r="I99" i="13"/>
  <c r="H99" i="13"/>
  <c r="F99" i="13"/>
  <c r="A100" i="13"/>
  <c r="H99" i="17"/>
  <c r="F99" i="17"/>
  <c r="R99" i="17"/>
  <c r="B99" i="17"/>
  <c r="A100" i="17"/>
  <c r="I99" i="17"/>
  <c r="S99" i="17"/>
  <c r="I101" i="11"/>
  <c r="H101" i="11"/>
  <c r="S101" i="11"/>
  <c r="F101" i="11"/>
  <c r="A102" i="11"/>
  <c r="B101" i="11"/>
  <c r="R101" i="11"/>
  <c r="H99" i="15"/>
  <c r="F99" i="15"/>
  <c r="R99" i="15"/>
  <c r="B99" i="15"/>
  <c r="S99" i="15"/>
  <c r="I99" i="15"/>
  <c r="A100" i="15"/>
  <c r="A100" i="12"/>
  <c r="B99" i="12"/>
  <c r="S99" i="12"/>
  <c r="H99" i="12"/>
  <c r="F99" i="12"/>
  <c r="R99" i="12"/>
  <c r="I99" i="12"/>
  <c r="A99" i="9"/>
  <c r="B98" i="9"/>
  <c r="K64" i="11" l="1"/>
  <c r="O64" i="11" s="1"/>
  <c r="T64" i="11"/>
  <c r="L64" i="11"/>
  <c r="E65" i="11" s="1"/>
  <c r="G65" i="11" s="1"/>
  <c r="J65" i="11" s="1"/>
  <c r="K59" i="17"/>
  <c r="O59" i="17" s="1"/>
  <c r="L59" i="17"/>
  <c r="E60" i="17" s="1"/>
  <c r="G60" i="17" s="1"/>
  <c r="J60" i="17" s="1"/>
  <c r="T59" i="17"/>
  <c r="K58" i="15"/>
  <c r="O58" i="15" s="1"/>
  <c r="T58" i="15"/>
  <c r="K62" i="14"/>
  <c r="O62" i="14" s="1"/>
  <c r="L62" i="14"/>
  <c r="K58" i="16"/>
  <c r="O58" i="16" s="1"/>
  <c r="T58" i="16"/>
  <c r="L58" i="16"/>
  <c r="E60" i="13"/>
  <c r="G60" i="13" s="1"/>
  <c r="J60" i="13" s="1"/>
  <c r="T60" i="13" s="1"/>
  <c r="D99" i="14"/>
  <c r="C99" i="12"/>
  <c r="D99" i="12"/>
  <c r="C99" i="17"/>
  <c r="C99" i="14"/>
  <c r="D99" i="13"/>
  <c r="C99" i="15"/>
  <c r="D99" i="15"/>
  <c r="C99" i="13"/>
  <c r="D99" i="11"/>
  <c r="D99" i="16"/>
  <c r="K63" i="12"/>
  <c r="O63" i="12" s="1"/>
  <c r="T63" i="12"/>
  <c r="L63" i="12"/>
  <c r="C99" i="11"/>
  <c r="C99" i="16"/>
  <c r="E62" i="9"/>
  <c r="D62" i="9"/>
  <c r="F62" i="9" s="1"/>
  <c r="H100" i="13"/>
  <c r="F100" i="13"/>
  <c r="R100" i="13"/>
  <c r="B100" i="13"/>
  <c r="A101" i="13"/>
  <c r="S100" i="13"/>
  <c r="I100" i="13"/>
  <c r="A101" i="17"/>
  <c r="S100" i="17"/>
  <c r="H100" i="17"/>
  <c r="R100" i="17"/>
  <c r="I100" i="17"/>
  <c r="F100" i="17"/>
  <c r="B100" i="17"/>
  <c r="F100" i="14"/>
  <c r="A101" i="14"/>
  <c r="H100" i="14"/>
  <c r="S100" i="14"/>
  <c r="B100" i="14"/>
  <c r="R100" i="14"/>
  <c r="I100" i="14"/>
  <c r="R100" i="12"/>
  <c r="B100" i="12"/>
  <c r="I100" i="12"/>
  <c r="A101" i="12"/>
  <c r="H100" i="12"/>
  <c r="S100" i="12"/>
  <c r="F100" i="12"/>
  <c r="B99" i="9"/>
  <c r="A100" i="9"/>
  <c r="F102" i="11"/>
  <c r="A103" i="11"/>
  <c r="H102" i="11"/>
  <c r="I102" i="11"/>
  <c r="B102" i="11"/>
  <c r="S102" i="11"/>
  <c r="R102" i="11"/>
  <c r="A101" i="15"/>
  <c r="S100" i="15"/>
  <c r="I100" i="15"/>
  <c r="H100" i="15"/>
  <c r="F100" i="15"/>
  <c r="R100" i="15"/>
  <c r="B100" i="15"/>
  <c r="H101" i="16"/>
  <c r="F101" i="16"/>
  <c r="A102" i="16"/>
  <c r="S101" i="16"/>
  <c r="B101" i="16"/>
  <c r="R101" i="16"/>
  <c r="I101" i="16"/>
  <c r="G100" i="10"/>
  <c r="K100" i="10"/>
  <c r="B100" i="10"/>
  <c r="C100" i="12" s="1"/>
  <c r="E100" i="10"/>
  <c r="D100" i="12" s="1"/>
  <c r="D100" i="10"/>
  <c r="A101" i="10"/>
  <c r="J100" i="10"/>
  <c r="K65" i="11" l="1"/>
  <c r="L65" i="11"/>
  <c r="T65" i="11"/>
  <c r="K60" i="17"/>
  <c r="O60" i="17" s="1"/>
  <c r="T60" i="17"/>
  <c r="L60" i="17"/>
  <c r="E61" i="17" s="1"/>
  <c r="G61" i="17" s="1"/>
  <c r="J61" i="17" s="1"/>
  <c r="E59" i="15"/>
  <c r="G59" i="15" s="1"/>
  <c r="J59" i="15" s="1"/>
  <c r="L59" i="15" s="1"/>
  <c r="E63" i="14"/>
  <c r="G63" i="14" s="1"/>
  <c r="J63" i="14" s="1"/>
  <c r="T63" i="14" s="1"/>
  <c r="E59" i="16"/>
  <c r="G59" i="16" s="1"/>
  <c r="J59" i="16" s="1"/>
  <c r="L59" i="16" s="1"/>
  <c r="L60" i="13"/>
  <c r="K60" i="13"/>
  <c r="O60" i="13" s="1"/>
  <c r="D100" i="15"/>
  <c r="D100" i="14"/>
  <c r="C100" i="11"/>
  <c r="C100" i="16"/>
  <c r="C100" i="10"/>
  <c r="C100" i="13"/>
  <c r="E64" i="12"/>
  <c r="G64" i="12" s="1"/>
  <c r="J64" i="12" s="1"/>
  <c r="C100" i="17"/>
  <c r="D100" i="11"/>
  <c r="D100" i="16"/>
  <c r="D100" i="13"/>
  <c r="C100" i="15"/>
  <c r="C100" i="14"/>
  <c r="D100" i="17"/>
  <c r="C63" i="9"/>
  <c r="E63" i="9" s="1"/>
  <c r="B100" i="9"/>
  <c r="A101" i="9"/>
  <c r="A102" i="13"/>
  <c r="S101" i="13"/>
  <c r="R101" i="13"/>
  <c r="B101" i="13"/>
  <c r="H101" i="13"/>
  <c r="I101" i="13"/>
  <c r="F101" i="13"/>
  <c r="F101" i="12"/>
  <c r="I101" i="12"/>
  <c r="H101" i="12"/>
  <c r="B101" i="12"/>
  <c r="S101" i="12"/>
  <c r="R101" i="12"/>
  <c r="A102" i="12"/>
  <c r="R101" i="17"/>
  <c r="B101" i="17"/>
  <c r="I101" i="17"/>
  <c r="H101" i="17"/>
  <c r="A102" i="17"/>
  <c r="F101" i="17"/>
  <c r="S101" i="17"/>
  <c r="E101" i="10"/>
  <c r="D101" i="17" s="1"/>
  <c r="A102" i="10"/>
  <c r="D101" i="10"/>
  <c r="K101" i="10"/>
  <c r="G101" i="10"/>
  <c r="J101" i="10"/>
  <c r="B101" i="10"/>
  <c r="C101" i="17" s="1"/>
  <c r="S103" i="11"/>
  <c r="R103" i="11"/>
  <c r="B103" i="11"/>
  <c r="I103" i="11"/>
  <c r="F103" i="11"/>
  <c r="H103" i="11"/>
  <c r="A104" i="11"/>
  <c r="S101" i="14"/>
  <c r="R101" i="14"/>
  <c r="B101" i="14"/>
  <c r="I101" i="14"/>
  <c r="A102" i="14"/>
  <c r="H101" i="14"/>
  <c r="F101" i="14"/>
  <c r="A103" i="16"/>
  <c r="H102" i="16"/>
  <c r="F102" i="16"/>
  <c r="S102" i="16"/>
  <c r="B102" i="16"/>
  <c r="R102" i="16"/>
  <c r="I102" i="16"/>
  <c r="R101" i="15"/>
  <c r="B101" i="15"/>
  <c r="I101" i="15"/>
  <c r="H101" i="15"/>
  <c r="A102" i="15"/>
  <c r="S101" i="15"/>
  <c r="F101" i="15"/>
  <c r="O65" i="11" l="1"/>
  <c r="E66" i="11"/>
  <c r="G66" i="11" s="1"/>
  <c r="J66" i="11" s="1"/>
  <c r="K59" i="15"/>
  <c r="O59" i="15" s="1"/>
  <c r="T59" i="15"/>
  <c r="K61" i="17"/>
  <c r="O61" i="17" s="1"/>
  <c r="L61" i="17"/>
  <c r="T61" i="17"/>
  <c r="K63" i="14"/>
  <c r="O63" i="14" s="1"/>
  <c r="L63" i="14"/>
  <c r="T59" i="16"/>
  <c r="K59" i="16"/>
  <c r="O59" i="16" s="1"/>
  <c r="E61" i="13"/>
  <c r="G61" i="13" s="1"/>
  <c r="J61" i="13" s="1"/>
  <c r="K61" i="13" s="1"/>
  <c r="O61" i="13" s="1"/>
  <c r="D101" i="13"/>
  <c r="D101" i="15"/>
  <c r="D101" i="14"/>
  <c r="C101" i="15"/>
  <c r="D101" i="12"/>
  <c r="C101" i="12"/>
  <c r="C101" i="14"/>
  <c r="C101" i="13"/>
  <c r="C101" i="10"/>
  <c r="K64" i="12"/>
  <c r="O64" i="12" s="1"/>
  <c r="L64" i="12"/>
  <c r="T64" i="12"/>
  <c r="C101" i="11"/>
  <c r="C101" i="16"/>
  <c r="D101" i="11"/>
  <c r="D101" i="16"/>
  <c r="D63" i="9"/>
  <c r="F63" i="9" s="1"/>
  <c r="I103" i="16"/>
  <c r="R103" i="16"/>
  <c r="H103" i="16"/>
  <c r="F103" i="16"/>
  <c r="B103" i="16"/>
  <c r="A104" i="16"/>
  <c r="S103" i="16"/>
  <c r="H104" i="11"/>
  <c r="F104" i="11"/>
  <c r="R104" i="11"/>
  <c r="B104" i="11"/>
  <c r="S104" i="11"/>
  <c r="I104" i="11"/>
  <c r="A105" i="11"/>
  <c r="A103" i="12"/>
  <c r="S102" i="12"/>
  <c r="F102" i="12"/>
  <c r="I102" i="12"/>
  <c r="H102" i="12"/>
  <c r="R102" i="12"/>
  <c r="B102" i="12"/>
  <c r="R102" i="13"/>
  <c r="B102" i="13"/>
  <c r="I102" i="13"/>
  <c r="H102" i="13"/>
  <c r="A103" i="13"/>
  <c r="F102" i="13"/>
  <c r="S102" i="13"/>
  <c r="K102" i="10"/>
  <c r="J102" i="10"/>
  <c r="E102" i="10"/>
  <c r="D102" i="12" s="1"/>
  <c r="A103" i="10"/>
  <c r="D102" i="10"/>
  <c r="G102" i="10"/>
  <c r="B102" i="10"/>
  <c r="C102" i="12" s="1"/>
  <c r="A102" i="9"/>
  <c r="B101" i="9"/>
  <c r="H102" i="14"/>
  <c r="F102" i="14"/>
  <c r="R102" i="14"/>
  <c r="B102" i="14"/>
  <c r="S102" i="14"/>
  <c r="A103" i="14"/>
  <c r="I102" i="14"/>
  <c r="F102" i="17"/>
  <c r="I102" i="17"/>
  <c r="H102" i="17"/>
  <c r="R102" i="17"/>
  <c r="B102" i="17"/>
  <c r="A103" i="17"/>
  <c r="S102" i="17"/>
  <c r="F102" i="15"/>
  <c r="I102" i="15"/>
  <c r="S102" i="15"/>
  <c r="R102" i="15"/>
  <c r="B102" i="15"/>
  <c r="H102" i="15"/>
  <c r="A103" i="15"/>
  <c r="E60" i="15" l="1"/>
  <c r="G60" i="15" s="1"/>
  <c r="J60" i="15" s="1"/>
  <c r="K60" i="15" s="1"/>
  <c r="O60" i="15" s="1"/>
  <c r="E62" i="17"/>
  <c r="G62" i="17" s="1"/>
  <c r="J62" i="17" s="1"/>
  <c r="L62" i="17" s="1"/>
  <c r="E64" i="14"/>
  <c r="G64" i="14" s="1"/>
  <c r="J64" i="14" s="1"/>
  <c r="K66" i="11"/>
  <c r="O66" i="11" s="1"/>
  <c r="T66" i="11"/>
  <c r="L66" i="11"/>
  <c r="K62" i="17"/>
  <c r="E60" i="16"/>
  <c r="G60" i="16" s="1"/>
  <c r="J60" i="16" s="1"/>
  <c r="T60" i="16" s="1"/>
  <c r="L60" i="15"/>
  <c r="T60" i="15"/>
  <c r="T61" i="13"/>
  <c r="L61" i="13"/>
  <c r="E62" i="13" s="1"/>
  <c r="G62" i="13" s="1"/>
  <c r="J62" i="13" s="1"/>
  <c r="K62" i="13" s="1"/>
  <c r="O62" i="13" s="1"/>
  <c r="C102" i="14"/>
  <c r="C102" i="17"/>
  <c r="C102" i="10"/>
  <c r="D102" i="14"/>
  <c r="C102" i="15"/>
  <c r="D102" i="15"/>
  <c r="D102" i="17"/>
  <c r="C102" i="11"/>
  <c r="C102" i="16"/>
  <c r="C102" i="13"/>
  <c r="E65" i="12"/>
  <c r="G65" i="12" s="1"/>
  <c r="J65" i="12" s="1"/>
  <c r="D102" i="11"/>
  <c r="D102" i="16"/>
  <c r="D102" i="13"/>
  <c r="C64" i="9"/>
  <c r="A106" i="11"/>
  <c r="S105" i="11"/>
  <c r="I105" i="11"/>
  <c r="H105" i="11"/>
  <c r="R105" i="11"/>
  <c r="F105" i="11"/>
  <c r="B105" i="11"/>
  <c r="A104" i="15"/>
  <c r="S103" i="15"/>
  <c r="R103" i="15"/>
  <c r="B103" i="15"/>
  <c r="F103" i="15"/>
  <c r="H103" i="15"/>
  <c r="I103" i="15"/>
  <c r="A104" i="17"/>
  <c r="S103" i="17"/>
  <c r="R103" i="17"/>
  <c r="B103" i="17"/>
  <c r="F103" i="17"/>
  <c r="H103" i="17"/>
  <c r="I103" i="17"/>
  <c r="F103" i="13"/>
  <c r="I103" i="13"/>
  <c r="A104" i="13"/>
  <c r="R103" i="13"/>
  <c r="B103" i="13"/>
  <c r="H103" i="13"/>
  <c r="S103" i="13"/>
  <c r="A103" i="9"/>
  <c r="B102" i="9"/>
  <c r="I103" i="12"/>
  <c r="H103" i="12"/>
  <c r="S103" i="12"/>
  <c r="F103" i="12"/>
  <c r="R103" i="12"/>
  <c r="A104" i="12"/>
  <c r="B103" i="12"/>
  <c r="A104" i="14"/>
  <c r="S103" i="14"/>
  <c r="F103" i="14"/>
  <c r="I103" i="14"/>
  <c r="B103" i="14"/>
  <c r="R103" i="14"/>
  <c r="H103" i="14"/>
  <c r="G103" i="10"/>
  <c r="J103" i="10"/>
  <c r="E103" i="10"/>
  <c r="D103" i="12" s="1"/>
  <c r="D103" i="10"/>
  <c r="K103" i="10"/>
  <c r="A104" i="10"/>
  <c r="B103" i="10"/>
  <c r="C103" i="17" s="1"/>
  <c r="F104" i="16"/>
  <c r="R104" i="16"/>
  <c r="I104" i="16"/>
  <c r="H104" i="16"/>
  <c r="B104" i="16"/>
  <c r="S104" i="16"/>
  <c r="A105" i="16"/>
  <c r="T62" i="17" l="1"/>
  <c r="E67" i="11"/>
  <c r="G67" i="11" s="1"/>
  <c r="J67" i="11" s="1"/>
  <c r="L67" i="11" s="1"/>
  <c r="K67" i="11"/>
  <c r="O67" i="11" s="1"/>
  <c r="T67" i="11"/>
  <c r="L64" i="14"/>
  <c r="K64" i="14"/>
  <c r="O64" i="14" s="1"/>
  <c r="T64" i="14"/>
  <c r="L60" i="16"/>
  <c r="O62" i="17"/>
  <c r="E63" i="17"/>
  <c r="G63" i="17" s="1"/>
  <c r="J63" i="17" s="1"/>
  <c r="K60" i="16"/>
  <c r="O60" i="16" s="1"/>
  <c r="E61" i="15"/>
  <c r="G61" i="15" s="1"/>
  <c r="J61" i="15" s="1"/>
  <c r="T61" i="15" s="1"/>
  <c r="T62" i="13"/>
  <c r="L62" i="13"/>
  <c r="E63" i="13" s="1"/>
  <c r="G63" i="13" s="1"/>
  <c r="J63" i="13" s="1"/>
  <c r="D103" i="14"/>
  <c r="D103" i="17"/>
  <c r="D103" i="15"/>
  <c r="C103" i="12"/>
  <c r="C103" i="11"/>
  <c r="C103" i="16"/>
  <c r="C103" i="10"/>
  <c r="D103" i="13"/>
  <c r="C103" i="14"/>
  <c r="C103" i="15"/>
  <c r="C103" i="13"/>
  <c r="D103" i="11"/>
  <c r="D103" i="16"/>
  <c r="K65" i="12"/>
  <c r="O65" i="12" s="1"/>
  <c r="L65" i="12"/>
  <c r="T65" i="12"/>
  <c r="E64" i="9"/>
  <c r="D64" i="9"/>
  <c r="A105" i="13"/>
  <c r="S104" i="13"/>
  <c r="R104" i="13"/>
  <c r="B104" i="13"/>
  <c r="F104" i="13"/>
  <c r="I104" i="13"/>
  <c r="H104" i="13"/>
  <c r="I104" i="17"/>
  <c r="H104" i="17"/>
  <c r="S104" i="17"/>
  <c r="R104" i="17"/>
  <c r="B104" i="17"/>
  <c r="A105" i="17"/>
  <c r="F104" i="17"/>
  <c r="B103" i="9"/>
  <c r="A104" i="9"/>
  <c r="E104" i="10"/>
  <c r="D104" i="13" s="1"/>
  <c r="A105" i="10"/>
  <c r="D104" i="10"/>
  <c r="K104" i="10"/>
  <c r="G104" i="10"/>
  <c r="J104" i="10"/>
  <c r="B104" i="10"/>
  <c r="C104" i="13" s="1"/>
  <c r="F104" i="12"/>
  <c r="H104" i="12"/>
  <c r="S104" i="12"/>
  <c r="R104" i="12"/>
  <c r="A105" i="12"/>
  <c r="I104" i="12"/>
  <c r="B104" i="12"/>
  <c r="R104" i="14"/>
  <c r="B104" i="14"/>
  <c r="I104" i="14"/>
  <c r="H104" i="14"/>
  <c r="A105" i="14"/>
  <c r="S104" i="14"/>
  <c r="F104" i="14"/>
  <c r="I104" i="15"/>
  <c r="H104" i="15"/>
  <c r="S104" i="15"/>
  <c r="A105" i="15"/>
  <c r="R104" i="15"/>
  <c r="B104" i="15"/>
  <c r="F104" i="15"/>
  <c r="S105" i="16"/>
  <c r="A106" i="16"/>
  <c r="R105" i="16"/>
  <c r="I105" i="16"/>
  <c r="H105" i="16"/>
  <c r="B105" i="16"/>
  <c r="F105" i="16"/>
  <c r="R106" i="11"/>
  <c r="B106" i="11"/>
  <c r="I106" i="11"/>
  <c r="H106" i="11"/>
  <c r="A107" i="11"/>
  <c r="S106" i="11"/>
  <c r="F106" i="11"/>
  <c r="E68" i="11" l="1"/>
  <c r="G68" i="11" s="1"/>
  <c r="J68" i="11" s="1"/>
  <c r="K68" i="11" s="1"/>
  <c r="O68" i="11" s="1"/>
  <c r="E65" i="14"/>
  <c r="G65" i="14" s="1"/>
  <c r="J65" i="14" s="1"/>
  <c r="L65" i="14" s="1"/>
  <c r="L68" i="11"/>
  <c r="E61" i="16"/>
  <c r="G61" i="16" s="1"/>
  <c r="J61" i="16" s="1"/>
  <c r="T61" i="16" s="1"/>
  <c r="T63" i="17"/>
  <c r="K63" i="17"/>
  <c r="L63" i="17"/>
  <c r="L61" i="15"/>
  <c r="K61" i="15"/>
  <c r="O61" i="15" s="1"/>
  <c r="E69" i="11"/>
  <c r="G69" i="11" s="1"/>
  <c r="J69" i="11" s="1"/>
  <c r="K69" i="11" s="1"/>
  <c r="O69" i="11" s="1"/>
  <c r="K63" i="13"/>
  <c r="L63" i="13"/>
  <c r="T63" i="13"/>
  <c r="D104" i="14"/>
  <c r="C104" i="12"/>
  <c r="D104" i="15"/>
  <c r="D104" i="12"/>
  <c r="C104" i="11"/>
  <c r="C104" i="16"/>
  <c r="C104" i="17"/>
  <c r="E66" i="12"/>
  <c r="G66" i="12" s="1"/>
  <c r="J66" i="12" s="1"/>
  <c r="D104" i="11"/>
  <c r="D104" i="16"/>
  <c r="C104" i="15"/>
  <c r="C104" i="14"/>
  <c r="C104" i="10"/>
  <c r="D104" i="17"/>
  <c r="F64" i="9"/>
  <c r="C65" i="9"/>
  <c r="F105" i="14"/>
  <c r="I105" i="14"/>
  <c r="A106" i="14"/>
  <c r="S105" i="14"/>
  <c r="B105" i="14"/>
  <c r="R105" i="14"/>
  <c r="H105" i="14"/>
  <c r="B104" i="9"/>
  <c r="A105" i="9"/>
  <c r="F105" i="17"/>
  <c r="A106" i="17"/>
  <c r="H105" i="17"/>
  <c r="I105" i="17"/>
  <c r="B105" i="17"/>
  <c r="R105" i="17"/>
  <c r="S105" i="17"/>
  <c r="F105" i="15"/>
  <c r="A106" i="15"/>
  <c r="H105" i="15"/>
  <c r="R105" i="15"/>
  <c r="B105" i="15"/>
  <c r="I105" i="15"/>
  <c r="S105" i="15"/>
  <c r="I105" i="13"/>
  <c r="H105" i="13"/>
  <c r="S105" i="13"/>
  <c r="F105" i="13"/>
  <c r="A106" i="13"/>
  <c r="R105" i="13"/>
  <c r="B105" i="13"/>
  <c r="S105" i="12"/>
  <c r="R105" i="12"/>
  <c r="B105" i="12"/>
  <c r="F105" i="12"/>
  <c r="A106" i="12"/>
  <c r="H105" i="12"/>
  <c r="I105" i="12"/>
  <c r="F107" i="11"/>
  <c r="I107" i="11"/>
  <c r="S107" i="11"/>
  <c r="R107" i="11"/>
  <c r="B107" i="11"/>
  <c r="H107" i="11"/>
  <c r="A108" i="11"/>
  <c r="H106" i="16"/>
  <c r="A107" i="16"/>
  <c r="S106" i="16"/>
  <c r="R106" i="16"/>
  <c r="I106" i="16"/>
  <c r="F106" i="16"/>
  <c r="B106" i="16"/>
  <c r="J105" i="10"/>
  <c r="A106" i="10"/>
  <c r="D105" i="10"/>
  <c r="K105" i="10"/>
  <c r="E105" i="10"/>
  <c r="D105" i="14" s="1"/>
  <c r="G105" i="10"/>
  <c r="B105" i="10"/>
  <c r="C105" i="13" s="1"/>
  <c r="T68" i="11" l="1"/>
  <c r="E62" i="15"/>
  <c r="G62" i="15" s="1"/>
  <c r="J62" i="15" s="1"/>
  <c r="T62" i="15" s="1"/>
  <c r="T65" i="14"/>
  <c r="K65" i="14"/>
  <c r="O65" i="14" s="1"/>
  <c r="O63" i="17"/>
  <c r="E64" i="17"/>
  <c r="G64" i="17" s="1"/>
  <c r="J64" i="17" s="1"/>
  <c r="K61" i="16"/>
  <c r="O61" i="16" s="1"/>
  <c r="L61" i="16"/>
  <c r="K62" i="15"/>
  <c r="O62" i="15" s="1"/>
  <c r="T69" i="11"/>
  <c r="L69" i="11"/>
  <c r="E70" i="11" s="1"/>
  <c r="G70" i="11" s="1"/>
  <c r="J70" i="11" s="1"/>
  <c r="T70" i="11" s="1"/>
  <c r="C105" i="10"/>
  <c r="O63" i="13"/>
  <c r="E64" i="13"/>
  <c r="G64" i="13" s="1"/>
  <c r="J64" i="13" s="1"/>
  <c r="C105" i="11"/>
  <c r="C105" i="16"/>
  <c r="D105" i="13"/>
  <c r="C105" i="15"/>
  <c r="C105" i="12"/>
  <c r="D105" i="15"/>
  <c r="C105" i="17"/>
  <c r="D105" i="11"/>
  <c r="D105" i="16"/>
  <c r="D105" i="17"/>
  <c r="K66" i="12"/>
  <c r="O66" i="12" s="1"/>
  <c r="L66" i="12"/>
  <c r="T66" i="12"/>
  <c r="D105" i="12"/>
  <c r="C105" i="14"/>
  <c r="E65" i="9"/>
  <c r="D65" i="9"/>
  <c r="S106" i="15"/>
  <c r="R106" i="15"/>
  <c r="B106" i="15"/>
  <c r="I106" i="15"/>
  <c r="F106" i="15"/>
  <c r="A107" i="15"/>
  <c r="H106" i="15"/>
  <c r="G106" i="10"/>
  <c r="E106" i="10"/>
  <c r="D106" i="17" s="1"/>
  <c r="D106" i="10"/>
  <c r="J106" i="10"/>
  <c r="K106" i="10"/>
  <c r="A107" i="10"/>
  <c r="B106" i="10"/>
  <c r="C106" i="15" s="1"/>
  <c r="A106" i="9"/>
  <c r="B105" i="9"/>
  <c r="S106" i="17"/>
  <c r="R106" i="17"/>
  <c r="B106" i="17"/>
  <c r="I106" i="17"/>
  <c r="A107" i="17"/>
  <c r="F106" i="17"/>
  <c r="H106" i="17"/>
  <c r="F106" i="13"/>
  <c r="A107" i="13"/>
  <c r="H106" i="13"/>
  <c r="I106" i="13"/>
  <c r="S106" i="13"/>
  <c r="R106" i="13"/>
  <c r="B106" i="13"/>
  <c r="A107" i="14"/>
  <c r="S106" i="14"/>
  <c r="R106" i="14"/>
  <c r="B106" i="14"/>
  <c r="F106" i="14"/>
  <c r="I106" i="14"/>
  <c r="H106" i="14"/>
  <c r="A108" i="16"/>
  <c r="S107" i="16"/>
  <c r="I107" i="16"/>
  <c r="H107" i="16"/>
  <c r="F107" i="16"/>
  <c r="R107" i="16"/>
  <c r="B107" i="16"/>
  <c r="H106" i="12"/>
  <c r="R106" i="12"/>
  <c r="B106" i="12"/>
  <c r="A107" i="12"/>
  <c r="F106" i="12"/>
  <c r="S106" i="12"/>
  <c r="I106" i="12"/>
  <c r="A109" i="11"/>
  <c r="S108" i="11"/>
  <c r="R108" i="11"/>
  <c r="B108" i="11"/>
  <c r="F108" i="11"/>
  <c r="I108" i="11"/>
  <c r="H108" i="11"/>
  <c r="L62" i="15" l="1"/>
  <c r="E66" i="14"/>
  <c r="G66" i="14" s="1"/>
  <c r="J66" i="14" s="1"/>
  <c r="E62" i="16"/>
  <c r="G62" i="16" s="1"/>
  <c r="J62" i="16" s="1"/>
  <c r="T62" i="16" s="1"/>
  <c r="K64" i="17"/>
  <c r="T64" i="17"/>
  <c r="L64" i="17"/>
  <c r="E63" i="15"/>
  <c r="G63" i="15" s="1"/>
  <c r="J63" i="15" s="1"/>
  <c r="L63" i="15" s="1"/>
  <c r="L70" i="11"/>
  <c r="K70" i="11"/>
  <c r="O70" i="11" s="1"/>
  <c r="C106" i="12"/>
  <c r="D106" i="12"/>
  <c r="C106" i="14"/>
  <c r="D106" i="15"/>
  <c r="D106" i="13"/>
  <c r="D106" i="14"/>
  <c r="C106" i="17"/>
  <c r="C106" i="10"/>
  <c r="K64" i="13"/>
  <c r="T64" i="13"/>
  <c r="L64" i="13"/>
  <c r="C106" i="13"/>
  <c r="D106" i="11"/>
  <c r="D106" i="16"/>
  <c r="C106" i="11"/>
  <c r="C106" i="16"/>
  <c r="E67" i="12"/>
  <c r="G67" i="12" s="1"/>
  <c r="J67" i="12" s="1"/>
  <c r="F65" i="9"/>
  <c r="C66" i="9"/>
  <c r="I107" i="14"/>
  <c r="H107" i="14"/>
  <c r="S107" i="14"/>
  <c r="B107" i="14"/>
  <c r="R107" i="14"/>
  <c r="F107" i="14"/>
  <c r="A108" i="14"/>
  <c r="I109" i="11"/>
  <c r="H109" i="11"/>
  <c r="S109" i="11"/>
  <c r="A110" i="11"/>
  <c r="R109" i="11"/>
  <c r="F109" i="11"/>
  <c r="B109" i="11"/>
  <c r="H107" i="17"/>
  <c r="F107" i="17"/>
  <c r="R107" i="17"/>
  <c r="B107" i="17"/>
  <c r="S107" i="17"/>
  <c r="A108" i="17"/>
  <c r="I107" i="17"/>
  <c r="H107" i="15"/>
  <c r="F107" i="15"/>
  <c r="R107" i="15"/>
  <c r="B107" i="15"/>
  <c r="A108" i="15"/>
  <c r="I107" i="15"/>
  <c r="S107" i="15"/>
  <c r="A108" i="12"/>
  <c r="B107" i="12"/>
  <c r="R107" i="12"/>
  <c r="F107" i="12"/>
  <c r="I107" i="12"/>
  <c r="S107" i="12"/>
  <c r="H107" i="12"/>
  <c r="A107" i="9"/>
  <c r="B106" i="9"/>
  <c r="R108" i="16"/>
  <c r="B108" i="16"/>
  <c r="I108" i="16"/>
  <c r="H108" i="16"/>
  <c r="A109" i="16"/>
  <c r="F108" i="16"/>
  <c r="S108" i="16"/>
  <c r="S107" i="13"/>
  <c r="R107" i="13"/>
  <c r="B107" i="13"/>
  <c r="I107" i="13"/>
  <c r="F107" i="13"/>
  <c r="A108" i="13"/>
  <c r="H107" i="13"/>
  <c r="A108" i="10"/>
  <c r="D107" i="10"/>
  <c r="K107" i="10"/>
  <c r="J107" i="10"/>
  <c r="E107" i="10"/>
  <c r="D107" i="14" s="1"/>
  <c r="G107" i="10"/>
  <c r="B107" i="10"/>
  <c r="C107" i="10" s="1"/>
  <c r="L62" i="16" l="1"/>
  <c r="K63" i="15"/>
  <c r="O63" i="15" s="1"/>
  <c r="T66" i="14"/>
  <c r="K66" i="14"/>
  <c r="O66" i="14" s="1"/>
  <c r="L66" i="14"/>
  <c r="K62" i="16"/>
  <c r="O62" i="16" s="1"/>
  <c r="O64" i="17"/>
  <c r="E65" i="17"/>
  <c r="G65" i="17" s="1"/>
  <c r="J65" i="17" s="1"/>
  <c r="T63" i="15"/>
  <c r="E64" i="15"/>
  <c r="G64" i="15" s="1"/>
  <c r="J64" i="15" s="1"/>
  <c r="T64" i="15" s="1"/>
  <c r="E71" i="11"/>
  <c r="G71" i="11" s="1"/>
  <c r="J71" i="11" s="1"/>
  <c r="K71" i="11" s="1"/>
  <c r="O71" i="11" s="1"/>
  <c r="D107" i="12"/>
  <c r="O64" i="13"/>
  <c r="E65" i="13"/>
  <c r="G65" i="13" s="1"/>
  <c r="J65" i="13" s="1"/>
  <c r="D107" i="15"/>
  <c r="C107" i="17"/>
  <c r="D107" i="17"/>
  <c r="C107" i="11"/>
  <c r="C107" i="16"/>
  <c r="C107" i="13"/>
  <c r="C107" i="12"/>
  <c r="D107" i="11"/>
  <c r="D107" i="16"/>
  <c r="D107" i="13"/>
  <c r="C107" i="15"/>
  <c r="C107" i="14"/>
  <c r="K67" i="12"/>
  <c r="O67" i="12" s="1"/>
  <c r="T67" i="12"/>
  <c r="L67" i="12"/>
  <c r="D66" i="9"/>
  <c r="F66" i="9" s="1"/>
  <c r="E66" i="9"/>
  <c r="A109" i="15"/>
  <c r="S108" i="15"/>
  <c r="F108" i="15"/>
  <c r="R108" i="15"/>
  <c r="B108" i="15"/>
  <c r="H108" i="15"/>
  <c r="I108" i="15"/>
  <c r="F110" i="11"/>
  <c r="M110" i="11"/>
  <c r="E110" i="11"/>
  <c r="D110" i="11"/>
  <c r="X110" i="11"/>
  <c r="H110" i="11"/>
  <c r="S110" i="11"/>
  <c r="C110" i="11"/>
  <c r="R110" i="11"/>
  <c r="B110" i="11"/>
  <c r="Y110" i="11"/>
  <c r="I110" i="11"/>
  <c r="W110" i="11"/>
  <c r="J110" i="11"/>
  <c r="K110" i="11"/>
  <c r="G110" i="11"/>
  <c r="AA110" i="11"/>
  <c r="R108" i="12"/>
  <c r="B108" i="12"/>
  <c r="I108" i="12"/>
  <c r="A109" i="12"/>
  <c r="H108" i="12"/>
  <c r="S108" i="12"/>
  <c r="F108" i="12"/>
  <c r="A109" i="17"/>
  <c r="S108" i="17"/>
  <c r="I108" i="17"/>
  <c r="H108" i="17"/>
  <c r="F108" i="17"/>
  <c r="R108" i="17"/>
  <c r="B108" i="17"/>
  <c r="F109" i="16"/>
  <c r="I109" i="16"/>
  <c r="S109" i="16"/>
  <c r="H109" i="16"/>
  <c r="A110" i="16"/>
  <c r="B109" i="16"/>
  <c r="R109" i="16"/>
  <c r="H108" i="13"/>
  <c r="F108" i="13"/>
  <c r="R108" i="13"/>
  <c r="B108" i="13"/>
  <c r="S108" i="13"/>
  <c r="A109" i="13"/>
  <c r="I108" i="13"/>
  <c r="G108" i="10"/>
  <c r="K108" i="10"/>
  <c r="A109" i="10"/>
  <c r="J108" i="10"/>
  <c r="D108" i="10"/>
  <c r="B108" i="10"/>
  <c r="C108" i="15" s="1"/>
  <c r="E108" i="10"/>
  <c r="D108" i="12" s="1"/>
  <c r="B107" i="9"/>
  <c r="A108" i="9"/>
  <c r="F108" i="14"/>
  <c r="A109" i="14"/>
  <c r="H108" i="14"/>
  <c r="S108" i="14"/>
  <c r="B108" i="14"/>
  <c r="R108" i="14"/>
  <c r="I108" i="14"/>
  <c r="E63" i="16" l="1"/>
  <c r="G63" i="16" s="1"/>
  <c r="J63" i="16" s="1"/>
  <c r="C108" i="14"/>
  <c r="K64" i="15"/>
  <c r="O64" i="15" s="1"/>
  <c r="K63" i="16"/>
  <c r="O63" i="16" s="1"/>
  <c r="E67" i="14"/>
  <c r="G67" i="14" s="1"/>
  <c r="J67" i="14" s="1"/>
  <c r="K65" i="17"/>
  <c r="O65" i="17" s="1"/>
  <c r="L65" i="17"/>
  <c r="T65" i="17"/>
  <c r="L64" i="15"/>
  <c r="T71" i="11"/>
  <c r="L71" i="11"/>
  <c r="E72" i="11" s="1"/>
  <c r="G72" i="11" s="1"/>
  <c r="J72" i="11" s="1"/>
  <c r="K72" i="11" s="1"/>
  <c r="O72" i="11" s="1"/>
  <c r="D108" i="14"/>
  <c r="D108" i="13"/>
  <c r="C108" i="10"/>
  <c r="D108" i="17"/>
  <c r="D108" i="15"/>
  <c r="L65" i="13"/>
  <c r="T65" i="13"/>
  <c r="K65" i="13"/>
  <c r="O65" i="13" s="1"/>
  <c r="C108" i="17"/>
  <c r="C108" i="12"/>
  <c r="D108" i="11"/>
  <c r="D108" i="16"/>
  <c r="C108" i="11"/>
  <c r="C108" i="16"/>
  <c r="C108" i="13"/>
  <c r="E68" i="12"/>
  <c r="G68" i="12" s="1"/>
  <c r="J68" i="12" s="1"/>
  <c r="C67" i="9"/>
  <c r="E67" i="9" s="1"/>
  <c r="U110" i="11"/>
  <c r="D110" i="16"/>
  <c r="AA110" i="16"/>
  <c r="S110" i="16"/>
  <c r="K110" i="16"/>
  <c r="O110" i="16" s="1"/>
  <c r="C110" i="16"/>
  <c r="R110" i="16"/>
  <c r="J110" i="16"/>
  <c r="B110" i="16"/>
  <c r="H110" i="16"/>
  <c r="G110" i="16"/>
  <c r="F110" i="16"/>
  <c r="X110" i="16"/>
  <c r="M110" i="16"/>
  <c r="E110" i="16"/>
  <c r="Y110" i="16"/>
  <c r="W110" i="16"/>
  <c r="I110" i="16"/>
  <c r="L110" i="11"/>
  <c r="Z110" i="11"/>
  <c r="R109" i="15"/>
  <c r="B109" i="15"/>
  <c r="I109" i="15"/>
  <c r="H109" i="15"/>
  <c r="A110" i="15"/>
  <c r="F109" i="15"/>
  <c r="S109" i="15"/>
  <c r="A109" i="9"/>
  <c r="B108" i="9"/>
  <c r="A110" i="14"/>
  <c r="S109" i="14"/>
  <c r="R109" i="14"/>
  <c r="B109" i="14"/>
  <c r="I109" i="14"/>
  <c r="F109" i="14"/>
  <c r="H109" i="14"/>
  <c r="E109" i="10"/>
  <c r="D109" i="15" s="1"/>
  <c r="A110" i="10"/>
  <c r="D109" i="10"/>
  <c r="C109" i="10"/>
  <c r="G109" i="10"/>
  <c r="J109" i="10"/>
  <c r="K109" i="10"/>
  <c r="B109" i="10"/>
  <c r="C109" i="15" s="1"/>
  <c r="A110" i="13"/>
  <c r="S109" i="13"/>
  <c r="I109" i="13"/>
  <c r="H109" i="13"/>
  <c r="R109" i="13"/>
  <c r="F109" i="13"/>
  <c r="B109" i="13"/>
  <c r="R109" i="17"/>
  <c r="B109" i="17"/>
  <c r="I109" i="17"/>
  <c r="H109" i="17"/>
  <c r="A110" i="17"/>
  <c r="F109" i="17"/>
  <c r="S109" i="17"/>
  <c r="F109" i="12"/>
  <c r="I109" i="12"/>
  <c r="A110" i="12"/>
  <c r="C109" i="12"/>
  <c r="H109" i="12"/>
  <c r="S109" i="12"/>
  <c r="R109" i="12"/>
  <c r="B109" i="12"/>
  <c r="O110" i="11"/>
  <c r="C109" i="13" l="1"/>
  <c r="C109" i="17"/>
  <c r="E65" i="15"/>
  <c r="G65" i="15" s="1"/>
  <c r="J65" i="15" s="1"/>
  <c r="L65" i="15" s="1"/>
  <c r="E66" i="17"/>
  <c r="G66" i="17" s="1"/>
  <c r="J66" i="17" s="1"/>
  <c r="T66" i="17" s="1"/>
  <c r="T63" i="16"/>
  <c r="L63" i="16"/>
  <c r="E64" i="16" s="1"/>
  <c r="G64" i="16" s="1"/>
  <c r="J64" i="16" s="1"/>
  <c r="L64" i="16" s="1"/>
  <c r="T67" i="14"/>
  <c r="L67" i="14"/>
  <c r="K67" i="14"/>
  <c r="K65" i="15"/>
  <c r="L72" i="11"/>
  <c r="E73" i="11" s="1"/>
  <c r="G73" i="11" s="1"/>
  <c r="J73" i="11" s="1"/>
  <c r="K73" i="11" s="1"/>
  <c r="O73" i="11" s="1"/>
  <c r="T72" i="11"/>
  <c r="E66" i="13"/>
  <c r="G66" i="13" s="1"/>
  <c r="J66" i="13" s="1"/>
  <c r="K66" i="13" s="1"/>
  <c r="O66" i="13" s="1"/>
  <c r="D67" i="9"/>
  <c r="F67" i="9" s="1"/>
  <c r="D109" i="14"/>
  <c r="D109" i="17"/>
  <c r="D109" i="13"/>
  <c r="C109" i="11"/>
  <c r="C109" i="16"/>
  <c r="C109" i="14"/>
  <c r="D109" i="11"/>
  <c r="D109" i="16"/>
  <c r="D109" i="12"/>
  <c r="K68" i="12"/>
  <c r="O68" i="12" s="1"/>
  <c r="T68" i="12"/>
  <c r="L68" i="12"/>
  <c r="Z110" i="16"/>
  <c r="U110" i="16"/>
  <c r="L110" i="16"/>
  <c r="W110" i="15"/>
  <c r="G110" i="15"/>
  <c r="F110" i="15"/>
  <c r="M110" i="15"/>
  <c r="E110" i="15"/>
  <c r="Y110" i="15"/>
  <c r="I110" i="15"/>
  <c r="AA110" i="15"/>
  <c r="K110" i="15"/>
  <c r="O110" i="15" s="1"/>
  <c r="J110" i="15"/>
  <c r="X110" i="15"/>
  <c r="H110" i="15"/>
  <c r="C110" i="15"/>
  <c r="B110" i="15"/>
  <c r="D110" i="15"/>
  <c r="R110" i="15"/>
  <c r="S110" i="15"/>
  <c r="K110" i="10"/>
  <c r="C110" i="10"/>
  <c r="J110" i="10"/>
  <c r="I110" i="10"/>
  <c r="E110" i="10"/>
  <c r="D110" i="10"/>
  <c r="G110" i="10"/>
  <c r="B110" i="10"/>
  <c r="D110" i="12"/>
  <c r="AA110" i="12"/>
  <c r="S110" i="12"/>
  <c r="K110" i="12"/>
  <c r="O110" i="12" s="1"/>
  <c r="C110" i="12"/>
  <c r="F110" i="12"/>
  <c r="X110" i="12"/>
  <c r="J110" i="12"/>
  <c r="W110" i="12"/>
  <c r="I110" i="12"/>
  <c r="H110" i="12"/>
  <c r="M110" i="12"/>
  <c r="G110" i="12"/>
  <c r="E110" i="12"/>
  <c r="B110" i="12"/>
  <c r="Y110" i="12"/>
  <c r="R110" i="12"/>
  <c r="B109" i="9"/>
  <c r="A110" i="9"/>
  <c r="W110" i="14"/>
  <c r="G110" i="14"/>
  <c r="S110" i="14"/>
  <c r="J110" i="14"/>
  <c r="AA110" i="14"/>
  <c r="R110" i="14"/>
  <c r="I110" i="14"/>
  <c r="H110" i="14"/>
  <c r="C110" i="14"/>
  <c r="K110" i="14"/>
  <c r="O110" i="14" s="1"/>
  <c r="F110" i="14"/>
  <c r="Y110" i="14"/>
  <c r="E110" i="14"/>
  <c r="X110" i="14"/>
  <c r="D110" i="14"/>
  <c r="M110" i="14"/>
  <c r="B110" i="14"/>
  <c r="W110" i="17"/>
  <c r="G110" i="17"/>
  <c r="F110" i="17"/>
  <c r="M110" i="17"/>
  <c r="E110" i="17"/>
  <c r="Y110" i="17"/>
  <c r="I110" i="17"/>
  <c r="S110" i="17"/>
  <c r="C110" i="17"/>
  <c r="R110" i="17"/>
  <c r="B110" i="17"/>
  <c r="J110" i="17"/>
  <c r="D110" i="17"/>
  <c r="AA110" i="17"/>
  <c r="K110" i="17"/>
  <c r="X110" i="17"/>
  <c r="H110" i="17"/>
  <c r="R110" i="13"/>
  <c r="J110" i="13"/>
  <c r="B110" i="13"/>
  <c r="Y110" i="13"/>
  <c r="I110" i="13"/>
  <c r="X110" i="13"/>
  <c r="H110" i="13"/>
  <c r="D110" i="13"/>
  <c r="M110" i="13"/>
  <c r="AA110" i="13"/>
  <c r="K110" i="13"/>
  <c r="O110" i="13" s="1"/>
  <c r="W110" i="13"/>
  <c r="G110" i="13"/>
  <c r="E110" i="13"/>
  <c r="S110" i="13"/>
  <c r="F110" i="13"/>
  <c r="C110" i="13"/>
  <c r="K64" i="16" l="1"/>
  <c r="O64" i="16" s="1"/>
  <c r="T64" i="16"/>
  <c r="K66" i="17"/>
  <c r="O66" i="17" s="1"/>
  <c r="T65" i="15"/>
  <c r="L66" i="17"/>
  <c r="E67" i="17"/>
  <c r="G67" i="17" s="1"/>
  <c r="J67" i="17" s="1"/>
  <c r="T67" i="17" s="1"/>
  <c r="O67" i="14"/>
  <c r="E68" i="14"/>
  <c r="G68" i="14" s="1"/>
  <c r="J68" i="14" s="1"/>
  <c r="O65" i="15"/>
  <c r="E66" i="15"/>
  <c r="G66" i="15" s="1"/>
  <c r="J66" i="15" s="1"/>
  <c r="T73" i="11"/>
  <c r="L73" i="11"/>
  <c r="E74" i="11" s="1"/>
  <c r="G74" i="11" s="1"/>
  <c r="J74" i="11" s="1"/>
  <c r="T66" i="13"/>
  <c r="L66" i="13"/>
  <c r="E67" i="13" s="1"/>
  <c r="G67" i="13" s="1"/>
  <c r="J67" i="13" s="1"/>
  <c r="C68" i="9"/>
  <c r="E68" i="9" s="1"/>
  <c r="E69" i="12"/>
  <c r="G69" i="12" s="1"/>
  <c r="J69" i="12" s="1"/>
  <c r="Z110" i="12"/>
  <c r="Z110" i="13"/>
  <c r="U110" i="12"/>
  <c r="U110" i="14"/>
  <c r="Z110" i="15"/>
  <c r="P110" i="16"/>
  <c r="Q110" i="16" s="1"/>
  <c r="P110" i="11"/>
  <c r="Q110" i="11" s="1"/>
  <c r="L110" i="15"/>
  <c r="P110" i="15" s="1"/>
  <c r="Q110" i="15" s="1"/>
  <c r="Z110" i="17"/>
  <c r="T110" i="17"/>
  <c r="T110" i="16"/>
  <c r="V110" i="16" s="1"/>
  <c r="T110" i="15"/>
  <c r="T110" i="14"/>
  <c r="T110" i="13"/>
  <c r="T110" i="12"/>
  <c r="T110" i="11"/>
  <c r="V110" i="11" s="1"/>
  <c r="L110" i="14"/>
  <c r="P110" i="14" s="1"/>
  <c r="Q110" i="14" s="1"/>
  <c r="B110" i="9"/>
  <c r="A111" i="9"/>
  <c r="O110" i="17"/>
  <c r="L110" i="12"/>
  <c r="P110" i="12" s="1"/>
  <c r="Q110" i="12" s="1"/>
  <c r="L110" i="13"/>
  <c r="P110" i="13" s="1"/>
  <c r="Q110" i="13" s="1"/>
  <c r="L110" i="17"/>
  <c r="P110" i="17" s="1"/>
  <c r="U110" i="17"/>
  <c r="U110" i="15"/>
  <c r="U110" i="13"/>
  <c r="Z110" i="14"/>
  <c r="E65" i="16" l="1"/>
  <c r="G65" i="16" s="1"/>
  <c r="J65" i="16" s="1"/>
  <c r="K65" i="16" s="1"/>
  <c r="K67" i="17"/>
  <c r="O67" i="17" s="1"/>
  <c r="L67" i="17"/>
  <c r="E68" i="17" s="1"/>
  <c r="G68" i="17" s="1"/>
  <c r="J68" i="17" s="1"/>
  <c r="L68" i="17" s="1"/>
  <c r="T68" i="14"/>
  <c r="L68" i="14"/>
  <c r="K68" i="14"/>
  <c r="L65" i="16"/>
  <c r="T65" i="16"/>
  <c r="L66" i="15"/>
  <c r="T66" i="15"/>
  <c r="K66" i="15"/>
  <c r="K68" i="17"/>
  <c r="O68" i="17" s="1"/>
  <c r="O65" i="16"/>
  <c r="E66" i="16"/>
  <c r="G66" i="16" s="1"/>
  <c r="J66" i="16" s="1"/>
  <c r="T74" i="11"/>
  <c r="L74" i="11"/>
  <c r="K74" i="11"/>
  <c r="O74" i="11" s="1"/>
  <c r="D68" i="9"/>
  <c r="F68" i="9" s="1"/>
  <c r="K67" i="13"/>
  <c r="O67" i="13" s="1"/>
  <c r="L67" i="13"/>
  <c r="T67" i="13"/>
  <c r="K69" i="12"/>
  <c r="O69" i="12" s="1"/>
  <c r="L69" i="12"/>
  <c r="T69" i="12"/>
  <c r="V110" i="12"/>
  <c r="V110" i="15"/>
  <c r="V110" i="14"/>
  <c r="V110" i="17"/>
  <c r="V110" i="13"/>
  <c r="Q110" i="17"/>
  <c r="A112" i="9"/>
  <c r="B111" i="9"/>
  <c r="T68" i="17" l="1"/>
  <c r="O68" i="14"/>
  <c r="E69" i="14"/>
  <c r="G69" i="14" s="1"/>
  <c r="J69" i="14" s="1"/>
  <c r="O66" i="15"/>
  <c r="E67" i="15"/>
  <c r="G67" i="15" s="1"/>
  <c r="J67" i="15" s="1"/>
  <c r="E69" i="17"/>
  <c r="G69" i="17" s="1"/>
  <c r="J69" i="17" s="1"/>
  <c r="K69" i="17" s="1"/>
  <c r="O69" i="17" s="1"/>
  <c r="L66" i="16"/>
  <c r="K66" i="16"/>
  <c r="O66" i="16" s="1"/>
  <c r="T66" i="16"/>
  <c r="E75" i="11"/>
  <c r="G75" i="11" s="1"/>
  <c r="J75" i="11" s="1"/>
  <c r="L75" i="11" s="1"/>
  <c r="E68" i="13"/>
  <c r="G68" i="13" s="1"/>
  <c r="J68" i="13" s="1"/>
  <c r="L68" i="13" s="1"/>
  <c r="C69" i="9"/>
  <c r="D69" i="9" s="1"/>
  <c r="F69" i="9" s="1"/>
  <c r="E70" i="12"/>
  <c r="G70" i="12" s="1"/>
  <c r="J70" i="12" s="1"/>
  <c r="B112" i="9"/>
  <c r="A113" i="9"/>
  <c r="T69" i="14" l="1"/>
  <c r="K69" i="14"/>
  <c r="L69" i="14"/>
  <c r="L67" i="15"/>
  <c r="T67" i="15"/>
  <c r="K67" i="15"/>
  <c r="O67" i="15" s="1"/>
  <c r="T69" i="17"/>
  <c r="L69" i="17"/>
  <c r="E70" i="17" s="1"/>
  <c r="G70" i="17" s="1"/>
  <c r="J70" i="17" s="1"/>
  <c r="L70" i="17" s="1"/>
  <c r="E67" i="16"/>
  <c r="G67" i="16" s="1"/>
  <c r="J67" i="16" s="1"/>
  <c r="K75" i="11"/>
  <c r="O75" i="11" s="1"/>
  <c r="T75" i="11"/>
  <c r="K68" i="13"/>
  <c r="O68" i="13" s="1"/>
  <c r="T68" i="13"/>
  <c r="C70" i="9"/>
  <c r="D70" i="9" s="1"/>
  <c r="F70" i="9" s="1"/>
  <c r="E69" i="9"/>
  <c r="K70" i="12"/>
  <c r="O70" i="12" s="1"/>
  <c r="T70" i="12"/>
  <c r="L70" i="12"/>
  <c r="A114" i="9"/>
  <c r="B113" i="9"/>
  <c r="O69" i="14" l="1"/>
  <c r="E70" i="14"/>
  <c r="G70" i="14" s="1"/>
  <c r="J70" i="14" s="1"/>
  <c r="E68" i="15"/>
  <c r="G68" i="15" s="1"/>
  <c r="J68" i="15" s="1"/>
  <c r="K68" i="15" s="1"/>
  <c r="O68" i="15" s="1"/>
  <c r="K70" i="17"/>
  <c r="O70" i="17" s="1"/>
  <c r="T70" i="17"/>
  <c r="E76" i="11"/>
  <c r="G76" i="11" s="1"/>
  <c r="J76" i="11" s="1"/>
  <c r="L76" i="11" s="1"/>
  <c r="L67" i="16"/>
  <c r="T67" i="16"/>
  <c r="K67" i="16"/>
  <c r="O67" i="16" s="1"/>
  <c r="E69" i="13"/>
  <c r="G69" i="13" s="1"/>
  <c r="J69" i="13" s="1"/>
  <c r="T69" i="13" s="1"/>
  <c r="C71" i="9"/>
  <c r="E71" i="9" s="1"/>
  <c r="E70" i="9"/>
  <c r="E71" i="12"/>
  <c r="G71" i="12" s="1"/>
  <c r="J71" i="12" s="1"/>
  <c r="A115" i="9"/>
  <c r="B114" i="9"/>
  <c r="K70" i="14" l="1"/>
  <c r="L70" i="14"/>
  <c r="T70" i="14"/>
  <c r="E71" i="17"/>
  <c r="G71" i="17" s="1"/>
  <c r="J71" i="17" s="1"/>
  <c r="T71" i="17" s="1"/>
  <c r="L68" i="15"/>
  <c r="E69" i="15" s="1"/>
  <c r="G69" i="15" s="1"/>
  <c r="J69" i="15" s="1"/>
  <c r="T69" i="15" s="1"/>
  <c r="T68" i="15"/>
  <c r="T76" i="11"/>
  <c r="K76" i="11"/>
  <c r="O76" i="11" s="1"/>
  <c r="E68" i="16"/>
  <c r="G68" i="16" s="1"/>
  <c r="J68" i="16" s="1"/>
  <c r="T68" i="16" s="1"/>
  <c r="L69" i="13"/>
  <c r="K69" i="13"/>
  <c r="O69" i="13" s="1"/>
  <c r="K71" i="17"/>
  <c r="O71" i="17" s="1"/>
  <c r="D71" i="9"/>
  <c r="F71" i="9" s="1"/>
  <c r="K71" i="12"/>
  <c r="O71" i="12" s="1"/>
  <c r="T71" i="12"/>
  <c r="L71" i="12"/>
  <c r="B115" i="9"/>
  <c r="A116" i="9"/>
  <c r="O70" i="14" l="1"/>
  <c r="E71" i="14"/>
  <c r="G71" i="14" s="1"/>
  <c r="J71" i="14" s="1"/>
  <c r="L69" i="15"/>
  <c r="L71" i="17"/>
  <c r="E72" i="17" s="1"/>
  <c r="G72" i="17" s="1"/>
  <c r="J72" i="17" s="1"/>
  <c r="K69" i="15"/>
  <c r="O69" i="15" s="1"/>
  <c r="E77" i="11"/>
  <c r="G77" i="11" s="1"/>
  <c r="J77" i="11" s="1"/>
  <c r="K77" i="11" s="1"/>
  <c r="O77" i="11" s="1"/>
  <c r="K68" i="16"/>
  <c r="O68" i="16" s="1"/>
  <c r="L68" i="16"/>
  <c r="E70" i="13"/>
  <c r="G70" i="13" s="1"/>
  <c r="J70" i="13" s="1"/>
  <c r="K70" i="13" s="1"/>
  <c r="O70" i="13" s="1"/>
  <c r="C72" i="9"/>
  <c r="D72" i="9" s="1"/>
  <c r="F72" i="9" s="1"/>
  <c r="E72" i="12"/>
  <c r="G72" i="12" s="1"/>
  <c r="J72" i="12" s="1"/>
  <c r="K72" i="12" s="1"/>
  <c r="O72" i="12" s="1"/>
  <c r="A117" i="9"/>
  <c r="B116" i="9"/>
  <c r="E70" i="15" l="1"/>
  <c r="G70" i="15" s="1"/>
  <c r="J70" i="15" s="1"/>
  <c r="T70" i="15" s="1"/>
  <c r="L71" i="14"/>
  <c r="T71" i="14"/>
  <c r="K71" i="14"/>
  <c r="K70" i="15"/>
  <c r="L77" i="11"/>
  <c r="E78" i="11" s="1"/>
  <c r="G78" i="11" s="1"/>
  <c r="J78" i="11" s="1"/>
  <c r="T78" i="11" s="1"/>
  <c r="T77" i="11"/>
  <c r="E69" i="16"/>
  <c r="G69" i="16" s="1"/>
  <c r="J69" i="16" s="1"/>
  <c r="L69" i="16" s="1"/>
  <c r="L70" i="13"/>
  <c r="E71" i="13" s="1"/>
  <c r="G71" i="13" s="1"/>
  <c r="J71" i="13" s="1"/>
  <c r="K71" i="13" s="1"/>
  <c r="O71" i="13" s="1"/>
  <c r="T70" i="13"/>
  <c r="E72" i="9"/>
  <c r="L72" i="17"/>
  <c r="K72" i="17"/>
  <c r="O72" i="17" s="1"/>
  <c r="T72" i="17"/>
  <c r="L72" i="12"/>
  <c r="E73" i="12" s="1"/>
  <c r="G73" i="12" s="1"/>
  <c r="J73" i="12" s="1"/>
  <c r="T72" i="12"/>
  <c r="C73" i="9"/>
  <c r="E73" i="9" s="1"/>
  <c r="B117" i="9"/>
  <c r="A118" i="9"/>
  <c r="L70" i="15" l="1"/>
  <c r="O71" i="14"/>
  <c r="E72" i="14"/>
  <c r="G72" i="14" s="1"/>
  <c r="J72" i="14" s="1"/>
  <c r="L78" i="11"/>
  <c r="O70" i="15"/>
  <c r="E71" i="15"/>
  <c r="G71" i="15" s="1"/>
  <c r="J71" i="15" s="1"/>
  <c r="K69" i="16"/>
  <c r="O69" i="16" s="1"/>
  <c r="T69" i="16"/>
  <c r="K78" i="11"/>
  <c r="O78" i="11" s="1"/>
  <c r="T71" i="13"/>
  <c r="L71" i="13"/>
  <c r="E72" i="13" s="1"/>
  <c r="G72" i="13" s="1"/>
  <c r="J72" i="13" s="1"/>
  <c r="K72" i="13" s="1"/>
  <c r="O72" i="13" s="1"/>
  <c r="E73" i="17"/>
  <c r="G73" i="17" s="1"/>
  <c r="J73" i="17" s="1"/>
  <c r="K73" i="17" s="1"/>
  <c r="O73" i="17" s="1"/>
  <c r="D73" i="9"/>
  <c r="F73" i="9" s="1"/>
  <c r="K73" i="12"/>
  <c r="O73" i="12" s="1"/>
  <c r="T73" i="12"/>
  <c r="L73" i="12"/>
  <c r="B118" i="9"/>
  <c r="A119" i="9"/>
  <c r="L72" i="14" l="1"/>
  <c r="K72" i="14"/>
  <c r="O72" i="14" s="1"/>
  <c r="T72" i="14"/>
  <c r="E79" i="11"/>
  <c r="G79" i="11" s="1"/>
  <c r="J79" i="11" s="1"/>
  <c r="L79" i="11" s="1"/>
  <c r="E70" i="16"/>
  <c r="G70" i="16" s="1"/>
  <c r="J70" i="16" s="1"/>
  <c r="T70" i="16" s="1"/>
  <c r="L71" i="15"/>
  <c r="K71" i="15"/>
  <c r="T71" i="15"/>
  <c r="L73" i="17"/>
  <c r="E74" i="17" s="1"/>
  <c r="G74" i="17" s="1"/>
  <c r="J74" i="17" s="1"/>
  <c r="L74" i="17" s="1"/>
  <c r="T73" i="17"/>
  <c r="L72" i="13"/>
  <c r="E73" i="13" s="1"/>
  <c r="G73" i="13" s="1"/>
  <c r="J73" i="13" s="1"/>
  <c r="K73" i="13" s="1"/>
  <c r="O73" i="13" s="1"/>
  <c r="T72" i="13"/>
  <c r="C74" i="9"/>
  <c r="E74" i="9" s="1"/>
  <c r="E74" i="12"/>
  <c r="G74" i="12" s="1"/>
  <c r="J74" i="12" s="1"/>
  <c r="A120" i="9"/>
  <c r="B119" i="9"/>
  <c r="E73" i="14" l="1"/>
  <c r="G73" i="14" s="1"/>
  <c r="J73" i="14" s="1"/>
  <c r="L73" i="14" s="1"/>
  <c r="K79" i="11"/>
  <c r="T73" i="14"/>
  <c r="K73" i="14"/>
  <c r="T79" i="11"/>
  <c r="L70" i="16"/>
  <c r="K70" i="16"/>
  <c r="O70" i="16" s="1"/>
  <c r="O71" i="15"/>
  <c r="E72" i="15"/>
  <c r="G72" i="15" s="1"/>
  <c r="J72" i="15" s="1"/>
  <c r="T74" i="17"/>
  <c r="K74" i="17"/>
  <c r="O74" i="17" s="1"/>
  <c r="O79" i="11"/>
  <c r="E80" i="11"/>
  <c r="G80" i="11" s="1"/>
  <c r="J80" i="11" s="1"/>
  <c r="D74" i="9"/>
  <c r="F74" i="9" s="1"/>
  <c r="T73" i="13"/>
  <c r="L73" i="13"/>
  <c r="E74" i="13" s="1"/>
  <c r="G74" i="13" s="1"/>
  <c r="J74" i="13" s="1"/>
  <c r="T74" i="13" s="1"/>
  <c r="K74" i="12"/>
  <c r="O74" i="12" s="1"/>
  <c r="L74" i="12"/>
  <c r="T74" i="12"/>
  <c r="B120" i="9"/>
  <c r="A121" i="9"/>
  <c r="O73" i="14" l="1"/>
  <c r="E74" i="14"/>
  <c r="G74" i="14" s="1"/>
  <c r="J74" i="14" s="1"/>
  <c r="E71" i="16"/>
  <c r="G71" i="16" s="1"/>
  <c r="J71" i="16" s="1"/>
  <c r="T71" i="16" s="1"/>
  <c r="K71" i="16"/>
  <c r="O71" i="16" s="1"/>
  <c r="L71" i="16"/>
  <c r="E72" i="16" s="1"/>
  <c r="G72" i="16" s="1"/>
  <c r="J72" i="16" s="1"/>
  <c r="K72" i="15"/>
  <c r="L72" i="15"/>
  <c r="T72" i="15"/>
  <c r="E75" i="17"/>
  <c r="G75" i="17" s="1"/>
  <c r="J75" i="17" s="1"/>
  <c r="L75" i="17" s="1"/>
  <c r="L80" i="11"/>
  <c r="T80" i="11"/>
  <c r="K80" i="11"/>
  <c r="C75" i="9"/>
  <c r="D75" i="9" s="1"/>
  <c r="F75" i="9" s="1"/>
  <c r="K74" i="13"/>
  <c r="O74" i="13" s="1"/>
  <c r="L74" i="13"/>
  <c r="E75" i="12"/>
  <c r="G75" i="12" s="1"/>
  <c r="J75" i="12" s="1"/>
  <c r="K75" i="12" s="1"/>
  <c r="A122" i="9"/>
  <c r="B121" i="9"/>
  <c r="L74" i="14" l="1"/>
  <c r="T74" i="14"/>
  <c r="K74" i="14"/>
  <c r="O74" i="14" s="1"/>
  <c r="O72" i="15"/>
  <c r="E73" i="15"/>
  <c r="G73" i="15" s="1"/>
  <c r="J73" i="15" s="1"/>
  <c r="K75" i="17"/>
  <c r="E76" i="17" s="1"/>
  <c r="G76" i="17" s="1"/>
  <c r="J76" i="17" s="1"/>
  <c r="T72" i="16"/>
  <c r="K72" i="16"/>
  <c r="L72" i="16"/>
  <c r="C76" i="9"/>
  <c r="E76" i="9" s="1"/>
  <c r="T75" i="17"/>
  <c r="E75" i="9"/>
  <c r="O80" i="11"/>
  <c r="E81" i="11"/>
  <c r="G81" i="11" s="1"/>
  <c r="J81" i="11" s="1"/>
  <c r="E75" i="13"/>
  <c r="G75" i="13" s="1"/>
  <c r="J75" i="13" s="1"/>
  <c r="K75" i="13" s="1"/>
  <c r="L75" i="12"/>
  <c r="E76" i="12" s="1"/>
  <c r="G76" i="12" s="1"/>
  <c r="J76" i="12" s="1"/>
  <c r="T75" i="12"/>
  <c r="O75" i="12"/>
  <c r="A123" i="9"/>
  <c r="B122" i="9"/>
  <c r="E75" i="14" l="1"/>
  <c r="G75" i="14" s="1"/>
  <c r="J75" i="14" s="1"/>
  <c r="O75" i="17"/>
  <c r="L73" i="15"/>
  <c r="K73" i="15"/>
  <c r="O73" i="15" s="1"/>
  <c r="T73" i="15"/>
  <c r="E74" i="15"/>
  <c r="G74" i="15" s="1"/>
  <c r="J74" i="15" s="1"/>
  <c r="O72" i="16"/>
  <c r="E73" i="16"/>
  <c r="G73" i="16" s="1"/>
  <c r="J73" i="16" s="1"/>
  <c r="D76" i="9"/>
  <c r="F76" i="9" s="1"/>
  <c r="K76" i="17"/>
  <c r="O76" i="17" s="1"/>
  <c r="L76" i="17"/>
  <c r="T76" i="17"/>
  <c r="L81" i="11"/>
  <c r="K81" i="11"/>
  <c r="O81" i="11" s="1"/>
  <c r="T81" i="11"/>
  <c r="T75" i="13"/>
  <c r="L75" i="13"/>
  <c r="E76" i="13" s="1"/>
  <c r="G76" i="13" s="1"/>
  <c r="J76" i="13" s="1"/>
  <c r="T76" i="12"/>
  <c r="K76" i="12"/>
  <c r="O76" i="12" s="1"/>
  <c r="L76" i="12"/>
  <c r="O75" i="13"/>
  <c r="A124" i="9"/>
  <c r="B123" i="9"/>
  <c r="T75" i="14" l="1"/>
  <c r="K75" i="14"/>
  <c r="O75" i="14" s="1"/>
  <c r="L75" i="14"/>
  <c r="E76" i="14" s="1"/>
  <c r="G76" i="14" s="1"/>
  <c r="J76" i="14" s="1"/>
  <c r="T74" i="15"/>
  <c r="K74" i="15"/>
  <c r="O74" i="15" s="1"/>
  <c r="L74" i="15"/>
  <c r="T73" i="16"/>
  <c r="L73" i="16"/>
  <c r="K73" i="16"/>
  <c r="O73" i="16" s="1"/>
  <c r="C77" i="9"/>
  <c r="E77" i="9" s="1"/>
  <c r="E77" i="17"/>
  <c r="G77" i="17" s="1"/>
  <c r="J77" i="17" s="1"/>
  <c r="T77" i="17" s="1"/>
  <c r="E82" i="11"/>
  <c r="G82" i="11" s="1"/>
  <c r="J82" i="11" s="1"/>
  <c r="T82" i="11" s="1"/>
  <c r="E77" i="12"/>
  <c r="G77" i="12" s="1"/>
  <c r="J77" i="12" s="1"/>
  <c r="L77" i="12" s="1"/>
  <c r="K76" i="13"/>
  <c r="O76" i="13" s="1"/>
  <c r="T76" i="13"/>
  <c r="L76" i="13"/>
  <c r="A125" i="9"/>
  <c r="B124" i="9"/>
  <c r="E75" i="15" l="1"/>
  <c r="G75" i="15" s="1"/>
  <c r="J75" i="15" s="1"/>
  <c r="T75" i="15" s="1"/>
  <c r="K76" i="14"/>
  <c r="O76" i="14" s="1"/>
  <c r="L76" i="14"/>
  <c r="E77" i="14" s="1"/>
  <c r="G77" i="14" s="1"/>
  <c r="J77" i="14" s="1"/>
  <c r="T76" i="14"/>
  <c r="K75" i="15"/>
  <c r="O75" i="15" s="1"/>
  <c r="E74" i="16"/>
  <c r="G74" i="16" s="1"/>
  <c r="J74" i="16" s="1"/>
  <c r="L74" i="16" s="1"/>
  <c r="D77" i="9"/>
  <c r="F77" i="9" s="1"/>
  <c r="K77" i="17"/>
  <c r="O77" i="17" s="1"/>
  <c r="L77" i="17"/>
  <c r="L82" i="11"/>
  <c r="K82" i="11"/>
  <c r="O82" i="11" s="1"/>
  <c r="T77" i="12"/>
  <c r="K77" i="12"/>
  <c r="O77" i="12" s="1"/>
  <c r="E77" i="13"/>
  <c r="G77" i="13" s="1"/>
  <c r="J77" i="13" s="1"/>
  <c r="L77" i="13" s="1"/>
  <c r="A126" i="9"/>
  <c r="B125" i="9"/>
  <c r="L75" i="15" l="1"/>
  <c r="E76" i="15" s="1"/>
  <c r="G76" i="15" s="1"/>
  <c r="J76" i="15" s="1"/>
  <c r="K77" i="14"/>
  <c r="O77" i="14" s="1"/>
  <c r="L77" i="14"/>
  <c r="E78" i="14" s="1"/>
  <c r="G78" i="14" s="1"/>
  <c r="J78" i="14" s="1"/>
  <c r="T77" i="14"/>
  <c r="T74" i="16"/>
  <c r="K74" i="16"/>
  <c r="O74" i="16" s="1"/>
  <c r="C78" i="9"/>
  <c r="E78" i="9" s="1"/>
  <c r="K76" i="15"/>
  <c r="O76" i="15" s="1"/>
  <c r="T76" i="15"/>
  <c r="L76" i="15"/>
  <c r="E78" i="17"/>
  <c r="G78" i="17" s="1"/>
  <c r="J78" i="17" s="1"/>
  <c r="T78" i="17" s="1"/>
  <c r="E83" i="11"/>
  <c r="G83" i="11" s="1"/>
  <c r="J83" i="11" s="1"/>
  <c r="T83" i="11" s="1"/>
  <c r="T77" i="13"/>
  <c r="E78" i="12"/>
  <c r="G78" i="12" s="1"/>
  <c r="J78" i="12" s="1"/>
  <c r="K78" i="12" s="1"/>
  <c r="O78" i="12" s="1"/>
  <c r="K77" i="13"/>
  <c r="O77" i="13" s="1"/>
  <c r="A127" i="9"/>
  <c r="B126" i="9"/>
  <c r="K78" i="14" l="1"/>
  <c r="O78" i="14" s="1"/>
  <c r="L78" i="14"/>
  <c r="E79" i="14" s="1"/>
  <c r="G79" i="14" s="1"/>
  <c r="J79" i="14" s="1"/>
  <c r="T78" i="14"/>
  <c r="E77" i="15"/>
  <c r="G77" i="15" s="1"/>
  <c r="J77" i="15" s="1"/>
  <c r="T77" i="15" s="1"/>
  <c r="D78" i="9"/>
  <c r="F78" i="9" s="1"/>
  <c r="K77" i="15"/>
  <c r="O77" i="15" s="1"/>
  <c r="L78" i="17"/>
  <c r="K78" i="17"/>
  <c r="O78" i="17" s="1"/>
  <c r="E75" i="16"/>
  <c r="G75" i="16" s="1"/>
  <c r="J75" i="16" s="1"/>
  <c r="K75" i="16" s="1"/>
  <c r="O75" i="16" s="1"/>
  <c r="L83" i="11"/>
  <c r="K83" i="11"/>
  <c r="O83" i="11" s="1"/>
  <c r="T78" i="12"/>
  <c r="L78" i="12"/>
  <c r="E79" i="12" s="1"/>
  <c r="G79" i="12" s="1"/>
  <c r="J79" i="12" s="1"/>
  <c r="T79" i="12" s="1"/>
  <c r="E78" i="13"/>
  <c r="G78" i="13" s="1"/>
  <c r="J78" i="13" s="1"/>
  <c r="K78" i="13" s="1"/>
  <c r="O78" i="13" s="1"/>
  <c r="A128" i="9"/>
  <c r="B127" i="9"/>
  <c r="L79" i="14" l="1"/>
  <c r="T79" i="14"/>
  <c r="K79" i="14"/>
  <c r="C79" i="9"/>
  <c r="E79" i="9" s="1"/>
  <c r="L77" i="15"/>
  <c r="E78" i="15" s="1"/>
  <c r="G78" i="15" s="1"/>
  <c r="J78" i="15" s="1"/>
  <c r="K78" i="15" s="1"/>
  <c r="O78" i="15" s="1"/>
  <c r="T75" i="16"/>
  <c r="L75" i="16"/>
  <c r="E76" i="16" s="1"/>
  <c r="G76" i="16" s="1"/>
  <c r="J76" i="16" s="1"/>
  <c r="T76" i="16" s="1"/>
  <c r="E79" i="17"/>
  <c r="G79" i="17" s="1"/>
  <c r="J79" i="17" s="1"/>
  <c r="E84" i="11"/>
  <c r="G84" i="11" s="1"/>
  <c r="J84" i="11" s="1"/>
  <c r="L78" i="13"/>
  <c r="E79" i="13" s="1"/>
  <c r="G79" i="13" s="1"/>
  <c r="J79" i="13" s="1"/>
  <c r="K79" i="13" s="1"/>
  <c r="O79" i="13" s="1"/>
  <c r="L79" i="12"/>
  <c r="K79" i="12"/>
  <c r="O79" i="12" s="1"/>
  <c r="T78" i="13"/>
  <c r="A129" i="9"/>
  <c r="B128" i="9"/>
  <c r="T78" i="15" l="1"/>
  <c r="D79" i="9"/>
  <c r="F79" i="9" s="1"/>
  <c r="E80" i="14"/>
  <c r="G80" i="14" s="1"/>
  <c r="J80" i="14" s="1"/>
  <c r="O79" i="14"/>
  <c r="L78" i="15"/>
  <c r="E79" i="15" s="1"/>
  <c r="G79" i="15" s="1"/>
  <c r="J79" i="15" s="1"/>
  <c r="K76" i="16"/>
  <c r="O76" i="16" s="1"/>
  <c r="L76" i="16"/>
  <c r="E77" i="16" s="1"/>
  <c r="G77" i="16" s="1"/>
  <c r="J77" i="16" s="1"/>
  <c r="K79" i="17"/>
  <c r="O79" i="17" s="1"/>
  <c r="L79" i="17"/>
  <c r="T79" i="17"/>
  <c r="L84" i="11"/>
  <c r="K84" i="11"/>
  <c r="T84" i="11"/>
  <c r="C80" i="9"/>
  <c r="D80" i="9" s="1"/>
  <c r="F80" i="9" s="1"/>
  <c r="E80" i="12"/>
  <c r="G80" i="12" s="1"/>
  <c r="J80" i="12" s="1"/>
  <c r="K80" i="12" s="1"/>
  <c r="O80" i="12" s="1"/>
  <c r="T79" i="13"/>
  <c r="L79" i="13"/>
  <c r="E80" i="13" s="1"/>
  <c r="G80" i="13" s="1"/>
  <c r="J80" i="13" s="1"/>
  <c r="K80" i="13" s="1"/>
  <c r="O80" i="13" s="1"/>
  <c r="A130" i="9"/>
  <c r="B129" i="9"/>
  <c r="E80" i="17" l="1"/>
  <c r="G80" i="17" s="1"/>
  <c r="J80" i="17" s="1"/>
  <c r="L80" i="17" s="1"/>
  <c r="L79" i="15"/>
  <c r="T79" i="15"/>
  <c r="K79" i="15"/>
  <c r="O79" i="15" s="1"/>
  <c r="T80" i="14"/>
  <c r="L80" i="14"/>
  <c r="K80" i="14"/>
  <c r="O80" i="14" s="1"/>
  <c r="T80" i="17"/>
  <c r="K80" i="17"/>
  <c r="K77" i="16"/>
  <c r="O77" i="16" s="1"/>
  <c r="L77" i="16"/>
  <c r="T77" i="16"/>
  <c r="O84" i="11"/>
  <c r="E85" i="11"/>
  <c r="G85" i="11" s="1"/>
  <c r="J85" i="11" s="1"/>
  <c r="E80" i="9"/>
  <c r="C81" i="9"/>
  <c r="D81" i="9" s="1"/>
  <c r="F81" i="9" s="1"/>
  <c r="T80" i="12"/>
  <c r="L80" i="12"/>
  <c r="E81" i="12" s="1"/>
  <c r="G81" i="12" s="1"/>
  <c r="J81" i="12" s="1"/>
  <c r="K81" i="12" s="1"/>
  <c r="O81" i="12" s="1"/>
  <c r="T80" i="13"/>
  <c r="L80" i="13"/>
  <c r="E81" i="13" s="1"/>
  <c r="G81" i="13" s="1"/>
  <c r="J81" i="13" s="1"/>
  <c r="A131" i="9"/>
  <c r="B130" i="9"/>
  <c r="E81" i="14" l="1"/>
  <c r="G81" i="14" s="1"/>
  <c r="J81" i="14" s="1"/>
  <c r="E80" i="15"/>
  <c r="G80" i="15" s="1"/>
  <c r="J80" i="15" s="1"/>
  <c r="T80" i="15" s="1"/>
  <c r="K81" i="14"/>
  <c r="O81" i="14" s="1"/>
  <c r="L81" i="14"/>
  <c r="T81" i="14"/>
  <c r="E82" i="14"/>
  <c r="G82" i="14" s="1"/>
  <c r="J82" i="14" s="1"/>
  <c r="K82" i="14" s="1"/>
  <c r="O82" i="14" s="1"/>
  <c r="K80" i="15"/>
  <c r="O80" i="15" s="1"/>
  <c r="O80" i="17"/>
  <c r="E81" i="17"/>
  <c r="G81" i="17" s="1"/>
  <c r="J81" i="17" s="1"/>
  <c r="E78" i="16"/>
  <c r="G78" i="16" s="1"/>
  <c r="J78" i="16" s="1"/>
  <c r="T78" i="16" s="1"/>
  <c r="K78" i="16"/>
  <c r="O78" i="16" s="1"/>
  <c r="E81" i="9"/>
  <c r="K85" i="11"/>
  <c r="O85" i="11" s="1"/>
  <c r="L85" i="11"/>
  <c r="T85" i="11"/>
  <c r="C82" i="9"/>
  <c r="E82" i="9" s="1"/>
  <c r="T81" i="12"/>
  <c r="L81" i="12"/>
  <c r="E82" i="12" s="1"/>
  <c r="G82" i="12" s="1"/>
  <c r="J82" i="12" s="1"/>
  <c r="T81" i="13"/>
  <c r="L81" i="13"/>
  <c r="K81" i="13"/>
  <c r="O81" i="13" s="1"/>
  <c r="A132" i="9"/>
  <c r="B131" i="9"/>
  <c r="L80" i="15" l="1"/>
  <c r="T82" i="14"/>
  <c r="L82" i="14"/>
  <c r="E83" i="14" s="1"/>
  <c r="G83" i="14" s="1"/>
  <c r="J83" i="14" s="1"/>
  <c r="K83" i="14" s="1"/>
  <c r="E81" i="15"/>
  <c r="G81" i="15" s="1"/>
  <c r="J81" i="15" s="1"/>
  <c r="K81" i="15" s="1"/>
  <c r="O81" i="15" s="1"/>
  <c r="T81" i="15"/>
  <c r="L81" i="15"/>
  <c r="L81" i="17"/>
  <c r="K81" i="17"/>
  <c r="T81" i="17"/>
  <c r="L78" i="16"/>
  <c r="E79" i="16" s="1"/>
  <c r="G79" i="16" s="1"/>
  <c r="J79" i="16" s="1"/>
  <c r="K79" i="16" s="1"/>
  <c r="O79" i="16" s="1"/>
  <c r="D82" i="9"/>
  <c r="F82" i="9" s="1"/>
  <c r="E86" i="11"/>
  <c r="G86" i="11" s="1"/>
  <c r="J86" i="11" s="1"/>
  <c r="T86" i="11" s="1"/>
  <c r="T83" i="14"/>
  <c r="L83" i="14"/>
  <c r="E84" i="14" s="1"/>
  <c r="G84" i="14" s="1"/>
  <c r="J84" i="14" s="1"/>
  <c r="T84" i="14" s="1"/>
  <c r="O83" i="14"/>
  <c r="E82" i="13"/>
  <c r="G82" i="13" s="1"/>
  <c r="J82" i="13" s="1"/>
  <c r="T82" i="13" s="1"/>
  <c r="K82" i="12"/>
  <c r="O82" i="12" s="1"/>
  <c r="L82" i="12"/>
  <c r="T82" i="12"/>
  <c r="A133" i="9"/>
  <c r="B132" i="9"/>
  <c r="E82" i="15" l="1"/>
  <c r="G82" i="15" s="1"/>
  <c r="J82" i="15" s="1"/>
  <c r="L82" i="15" s="1"/>
  <c r="K82" i="15"/>
  <c r="O82" i="15" s="1"/>
  <c r="L79" i="16"/>
  <c r="E80" i="16" s="1"/>
  <c r="G80" i="16" s="1"/>
  <c r="J80" i="16" s="1"/>
  <c r="T82" i="15"/>
  <c r="T79" i="16"/>
  <c r="K86" i="11"/>
  <c r="E82" i="17"/>
  <c r="G82" i="17" s="1"/>
  <c r="J82" i="17" s="1"/>
  <c r="O81" i="17"/>
  <c r="C83" i="9"/>
  <c r="D83" i="9" s="1"/>
  <c r="F83" i="9" s="1"/>
  <c r="L86" i="11"/>
  <c r="L84" i="14"/>
  <c r="K84" i="14"/>
  <c r="O84" i="14" s="1"/>
  <c r="E83" i="15"/>
  <c r="G83" i="15" s="1"/>
  <c r="J83" i="15" s="1"/>
  <c r="K83" i="15" s="1"/>
  <c r="O83" i="15" s="1"/>
  <c r="L82" i="13"/>
  <c r="K82" i="13"/>
  <c r="O82" i="13" s="1"/>
  <c r="E83" i="12"/>
  <c r="G83" i="12" s="1"/>
  <c r="J83" i="12" s="1"/>
  <c r="L83" i="12" s="1"/>
  <c r="A134" i="9"/>
  <c r="B133" i="9"/>
  <c r="O86" i="11" l="1"/>
  <c r="E87" i="11"/>
  <c r="G87" i="11" s="1"/>
  <c r="J87" i="11" s="1"/>
  <c r="L82" i="17"/>
  <c r="T82" i="17"/>
  <c r="K82" i="17"/>
  <c r="O82" i="17" s="1"/>
  <c r="E83" i="17"/>
  <c r="G83" i="17" s="1"/>
  <c r="J83" i="17" s="1"/>
  <c r="E83" i="9"/>
  <c r="C49" i="8" s="1"/>
  <c r="C84" i="9"/>
  <c r="E84" i="9" s="1"/>
  <c r="L80" i="16"/>
  <c r="K80" i="16"/>
  <c r="O80" i="16" s="1"/>
  <c r="T80" i="16"/>
  <c r="K83" i="12"/>
  <c r="O83" i="12" s="1"/>
  <c r="E85" i="14"/>
  <c r="G85" i="14" s="1"/>
  <c r="J85" i="14" s="1"/>
  <c r="T83" i="15"/>
  <c r="E83" i="13"/>
  <c r="G83" i="13" s="1"/>
  <c r="J83" i="13" s="1"/>
  <c r="K83" i="13" s="1"/>
  <c r="O83" i="13" s="1"/>
  <c r="L83" i="15"/>
  <c r="E84" i="15" s="1"/>
  <c r="G84" i="15" s="1"/>
  <c r="J84" i="15" s="1"/>
  <c r="K84" i="15" s="1"/>
  <c r="O84" i="15" s="1"/>
  <c r="T83" i="12"/>
  <c r="B134" i="9"/>
  <c r="D84" i="9" l="1"/>
  <c r="F84" i="9" s="1"/>
  <c r="L87" i="11"/>
  <c r="T87" i="11"/>
  <c r="K87" i="11"/>
  <c r="O87" i="11" s="1"/>
  <c r="T83" i="17"/>
  <c r="K83" i="17"/>
  <c r="O83" i="17" s="1"/>
  <c r="L83" i="17"/>
  <c r="E81" i="16"/>
  <c r="G81" i="16" s="1"/>
  <c r="J81" i="16" s="1"/>
  <c r="L81" i="16" s="1"/>
  <c r="E84" i="12"/>
  <c r="G84" i="12" s="1"/>
  <c r="J84" i="12" s="1"/>
  <c r="T84" i="12" s="1"/>
  <c r="K85" i="14"/>
  <c r="L85" i="14"/>
  <c r="T85" i="14"/>
  <c r="T83" i="13"/>
  <c r="L83" i="13"/>
  <c r="E84" i="13" s="1"/>
  <c r="G84" i="13" s="1"/>
  <c r="J84" i="13" s="1"/>
  <c r="L84" i="13" s="1"/>
  <c r="C85" i="9"/>
  <c r="E85" i="9" s="1"/>
  <c r="T84" i="15"/>
  <c r="L84" i="15"/>
  <c r="E85" i="15" s="1"/>
  <c r="G85" i="15" s="1"/>
  <c r="J85" i="15" s="1"/>
  <c r="T81" i="16" l="1"/>
  <c r="E84" i="17"/>
  <c r="G84" i="17" s="1"/>
  <c r="J84" i="17" s="1"/>
  <c r="L84" i="17" s="1"/>
  <c r="K81" i="16"/>
  <c r="O81" i="16" s="1"/>
  <c r="E82" i="16"/>
  <c r="G82" i="16" s="1"/>
  <c r="J82" i="16" s="1"/>
  <c r="E88" i="11"/>
  <c r="G88" i="11" s="1"/>
  <c r="J88" i="11" s="1"/>
  <c r="T84" i="17"/>
  <c r="K84" i="17"/>
  <c r="K84" i="12"/>
  <c r="O84" i="12" s="1"/>
  <c r="L84" i="12"/>
  <c r="T84" i="13"/>
  <c r="O85" i="14"/>
  <c r="E86" i="14"/>
  <c r="G86" i="14" s="1"/>
  <c r="J86" i="14" s="1"/>
  <c r="K84" i="13"/>
  <c r="O84" i="13" s="1"/>
  <c r="D85" i="9"/>
  <c r="F85" i="9" s="1"/>
  <c r="K85" i="15"/>
  <c r="O85" i="15" s="1"/>
  <c r="T85" i="15"/>
  <c r="L85" i="15"/>
  <c r="K88" i="11" l="1"/>
  <c r="O88" i="11" s="1"/>
  <c r="L88" i="11"/>
  <c r="T88" i="11"/>
  <c r="E89" i="11"/>
  <c r="G89" i="11" s="1"/>
  <c r="J89" i="11" s="1"/>
  <c r="T82" i="16"/>
  <c r="K82" i="16"/>
  <c r="O82" i="16" s="1"/>
  <c r="L82" i="16"/>
  <c r="O84" i="17"/>
  <c r="E85" i="17"/>
  <c r="G85" i="17" s="1"/>
  <c r="J85" i="17" s="1"/>
  <c r="E85" i="12"/>
  <c r="G85" i="12" s="1"/>
  <c r="J85" i="12" s="1"/>
  <c r="T85" i="12" s="1"/>
  <c r="L86" i="14"/>
  <c r="K86" i="14"/>
  <c r="O86" i="14" s="1"/>
  <c r="T86" i="14"/>
  <c r="C86" i="9"/>
  <c r="E86" i="9" s="1"/>
  <c r="E85" i="13"/>
  <c r="G85" i="13" s="1"/>
  <c r="J85" i="13" s="1"/>
  <c r="L85" i="13" s="1"/>
  <c r="E86" i="15"/>
  <c r="G86" i="15" s="1"/>
  <c r="J86" i="15" s="1"/>
  <c r="L86" i="15" s="1"/>
  <c r="K89" i="11" l="1"/>
  <c r="O89" i="11" s="1"/>
  <c r="T89" i="11"/>
  <c r="L89" i="11"/>
  <c r="K85" i="17"/>
  <c r="O85" i="17" s="1"/>
  <c r="T85" i="17"/>
  <c r="L85" i="17"/>
  <c r="E83" i="16"/>
  <c r="G83" i="16" s="1"/>
  <c r="J83" i="16" s="1"/>
  <c r="K85" i="12"/>
  <c r="O85" i="12" s="1"/>
  <c r="L85" i="12"/>
  <c r="D86" i="9"/>
  <c r="F86" i="9" s="1"/>
  <c r="E87" i="14"/>
  <c r="G87" i="14" s="1"/>
  <c r="J87" i="14" s="1"/>
  <c r="K85" i="13"/>
  <c r="O85" i="13" s="1"/>
  <c r="T85" i="13"/>
  <c r="K86" i="15"/>
  <c r="O86" i="15" s="1"/>
  <c r="T86" i="15"/>
  <c r="E86" i="17" l="1"/>
  <c r="G86" i="17" s="1"/>
  <c r="J86" i="17" s="1"/>
  <c r="E86" i="12"/>
  <c r="G86" i="12" s="1"/>
  <c r="J86" i="12" s="1"/>
  <c r="K86" i="12" s="1"/>
  <c r="O86" i="12" s="1"/>
  <c r="L83" i="16"/>
  <c r="K83" i="16"/>
  <c r="O83" i="16" s="1"/>
  <c r="T83" i="16"/>
  <c r="E84" i="16"/>
  <c r="G84" i="16" s="1"/>
  <c r="J84" i="16" s="1"/>
  <c r="T86" i="17"/>
  <c r="K86" i="17"/>
  <c r="O86" i="17" s="1"/>
  <c r="L86" i="17"/>
  <c r="E90" i="11"/>
  <c r="G90" i="11" s="1"/>
  <c r="J90" i="11" s="1"/>
  <c r="E87" i="15"/>
  <c r="G87" i="15" s="1"/>
  <c r="J87" i="15" s="1"/>
  <c r="L87" i="15" s="1"/>
  <c r="C87" i="9"/>
  <c r="E87" i="9" s="1"/>
  <c r="K87" i="14"/>
  <c r="O87" i="14" s="1"/>
  <c r="L87" i="14"/>
  <c r="T87" i="14"/>
  <c r="E86" i="13"/>
  <c r="G86" i="13" s="1"/>
  <c r="J86" i="13" s="1"/>
  <c r="L86" i="12" l="1"/>
  <c r="E87" i="12" s="1"/>
  <c r="G87" i="12" s="1"/>
  <c r="J87" i="12" s="1"/>
  <c r="T87" i="12" s="1"/>
  <c r="T86" i="12"/>
  <c r="K87" i="15"/>
  <c r="O87" i="15" s="1"/>
  <c r="L84" i="16"/>
  <c r="K84" i="16"/>
  <c r="O84" i="16" s="1"/>
  <c r="T84" i="16"/>
  <c r="K90" i="11"/>
  <c r="O90" i="11" s="1"/>
  <c r="T90" i="11"/>
  <c r="L90" i="11"/>
  <c r="E91" i="11" s="1"/>
  <c r="G91" i="11" s="1"/>
  <c r="J91" i="11" s="1"/>
  <c r="E87" i="17"/>
  <c r="G87" i="17" s="1"/>
  <c r="J87" i="17" s="1"/>
  <c r="T87" i="15"/>
  <c r="D87" i="9"/>
  <c r="F87" i="9" s="1"/>
  <c r="E88" i="14"/>
  <c r="G88" i="14" s="1"/>
  <c r="J88" i="14" s="1"/>
  <c r="T88" i="14" s="1"/>
  <c r="L86" i="13"/>
  <c r="K86" i="13"/>
  <c r="T86" i="13"/>
  <c r="E88" i="15"/>
  <c r="G88" i="15" s="1"/>
  <c r="J88" i="15" s="1"/>
  <c r="L87" i="12"/>
  <c r="K87" i="12"/>
  <c r="O87" i="12" s="1"/>
  <c r="E85" i="16" l="1"/>
  <c r="G85" i="16" s="1"/>
  <c r="J85" i="16" s="1"/>
  <c r="T91" i="11"/>
  <c r="K91" i="11"/>
  <c r="O91" i="11" s="1"/>
  <c r="L91" i="11"/>
  <c r="E92" i="11" s="1"/>
  <c r="G92" i="11" s="1"/>
  <c r="J92" i="11" s="1"/>
  <c r="L87" i="17"/>
  <c r="K87" i="17"/>
  <c r="O87" i="17" s="1"/>
  <c r="T87" i="17"/>
  <c r="C88" i="9"/>
  <c r="E88" i="9" s="1"/>
  <c r="K88" i="14"/>
  <c r="O88" i="14" s="1"/>
  <c r="L88" i="14"/>
  <c r="E89" i="14" s="1"/>
  <c r="G89" i="14" s="1"/>
  <c r="J89" i="14" s="1"/>
  <c r="K89" i="14" s="1"/>
  <c r="O86" i="13"/>
  <c r="E87" i="13"/>
  <c r="G87" i="13" s="1"/>
  <c r="J87" i="13" s="1"/>
  <c r="K88" i="15"/>
  <c r="L88" i="15"/>
  <c r="T88" i="15"/>
  <c r="E88" i="12"/>
  <c r="G88" i="12" s="1"/>
  <c r="J88" i="12" s="1"/>
  <c r="K92" i="11" l="1"/>
  <c r="O92" i="11" s="1"/>
  <c r="L92" i="11"/>
  <c r="E93" i="11" s="1"/>
  <c r="G93" i="11" s="1"/>
  <c r="J93" i="11" s="1"/>
  <c r="T92" i="11"/>
  <c r="K85" i="16"/>
  <c r="O85" i="16" s="1"/>
  <c r="T85" i="16"/>
  <c r="L85" i="16"/>
  <c r="E86" i="16" s="1"/>
  <c r="G86" i="16" s="1"/>
  <c r="J86" i="16" s="1"/>
  <c r="E88" i="17"/>
  <c r="G88" i="17" s="1"/>
  <c r="J88" i="17" s="1"/>
  <c r="D88" i="9"/>
  <c r="C89" i="9" s="1"/>
  <c r="L89" i="14"/>
  <c r="T89" i="14"/>
  <c r="E90" i="14"/>
  <c r="G90" i="14" s="1"/>
  <c r="J90" i="14" s="1"/>
  <c r="O89" i="14"/>
  <c r="K87" i="13"/>
  <c r="O87" i="13" s="1"/>
  <c r="T87" i="13"/>
  <c r="L87" i="13"/>
  <c r="O88" i="15"/>
  <c r="E89" i="15"/>
  <c r="G89" i="15" s="1"/>
  <c r="J89" i="15" s="1"/>
  <c r="T88" i="12"/>
  <c r="K88" i="12"/>
  <c r="O88" i="12" s="1"/>
  <c r="L88" i="12"/>
  <c r="F88" i="9" l="1"/>
  <c r="L93" i="11"/>
  <c r="K93" i="11"/>
  <c r="O93" i="11" s="1"/>
  <c r="T93" i="11"/>
  <c r="K88" i="17"/>
  <c r="O88" i="17" s="1"/>
  <c r="T88" i="17"/>
  <c r="L88" i="17"/>
  <c r="T86" i="16"/>
  <c r="L86" i="16"/>
  <c r="E87" i="16" s="1"/>
  <c r="G87" i="16" s="1"/>
  <c r="J87" i="16" s="1"/>
  <c r="K86" i="16"/>
  <c r="O86" i="16" s="1"/>
  <c r="D89" i="9"/>
  <c r="F89" i="9" s="1"/>
  <c r="E89" i="9"/>
  <c r="K90" i="14"/>
  <c r="O90" i="14" s="1"/>
  <c r="T90" i="14"/>
  <c r="L90" i="14"/>
  <c r="E88" i="13"/>
  <c r="G88" i="13" s="1"/>
  <c r="J88" i="13" s="1"/>
  <c r="L89" i="15"/>
  <c r="K89" i="15"/>
  <c r="O89" i="15" s="1"/>
  <c r="T89" i="15"/>
  <c r="E89" i="12"/>
  <c r="G89" i="12" s="1"/>
  <c r="J89" i="12" s="1"/>
  <c r="K89" i="12" s="1"/>
  <c r="O89" i="12" s="1"/>
  <c r="E89" i="17" l="1"/>
  <c r="G89" i="17" s="1"/>
  <c r="J89" i="17" s="1"/>
  <c r="L89" i="17" s="1"/>
  <c r="K89" i="17"/>
  <c r="O89" i="17" s="1"/>
  <c r="T87" i="16"/>
  <c r="K87" i="16"/>
  <c r="O87" i="16" s="1"/>
  <c r="L87" i="16"/>
  <c r="E94" i="11"/>
  <c r="G94" i="11" s="1"/>
  <c r="J94" i="11" s="1"/>
  <c r="C90" i="9"/>
  <c r="E90" i="9" s="1"/>
  <c r="E90" i="15"/>
  <c r="G90" i="15" s="1"/>
  <c r="J90" i="15" s="1"/>
  <c r="K90" i="15" s="1"/>
  <c r="O90" i="15" s="1"/>
  <c r="E91" i="14"/>
  <c r="G91" i="14" s="1"/>
  <c r="J91" i="14" s="1"/>
  <c r="T91" i="14" s="1"/>
  <c r="K88" i="13"/>
  <c r="O88" i="13" s="1"/>
  <c r="L88" i="13"/>
  <c r="T88" i="13"/>
  <c r="T89" i="12"/>
  <c r="L89" i="12"/>
  <c r="E90" i="12" s="1"/>
  <c r="G90" i="12" s="1"/>
  <c r="J90" i="12" s="1"/>
  <c r="T89" i="17" l="1"/>
  <c r="K94" i="11"/>
  <c r="O94" i="11" s="1"/>
  <c r="L94" i="11"/>
  <c r="T94" i="11"/>
  <c r="E95" i="11"/>
  <c r="G95" i="11" s="1"/>
  <c r="J95" i="11" s="1"/>
  <c r="E88" i="16"/>
  <c r="G88" i="16" s="1"/>
  <c r="J88" i="16" s="1"/>
  <c r="E90" i="17"/>
  <c r="G90" i="17" s="1"/>
  <c r="J90" i="17" s="1"/>
  <c r="D90" i="9"/>
  <c r="F90" i="9" s="1"/>
  <c r="L90" i="15"/>
  <c r="E91" i="15" s="1"/>
  <c r="G91" i="15" s="1"/>
  <c r="J91" i="15" s="1"/>
  <c r="K91" i="15" s="1"/>
  <c r="O91" i="15" s="1"/>
  <c r="T90" i="15"/>
  <c r="K91" i="14"/>
  <c r="O91" i="14" s="1"/>
  <c r="L91" i="14"/>
  <c r="E89" i="13"/>
  <c r="G89" i="13" s="1"/>
  <c r="J89" i="13" s="1"/>
  <c r="K89" i="13" s="1"/>
  <c r="O89" i="13" s="1"/>
  <c r="K90" i="12"/>
  <c r="O90" i="12" s="1"/>
  <c r="L90" i="12"/>
  <c r="T90" i="12"/>
  <c r="K88" i="16" l="1"/>
  <c r="O88" i="16" s="1"/>
  <c r="L88" i="16"/>
  <c r="T88" i="16"/>
  <c r="E89" i="16"/>
  <c r="G89" i="16" s="1"/>
  <c r="J89" i="16" s="1"/>
  <c r="L95" i="11"/>
  <c r="K95" i="11"/>
  <c r="O95" i="11" s="1"/>
  <c r="T95" i="11"/>
  <c r="T90" i="17"/>
  <c r="L90" i="17"/>
  <c r="K90" i="17"/>
  <c r="O90" i="17" s="1"/>
  <c r="E91" i="17"/>
  <c r="G91" i="17" s="1"/>
  <c r="J91" i="17" s="1"/>
  <c r="C91" i="9"/>
  <c r="E92" i="14"/>
  <c r="G92" i="14" s="1"/>
  <c r="J92" i="14" s="1"/>
  <c r="T92" i="14" s="1"/>
  <c r="T91" i="15"/>
  <c r="T89" i="13"/>
  <c r="L91" i="15"/>
  <c r="E92" i="15" s="1"/>
  <c r="G92" i="15" s="1"/>
  <c r="J92" i="15" s="1"/>
  <c r="K92" i="15" s="1"/>
  <c r="O92" i="15" s="1"/>
  <c r="L89" i="13"/>
  <c r="E90" i="13" s="1"/>
  <c r="G90" i="13" s="1"/>
  <c r="J90" i="13" s="1"/>
  <c r="K90" i="13" s="1"/>
  <c r="O90" i="13" s="1"/>
  <c r="E91" i="12"/>
  <c r="G91" i="12" s="1"/>
  <c r="J91" i="12" s="1"/>
  <c r="E96" i="11" l="1"/>
  <c r="G96" i="11" s="1"/>
  <c r="J96" i="11" s="1"/>
  <c r="L89" i="16"/>
  <c r="K89" i="16"/>
  <c r="O89" i="16" s="1"/>
  <c r="T89" i="16"/>
  <c r="T91" i="17"/>
  <c r="K91" i="17"/>
  <c r="O91" i="17" s="1"/>
  <c r="L91" i="17"/>
  <c r="K92" i="14"/>
  <c r="O92" i="14" s="1"/>
  <c r="L92" i="14"/>
  <c r="D91" i="9"/>
  <c r="F91" i="9" s="1"/>
  <c r="E91" i="9"/>
  <c r="T92" i="15"/>
  <c r="L92" i="15"/>
  <c r="E93" i="15" s="1"/>
  <c r="G93" i="15" s="1"/>
  <c r="J93" i="15" s="1"/>
  <c r="T90" i="13"/>
  <c r="L90" i="13"/>
  <c r="E91" i="13" s="1"/>
  <c r="G91" i="13" s="1"/>
  <c r="J91" i="13" s="1"/>
  <c r="K91" i="13" s="1"/>
  <c r="O91" i="13" s="1"/>
  <c r="T91" i="12"/>
  <c r="L91" i="12"/>
  <c r="K91" i="12"/>
  <c r="O91" i="12" s="1"/>
  <c r="E93" i="14" l="1"/>
  <c r="G93" i="14" s="1"/>
  <c r="J93" i="14" s="1"/>
  <c r="E90" i="16"/>
  <c r="G90" i="16" s="1"/>
  <c r="J90" i="16" s="1"/>
  <c r="E92" i="17"/>
  <c r="G92" i="17" s="1"/>
  <c r="J92" i="17" s="1"/>
  <c r="K96" i="11"/>
  <c r="O96" i="11" s="1"/>
  <c r="L96" i="11"/>
  <c r="T96" i="11"/>
  <c r="E97" i="11"/>
  <c r="G97" i="11" s="1"/>
  <c r="J97" i="11" s="1"/>
  <c r="C92" i="9"/>
  <c r="E92" i="9" s="1"/>
  <c r="E92" i="12"/>
  <c r="G92" i="12" s="1"/>
  <c r="J92" i="12" s="1"/>
  <c r="L92" i="12" s="1"/>
  <c r="L93" i="14"/>
  <c r="K93" i="14"/>
  <c r="O93" i="14" s="1"/>
  <c r="T93" i="14"/>
  <c r="E94" i="14"/>
  <c r="G94" i="14" s="1"/>
  <c r="J94" i="14" s="1"/>
  <c r="L91" i="13"/>
  <c r="E92" i="13" s="1"/>
  <c r="G92" i="13" s="1"/>
  <c r="J92" i="13" s="1"/>
  <c r="K92" i="13" s="1"/>
  <c r="O92" i="13" s="1"/>
  <c r="T91" i="13"/>
  <c r="K93" i="15"/>
  <c r="O93" i="15" s="1"/>
  <c r="L93" i="15"/>
  <c r="T93" i="15"/>
  <c r="K97" i="11" l="1"/>
  <c r="O97" i="11" s="1"/>
  <c r="T97" i="11"/>
  <c r="L97" i="11"/>
  <c r="E98" i="11" s="1"/>
  <c r="G98" i="11" s="1"/>
  <c r="J98" i="11" s="1"/>
  <c r="K92" i="17"/>
  <c r="O92" i="17" s="1"/>
  <c r="L92" i="17"/>
  <c r="T92" i="17"/>
  <c r="T90" i="16"/>
  <c r="L90" i="16"/>
  <c r="K90" i="16"/>
  <c r="O90" i="16" s="1"/>
  <c r="D92" i="9"/>
  <c r="F92" i="9" s="1"/>
  <c r="K92" i="12"/>
  <c r="O92" i="12" s="1"/>
  <c r="T92" i="12"/>
  <c r="T94" i="14"/>
  <c r="L94" i="14"/>
  <c r="K94" i="14"/>
  <c r="L92" i="13"/>
  <c r="E93" i="13" s="1"/>
  <c r="G93" i="13" s="1"/>
  <c r="J93" i="13" s="1"/>
  <c r="K93" i="13" s="1"/>
  <c r="O93" i="13" s="1"/>
  <c r="T92" i="13"/>
  <c r="E94" i="15"/>
  <c r="G94" i="15" s="1"/>
  <c r="J94" i="15" s="1"/>
  <c r="E91" i="16" l="1"/>
  <c r="G91" i="16" s="1"/>
  <c r="J91" i="16" s="1"/>
  <c r="E93" i="17"/>
  <c r="G93" i="17" s="1"/>
  <c r="J93" i="17" s="1"/>
  <c r="T93" i="17" s="1"/>
  <c r="T91" i="16"/>
  <c r="K91" i="16"/>
  <c r="O91" i="16" s="1"/>
  <c r="L91" i="16"/>
  <c r="E92" i="16"/>
  <c r="G92" i="16" s="1"/>
  <c r="J92" i="16" s="1"/>
  <c r="K93" i="17"/>
  <c r="O93" i="17" s="1"/>
  <c r="T98" i="11"/>
  <c r="K98" i="11"/>
  <c r="O98" i="11" s="1"/>
  <c r="L98" i="11"/>
  <c r="E93" i="12"/>
  <c r="G93" i="12" s="1"/>
  <c r="J93" i="12" s="1"/>
  <c r="L93" i="12" s="1"/>
  <c r="C93" i="9"/>
  <c r="D93" i="9" s="1"/>
  <c r="F93" i="9" s="1"/>
  <c r="O94" i="14"/>
  <c r="E95" i="14"/>
  <c r="G95" i="14" s="1"/>
  <c r="J95" i="14" s="1"/>
  <c r="L93" i="13"/>
  <c r="E94" i="13" s="1"/>
  <c r="G94" i="13" s="1"/>
  <c r="J94" i="13" s="1"/>
  <c r="T93" i="13"/>
  <c r="K94" i="15"/>
  <c r="O94" i="15" s="1"/>
  <c r="T94" i="15"/>
  <c r="L94" i="15"/>
  <c r="L93" i="17" l="1"/>
  <c r="T93" i="12"/>
  <c r="E94" i="17"/>
  <c r="G94" i="17" s="1"/>
  <c r="J94" i="17" s="1"/>
  <c r="K92" i="16"/>
  <c r="O92" i="16" s="1"/>
  <c r="L92" i="16"/>
  <c r="T92" i="16"/>
  <c r="K93" i="12"/>
  <c r="O93" i="12" s="1"/>
  <c r="E99" i="11"/>
  <c r="G99" i="11" s="1"/>
  <c r="J99" i="11" s="1"/>
  <c r="C94" i="9"/>
  <c r="E94" i="9" s="1"/>
  <c r="E93" i="9"/>
  <c r="L95" i="14"/>
  <c r="T95" i="14"/>
  <c r="K95" i="14"/>
  <c r="O95" i="14" s="1"/>
  <c r="K94" i="13"/>
  <c r="O94" i="13" s="1"/>
  <c r="T94" i="13"/>
  <c r="L94" i="13"/>
  <c r="E95" i="15"/>
  <c r="G95" i="15" s="1"/>
  <c r="J95" i="15" s="1"/>
  <c r="D94" i="9" l="1"/>
  <c r="E93" i="16"/>
  <c r="G93" i="16" s="1"/>
  <c r="J93" i="16" s="1"/>
  <c r="K94" i="17"/>
  <c r="O94" i="17" s="1"/>
  <c r="L94" i="17"/>
  <c r="E95" i="17" s="1"/>
  <c r="G95" i="17" s="1"/>
  <c r="J95" i="17" s="1"/>
  <c r="T94" i="17"/>
  <c r="E94" i="12"/>
  <c r="G94" i="12" s="1"/>
  <c r="J94" i="12" s="1"/>
  <c r="K94" i="12" s="1"/>
  <c r="O94" i="12" s="1"/>
  <c r="K99" i="11"/>
  <c r="O99" i="11" s="1"/>
  <c r="T99" i="11"/>
  <c r="L99" i="11"/>
  <c r="F94" i="9"/>
  <c r="C95" i="9"/>
  <c r="E96" i="14"/>
  <c r="G96" i="14" s="1"/>
  <c r="J96" i="14" s="1"/>
  <c r="E95" i="13"/>
  <c r="G95" i="13" s="1"/>
  <c r="J95" i="13" s="1"/>
  <c r="T95" i="13" s="1"/>
  <c r="K95" i="15"/>
  <c r="O95" i="15" s="1"/>
  <c r="T95" i="15"/>
  <c r="L95" i="15"/>
  <c r="L94" i="12" l="1"/>
  <c r="E95" i="12" s="1"/>
  <c r="G95" i="12" s="1"/>
  <c r="J95" i="12" s="1"/>
  <c r="K95" i="12" s="1"/>
  <c r="O95" i="12" s="1"/>
  <c r="K93" i="16"/>
  <c r="O93" i="16" s="1"/>
  <c r="L93" i="16"/>
  <c r="T93" i="16"/>
  <c r="E94" i="16"/>
  <c r="G94" i="16" s="1"/>
  <c r="J94" i="16" s="1"/>
  <c r="E100" i="11"/>
  <c r="G100" i="11" s="1"/>
  <c r="J100" i="11" s="1"/>
  <c r="T94" i="12"/>
  <c r="K95" i="17"/>
  <c r="O95" i="17" s="1"/>
  <c r="L95" i="17"/>
  <c r="T95" i="17"/>
  <c r="E95" i="9"/>
  <c r="D95" i="9"/>
  <c r="L95" i="12"/>
  <c r="E96" i="12" s="1"/>
  <c r="G96" i="12" s="1"/>
  <c r="J96" i="12" s="1"/>
  <c r="K96" i="14"/>
  <c r="O96" i="14" s="1"/>
  <c r="T96" i="14"/>
  <c r="L96" i="14"/>
  <c r="T95" i="12"/>
  <c r="K95" i="13"/>
  <c r="O95" i="13" s="1"/>
  <c r="L95" i="13"/>
  <c r="E96" i="15"/>
  <c r="G96" i="15" s="1"/>
  <c r="J96" i="15" s="1"/>
  <c r="E96" i="17" l="1"/>
  <c r="G96" i="17" s="1"/>
  <c r="J96" i="17" s="1"/>
  <c r="K100" i="11"/>
  <c r="O100" i="11" s="1"/>
  <c r="T100" i="11"/>
  <c r="L100" i="11"/>
  <c r="E101" i="11" s="1"/>
  <c r="G101" i="11" s="1"/>
  <c r="J101" i="11" s="1"/>
  <c r="T94" i="16"/>
  <c r="L94" i="16"/>
  <c r="K94" i="16"/>
  <c r="O94" i="16" s="1"/>
  <c r="F95" i="9"/>
  <c r="C96" i="9"/>
  <c r="E97" i="14"/>
  <c r="G97" i="14" s="1"/>
  <c r="J97" i="14" s="1"/>
  <c r="T97" i="14" s="1"/>
  <c r="E96" i="13"/>
  <c r="G96" i="13" s="1"/>
  <c r="J96" i="13" s="1"/>
  <c r="T96" i="13" s="1"/>
  <c r="K96" i="15"/>
  <c r="O96" i="15" s="1"/>
  <c r="T96" i="15"/>
  <c r="L96" i="15"/>
  <c r="K96" i="12"/>
  <c r="O96" i="12" s="1"/>
  <c r="L96" i="12"/>
  <c r="T96" i="12"/>
  <c r="E95" i="16" l="1"/>
  <c r="G95" i="16" s="1"/>
  <c r="J95" i="16" s="1"/>
  <c r="L101" i="11"/>
  <c r="K101" i="11"/>
  <c r="O101" i="11" s="1"/>
  <c r="T101" i="11"/>
  <c r="T95" i="16"/>
  <c r="L95" i="16"/>
  <c r="K95" i="16"/>
  <c r="O95" i="16" s="1"/>
  <c r="E96" i="16"/>
  <c r="G96" i="16" s="1"/>
  <c r="J96" i="16" s="1"/>
  <c r="K97" i="14"/>
  <c r="O97" i="14" s="1"/>
  <c r="T96" i="17"/>
  <c r="L96" i="17"/>
  <c r="K96" i="17"/>
  <c r="O96" i="17" s="1"/>
  <c r="D96" i="9"/>
  <c r="F96" i="9" s="1"/>
  <c r="E96" i="9"/>
  <c r="L97" i="14"/>
  <c r="E98" i="14" s="1"/>
  <c r="G98" i="14" s="1"/>
  <c r="J98" i="14" s="1"/>
  <c r="K96" i="13"/>
  <c r="O96" i="13" s="1"/>
  <c r="L96" i="13"/>
  <c r="E97" i="12"/>
  <c r="G97" i="12" s="1"/>
  <c r="J97" i="12" s="1"/>
  <c r="K97" i="12" s="1"/>
  <c r="O97" i="12" s="1"/>
  <c r="E97" i="15"/>
  <c r="G97" i="15" s="1"/>
  <c r="J97" i="15" s="1"/>
  <c r="E97" i="17" l="1"/>
  <c r="G97" i="17" s="1"/>
  <c r="J97" i="17" s="1"/>
  <c r="E102" i="11"/>
  <c r="G102" i="11" s="1"/>
  <c r="J102" i="11" s="1"/>
  <c r="L96" i="16"/>
  <c r="K96" i="16"/>
  <c r="O96" i="16" s="1"/>
  <c r="T96" i="16"/>
  <c r="C97" i="9"/>
  <c r="E97" i="9" s="1"/>
  <c r="E97" i="13"/>
  <c r="G97" i="13" s="1"/>
  <c r="J97" i="13" s="1"/>
  <c r="T97" i="13" s="1"/>
  <c r="L98" i="14"/>
  <c r="T98" i="14"/>
  <c r="K98" i="14"/>
  <c r="T97" i="12"/>
  <c r="L97" i="12"/>
  <c r="E98" i="12" s="1"/>
  <c r="G98" i="12" s="1"/>
  <c r="J98" i="12" s="1"/>
  <c r="K97" i="15"/>
  <c r="O97" i="15" s="1"/>
  <c r="T97" i="15"/>
  <c r="L97" i="15"/>
  <c r="K97" i="13" l="1"/>
  <c r="O97" i="13" s="1"/>
  <c r="E97" i="16"/>
  <c r="G97" i="16" s="1"/>
  <c r="J97" i="16" s="1"/>
  <c r="L97" i="16" s="1"/>
  <c r="L97" i="17"/>
  <c r="K97" i="17"/>
  <c r="O97" i="17" s="1"/>
  <c r="T97" i="17"/>
  <c r="D97" i="9"/>
  <c r="F97" i="9" s="1"/>
  <c r="L102" i="11"/>
  <c r="K102" i="11"/>
  <c r="O102" i="11" s="1"/>
  <c r="T102" i="11"/>
  <c r="E103" i="11"/>
  <c r="G103" i="11" s="1"/>
  <c r="J103" i="11" s="1"/>
  <c r="L97" i="13"/>
  <c r="O98" i="14"/>
  <c r="E99" i="14"/>
  <c r="G99" i="14" s="1"/>
  <c r="J99" i="14" s="1"/>
  <c r="E98" i="13"/>
  <c r="G98" i="13" s="1"/>
  <c r="J98" i="13" s="1"/>
  <c r="L98" i="13" s="1"/>
  <c r="E98" i="15"/>
  <c r="G98" i="15" s="1"/>
  <c r="J98" i="15" s="1"/>
  <c r="K98" i="12"/>
  <c r="O98" i="12" s="1"/>
  <c r="L98" i="12"/>
  <c r="T98" i="12"/>
  <c r="C98" i="9" l="1"/>
  <c r="D98" i="9" s="1"/>
  <c r="T97" i="16"/>
  <c r="E98" i="9"/>
  <c r="K97" i="16"/>
  <c r="K103" i="11"/>
  <c r="O103" i="11" s="1"/>
  <c r="L103" i="11"/>
  <c r="E104" i="11" s="1"/>
  <c r="G104" i="11" s="1"/>
  <c r="J104" i="11" s="1"/>
  <c r="T103" i="11"/>
  <c r="E98" i="17"/>
  <c r="G98" i="17" s="1"/>
  <c r="J98" i="17" s="1"/>
  <c r="C99" i="9"/>
  <c r="F98" i="9"/>
  <c r="T99" i="14"/>
  <c r="K99" i="14"/>
  <c r="L99" i="14"/>
  <c r="K98" i="13"/>
  <c r="O98" i="13" s="1"/>
  <c r="T98" i="13"/>
  <c r="E99" i="12"/>
  <c r="G99" i="12" s="1"/>
  <c r="J99" i="12" s="1"/>
  <c r="K98" i="15"/>
  <c r="O98" i="15" s="1"/>
  <c r="L98" i="15"/>
  <c r="T98" i="15"/>
  <c r="O97" i="16" l="1"/>
  <c r="E98" i="16"/>
  <c r="G98" i="16" s="1"/>
  <c r="J98" i="16" s="1"/>
  <c r="T98" i="17"/>
  <c r="K98" i="17"/>
  <c r="O98" i="17" s="1"/>
  <c r="L98" i="17"/>
  <c r="E99" i="17"/>
  <c r="G99" i="17" s="1"/>
  <c r="J99" i="17" s="1"/>
  <c r="K104" i="11"/>
  <c r="O104" i="11" s="1"/>
  <c r="T104" i="11"/>
  <c r="L104" i="11"/>
  <c r="E99" i="9"/>
  <c r="D99" i="9"/>
  <c r="F99" i="9" s="1"/>
  <c r="O99" i="14"/>
  <c r="E100" i="14"/>
  <c r="G100" i="14" s="1"/>
  <c r="J100" i="14" s="1"/>
  <c r="E99" i="13"/>
  <c r="G99" i="13" s="1"/>
  <c r="J99" i="13" s="1"/>
  <c r="K99" i="13" s="1"/>
  <c r="O99" i="13" s="1"/>
  <c r="E99" i="15"/>
  <c r="G99" i="15" s="1"/>
  <c r="J99" i="15" s="1"/>
  <c r="K99" i="15" s="1"/>
  <c r="O99" i="15" s="1"/>
  <c r="K99" i="12"/>
  <c r="O99" i="12" s="1"/>
  <c r="T99" i="12"/>
  <c r="L99" i="12"/>
  <c r="T98" i="16" l="1"/>
  <c r="K98" i="16"/>
  <c r="O98" i="16" s="1"/>
  <c r="L98" i="16"/>
  <c r="E99" i="16" s="1"/>
  <c r="G99" i="16" s="1"/>
  <c r="J99" i="16" s="1"/>
  <c r="E105" i="11"/>
  <c r="G105" i="11" s="1"/>
  <c r="J105" i="11" s="1"/>
  <c r="K105" i="11"/>
  <c r="O105" i="11" s="1"/>
  <c r="T105" i="11"/>
  <c r="L105" i="11"/>
  <c r="K99" i="17"/>
  <c r="O99" i="17" s="1"/>
  <c r="T99" i="17"/>
  <c r="L99" i="17"/>
  <c r="C100" i="9"/>
  <c r="E100" i="9" s="1"/>
  <c r="K100" i="14"/>
  <c r="T100" i="14"/>
  <c r="L100" i="14"/>
  <c r="L99" i="13"/>
  <c r="E100" i="13" s="1"/>
  <c r="G100" i="13" s="1"/>
  <c r="J100" i="13" s="1"/>
  <c r="T99" i="13"/>
  <c r="E100" i="12"/>
  <c r="G100" i="12" s="1"/>
  <c r="J100" i="12" s="1"/>
  <c r="K100" i="12" s="1"/>
  <c r="O100" i="12" s="1"/>
  <c r="T99" i="15"/>
  <c r="L99" i="15"/>
  <c r="E100" i="15"/>
  <c r="G100" i="15" s="1"/>
  <c r="J100" i="15" s="1"/>
  <c r="D100" i="9" l="1"/>
  <c r="F100" i="9" s="1"/>
  <c r="T99" i="16"/>
  <c r="L99" i="16"/>
  <c r="K99" i="16"/>
  <c r="O99" i="16" s="1"/>
  <c r="E100" i="16"/>
  <c r="G100" i="16" s="1"/>
  <c r="J100" i="16" s="1"/>
  <c r="L100" i="16" s="1"/>
  <c r="E106" i="11"/>
  <c r="G106" i="11" s="1"/>
  <c r="J106" i="11" s="1"/>
  <c r="T100" i="16"/>
  <c r="K100" i="16"/>
  <c r="O100" i="16" s="1"/>
  <c r="E100" i="17"/>
  <c r="G100" i="17" s="1"/>
  <c r="J100" i="17" s="1"/>
  <c r="C101" i="9"/>
  <c r="D101" i="9" s="1"/>
  <c r="F101" i="9" s="1"/>
  <c r="O100" i="14"/>
  <c r="E101" i="14"/>
  <c r="G101" i="14" s="1"/>
  <c r="J101" i="14" s="1"/>
  <c r="K100" i="13"/>
  <c r="O100" i="13" s="1"/>
  <c r="L100" i="13"/>
  <c r="T100" i="13"/>
  <c r="L100" i="12"/>
  <c r="E101" i="12" s="1"/>
  <c r="G101" i="12" s="1"/>
  <c r="J101" i="12" s="1"/>
  <c r="T100" i="12"/>
  <c r="K100" i="15"/>
  <c r="O100" i="15" s="1"/>
  <c r="L100" i="15"/>
  <c r="T100" i="15"/>
  <c r="K106" i="11" l="1"/>
  <c r="L106" i="11"/>
  <c r="T106" i="11"/>
  <c r="T100" i="17"/>
  <c r="L100" i="17"/>
  <c r="K100" i="17"/>
  <c r="O100" i="17" s="1"/>
  <c r="E101" i="16"/>
  <c r="G101" i="16" s="1"/>
  <c r="J101" i="16" s="1"/>
  <c r="E101" i="9"/>
  <c r="C102" i="9"/>
  <c r="D102" i="9" s="1"/>
  <c r="K101" i="14"/>
  <c r="O101" i="14" s="1"/>
  <c r="T101" i="14"/>
  <c r="L101" i="14"/>
  <c r="E101" i="13"/>
  <c r="G101" i="13" s="1"/>
  <c r="J101" i="13" s="1"/>
  <c r="K101" i="13" s="1"/>
  <c r="O101" i="13" s="1"/>
  <c r="E101" i="15"/>
  <c r="G101" i="15" s="1"/>
  <c r="J101" i="15" s="1"/>
  <c r="K101" i="15" s="1"/>
  <c r="O101" i="15" s="1"/>
  <c r="K101" i="12"/>
  <c r="O101" i="12" s="1"/>
  <c r="T101" i="12"/>
  <c r="L101" i="12"/>
  <c r="O106" i="11" l="1"/>
  <c r="E107" i="11"/>
  <c r="G107" i="11" s="1"/>
  <c r="J107" i="11" s="1"/>
  <c r="T101" i="16"/>
  <c r="K101" i="16"/>
  <c r="O101" i="16" s="1"/>
  <c r="L101" i="16"/>
  <c r="E102" i="16"/>
  <c r="G102" i="16" s="1"/>
  <c r="J102" i="16" s="1"/>
  <c r="E101" i="17"/>
  <c r="G101" i="17" s="1"/>
  <c r="J101" i="17" s="1"/>
  <c r="E102" i="14"/>
  <c r="G102" i="14" s="1"/>
  <c r="J102" i="14" s="1"/>
  <c r="E102" i="9"/>
  <c r="F102" i="9"/>
  <c r="C103" i="9"/>
  <c r="L101" i="13"/>
  <c r="E102" i="13" s="1"/>
  <c r="G102" i="13" s="1"/>
  <c r="J102" i="13" s="1"/>
  <c r="T101" i="13"/>
  <c r="K102" i="13"/>
  <c r="O102" i="13" s="1"/>
  <c r="T101" i="15"/>
  <c r="L101" i="15"/>
  <c r="E102" i="15" s="1"/>
  <c r="G102" i="15" s="1"/>
  <c r="J102" i="15" s="1"/>
  <c r="E102" i="12"/>
  <c r="G102" i="12" s="1"/>
  <c r="J102" i="12" s="1"/>
  <c r="K102" i="12" s="1"/>
  <c r="K107" i="11" l="1"/>
  <c r="L107" i="11"/>
  <c r="E108" i="11" s="1"/>
  <c r="G108" i="11" s="1"/>
  <c r="J108" i="11" s="1"/>
  <c r="T107" i="11"/>
  <c r="K102" i="14"/>
  <c r="O102" i="14" s="1"/>
  <c r="L102" i="14"/>
  <c r="T102" i="14"/>
  <c r="K101" i="17"/>
  <c r="O101" i="17" s="1"/>
  <c r="T101" i="17"/>
  <c r="L101" i="17"/>
  <c r="T102" i="16"/>
  <c r="L102" i="16"/>
  <c r="K102" i="16"/>
  <c r="O102" i="16" s="1"/>
  <c r="E103" i="16"/>
  <c r="G103" i="16" s="1"/>
  <c r="J103" i="16" s="1"/>
  <c r="L102" i="13"/>
  <c r="E103" i="13" s="1"/>
  <c r="G103" i="13" s="1"/>
  <c r="J103" i="13" s="1"/>
  <c r="E103" i="9"/>
  <c r="D103" i="9"/>
  <c r="F103" i="9" s="1"/>
  <c r="T102" i="13"/>
  <c r="T102" i="12"/>
  <c r="O102" i="12"/>
  <c r="L102" i="12"/>
  <c r="E103" i="12" s="1"/>
  <c r="G103" i="12" s="1"/>
  <c r="J103" i="12" s="1"/>
  <c r="K102" i="15"/>
  <c r="O102" i="15" s="1"/>
  <c r="L102" i="15"/>
  <c r="T102" i="15"/>
  <c r="C104" i="9" l="1"/>
  <c r="T108" i="11"/>
  <c r="K108" i="11"/>
  <c r="O108" i="11" s="1"/>
  <c r="L108" i="11"/>
  <c r="O107" i="11"/>
  <c r="E102" i="17"/>
  <c r="G102" i="17" s="1"/>
  <c r="J102" i="17" s="1"/>
  <c r="K103" i="13"/>
  <c r="O103" i="13" s="1"/>
  <c r="L103" i="13"/>
  <c r="E104" i="13" s="1"/>
  <c r="G104" i="13" s="1"/>
  <c r="J104" i="13" s="1"/>
  <c r="T103" i="13"/>
  <c r="K103" i="16"/>
  <c r="O103" i="16" s="1"/>
  <c r="L103" i="16"/>
  <c r="T103" i="16"/>
  <c r="E103" i="14"/>
  <c r="G103" i="14" s="1"/>
  <c r="J103" i="14" s="1"/>
  <c r="D104" i="9"/>
  <c r="E104" i="9"/>
  <c r="K103" i="12"/>
  <c r="O103" i="12" s="1"/>
  <c r="T103" i="12"/>
  <c r="L103" i="12"/>
  <c r="E103" i="15"/>
  <c r="G103" i="15" s="1"/>
  <c r="J103" i="15" s="1"/>
  <c r="E104" i="12" l="1"/>
  <c r="G104" i="12" s="1"/>
  <c r="J104" i="12" s="1"/>
  <c r="E109" i="11"/>
  <c r="G109" i="11" s="1"/>
  <c r="J109" i="11" s="1"/>
  <c r="L104" i="13"/>
  <c r="K104" i="13"/>
  <c r="T104" i="13"/>
  <c r="T103" i="14"/>
  <c r="L103" i="14"/>
  <c r="K103" i="14"/>
  <c r="O103" i="14" s="1"/>
  <c r="E104" i="16"/>
  <c r="G104" i="16" s="1"/>
  <c r="J104" i="16" s="1"/>
  <c r="T102" i="17"/>
  <c r="K102" i="17"/>
  <c r="O102" i="17" s="1"/>
  <c r="L102" i="17"/>
  <c r="F104" i="9"/>
  <c r="C105" i="9"/>
  <c r="K103" i="15"/>
  <c r="O103" i="15" s="1"/>
  <c r="T103" i="15"/>
  <c r="L103" i="15"/>
  <c r="K104" i="12"/>
  <c r="O104" i="12" s="1"/>
  <c r="T104" i="12"/>
  <c r="L104" i="12"/>
  <c r="E104" i="14" l="1"/>
  <c r="G104" i="14" s="1"/>
  <c r="J104" i="14" s="1"/>
  <c r="L104" i="14" s="1"/>
  <c r="K109" i="11"/>
  <c r="L109" i="11"/>
  <c r="T109" i="11"/>
  <c r="C11" i="20"/>
  <c r="E103" i="17"/>
  <c r="G103" i="17" s="1"/>
  <c r="J103" i="17" s="1"/>
  <c r="K103" i="17" s="1"/>
  <c r="E105" i="12"/>
  <c r="G105" i="12" s="1"/>
  <c r="J105" i="12" s="1"/>
  <c r="T105" i="12" s="1"/>
  <c r="T104" i="16"/>
  <c r="K104" i="16"/>
  <c r="O104" i="16" s="1"/>
  <c r="L104" i="16"/>
  <c r="E105" i="16" s="1"/>
  <c r="G105" i="16" s="1"/>
  <c r="J105" i="16" s="1"/>
  <c r="O104" i="13"/>
  <c r="E105" i="13"/>
  <c r="G105" i="13" s="1"/>
  <c r="J105" i="13" s="1"/>
  <c r="K104" i="14"/>
  <c r="O104" i="14" s="1"/>
  <c r="T104" i="14"/>
  <c r="D105" i="9"/>
  <c r="E105" i="9"/>
  <c r="E104" i="15"/>
  <c r="G104" i="15" s="1"/>
  <c r="J104" i="15" s="1"/>
  <c r="L104" i="15" s="1"/>
  <c r="K105" i="12" l="1"/>
  <c r="O105" i="12" s="1"/>
  <c r="T103" i="17"/>
  <c r="E105" i="14"/>
  <c r="G105" i="14" s="1"/>
  <c r="J105" i="14" s="1"/>
  <c r="L103" i="17"/>
  <c r="O109" i="11"/>
  <c r="C18" i="20"/>
  <c r="K104" i="15"/>
  <c r="O104" i="15" s="1"/>
  <c r="L105" i="12"/>
  <c r="E106" i="12" s="1"/>
  <c r="G106" i="12" s="1"/>
  <c r="J106" i="12" s="1"/>
  <c r="O103" i="17"/>
  <c r="L105" i="13"/>
  <c r="K105" i="13"/>
  <c r="O105" i="13" s="1"/>
  <c r="T105" i="13"/>
  <c r="E104" i="17"/>
  <c r="G104" i="17" s="1"/>
  <c r="J104" i="17" s="1"/>
  <c r="K105" i="14"/>
  <c r="O105" i="14" s="1"/>
  <c r="L105" i="14"/>
  <c r="T105" i="14"/>
  <c r="T105" i="16"/>
  <c r="K105" i="16"/>
  <c r="O105" i="16" s="1"/>
  <c r="L105" i="16"/>
  <c r="F105" i="9"/>
  <c r="C106" i="9"/>
  <c r="T104" i="15"/>
  <c r="E105" i="15"/>
  <c r="G105" i="15" s="1"/>
  <c r="J105" i="15" s="1"/>
  <c r="E106" i="13" l="1"/>
  <c r="G106" i="13" s="1"/>
  <c r="J106" i="13" s="1"/>
  <c r="E106" i="16"/>
  <c r="G106" i="16" s="1"/>
  <c r="J106" i="16" s="1"/>
  <c r="E106" i="14"/>
  <c r="G106" i="14" s="1"/>
  <c r="J106" i="14" s="1"/>
  <c r="K104" i="17"/>
  <c r="L104" i="17"/>
  <c r="T104" i="17"/>
  <c r="E106" i="9"/>
  <c r="D106" i="9"/>
  <c r="F106" i="9" s="1"/>
  <c r="K106" i="12"/>
  <c r="O106" i="12" s="1"/>
  <c r="T106" i="12"/>
  <c r="L106" i="12"/>
  <c r="K105" i="15"/>
  <c r="O105" i="15" s="1"/>
  <c r="T105" i="15"/>
  <c r="L105" i="15"/>
  <c r="E105" i="17" l="1"/>
  <c r="G105" i="17" s="1"/>
  <c r="J105" i="17" s="1"/>
  <c r="T106" i="14"/>
  <c r="K106" i="14"/>
  <c r="O106" i="14" s="1"/>
  <c r="L106" i="14"/>
  <c r="T106" i="16"/>
  <c r="K106" i="16"/>
  <c r="O106" i="16" s="1"/>
  <c r="L106" i="16"/>
  <c r="E107" i="16" s="1"/>
  <c r="G107" i="16" s="1"/>
  <c r="J107" i="16" s="1"/>
  <c r="L106" i="13"/>
  <c r="K106" i="13"/>
  <c r="O106" i="13" s="1"/>
  <c r="T106" i="13"/>
  <c r="K105" i="17"/>
  <c r="O105" i="17" s="1"/>
  <c r="L105" i="17"/>
  <c r="T105" i="17"/>
  <c r="O104" i="17"/>
  <c r="C107" i="9"/>
  <c r="E107" i="12"/>
  <c r="G107" i="12" s="1"/>
  <c r="J107" i="12" s="1"/>
  <c r="E106" i="15"/>
  <c r="G106" i="15" s="1"/>
  <c r="J106" i="15" s="1"/>
  <c r="E107" i="13" l="1"/>
  <c r="G107" i="13" s="1"/>
  <c r="J107" i="13" s="1"/>
  <c r="E107" i="14"/>
  <c r="G107" i="14" s="1"/>
  <c r="J107" i="14" s="1"/>
  <c r="K107" i="16"/>
  <c r="O107" i="16" s="1"/>
  <c r="T107" i="16"/>
  <c r="L107" i="16"/>
  <c r="E108" i="16" s="1"/>
  <c r="G108" i="16" s="1"/>
  <c r="J108" i="16" s="1"/>
  <c r="E106" i="17"/>
  <c r="G106" i="17" s="1"/>
  <c r="J106" i="17" s="1"/>
  <c r="D107" i="9"/>
  <c r="F107" i="9" s="1"/>
  <c r="E107" i="9"/>
  <c r="K107" i="12"/>
  <c r="O107" i="12" s="1"/>
  <c r="T107" i="12"/>
  <c r="L107" i="12"/>
  <c r="K106" i="15"/>
  <c r="O106" i="15" s="1"/>
  <c r="L106" i="15"/>
  <c r="T106" i="15"/>
  <c r="C108" i="9" l="1"/>
  <c r="D108" i="9" s="1"/>
  <c r="F108" i="9" s="1"/>
  <c r="T107" i="14"/>
  <c r="L107" i="14"/>
  <c r="K107" i="14"/>
  <c r="O107" i="14" s="1"/>
  <c r="E108" i="14"/>
  <c r="G108" i="14" s="1"/>
  <c r="J108" i="14" s="1"/>
  <c r="L107" i="13"/>
  <c r="T107" i="13"/>
  <c r="K107" i="13"/>
  <c r="O107" i="13" s="1"/>
  <c r="T106" i="17"/>
  <c r="K106" i="17"/>
  <c r="L106" i="17"/>
  <c r="K108" i="16"/>
  <c r="O108" i="16" s="1"/>
  <c r="L108" i="16"/>
  <c r="T108" i="16"/>
  <c r="E108" i="9"/>
  <c r="E107" i="15"/>
  <c r="G107" i="15" s="1"/>
  <c r="J107" i="15" s="1"/>
  <c r="T107" i="15" s="1"/>
  <c r="K107" i="15"/>
  <c r="O107" i="15" s="1"/>
  <c r="E108" i="12"/>
  <c r="G108" i="12" s="1"/>
  <c r="J108" i="12" s="1"/>
  <c r="E109" i="16" l="1"/>
  <c r="G109" i="16" s="1"/>
  <c r="J109" i="16" s="1"/>
  <c r="E108" i="13"/>
  <c r="G108" i="13" s="1"/>
  <c r="J108" i="13" s="1"/>
  <c r="T108" i="13" s="1"/>
  <c r="L108" i="13"/>
  <c r="K108" i="13"/>
  <c r="O108" i="13" s="1"/>
  <c r="K109" i="16"/>
  <c r="O109" i="16" s="1"/>
  <c r="L109" i="16"/>
  <c r="T109" i="16"/>
  <c r="C16" i="20"/>
  <c r="O106" i="17"/>
  <c r="K108" i="14"/>
  <c r="O108" i="14" s="1"/>
  <c r="T108" i="14"/>
  <c r="L108" i="14"/>
  <c r="E109" i="14"/>
  <c r="G109" i="14" s="1"/>
  <c r="J109" i="14" s="1"/>
  <c r="E107" i="17"/>
  <c r="G107" i="17" s="1"/>
  <c r="J107" i="17" s="1"/>
  <c r="C109" i="9"/>
  <c r="E109" i="9" s="1"/>
  <c r="L107" i="15"/>
  <c r="E108" i="15" s="1"/>
  <c r="G108" i="15" s="1"/>
  <c r="J108" i="15" s="1"/>
  <c r="K108" i="12"/>
  <c r="O108" i="12" s="1"/>
  <c r="L108" i="12"/>
  <c r="T108" i="12"/>
  <c r="T108" i="15" l="1"/>
  <c r="K108" i="15"/>
  <c r="O108" i="15" s="1"/>
  <c r="E109" i="13"/>
  <c r="G109" i="13" s="1"/>
  <c r="J109" i="13" s="1"/>
  <c r="C13" i="20" s="1"/>
  <c r="L107" i="17"/>
  <c r="K107" i="17"/>
  <c r="T107" i="17"/>
  <c r="T109" i="14"/>
  <c r="K109" i="14"/>
  <c r="O109" i="14" s="1"/>
  <c r="L109" i="14"/>
  <c r="C14" i="20"/>
  <c r="L108" i="15"/>
  <c r="E109" i="15" s="1"/>
  <c r="G109" i="15" s="1"/>
  <c r="J109" i="15" s="1"/>
  <c r="L109" i="13"/>
  <c r="T109" i="13"/>
  <c r="K109" i="13"/>
  <c r="O109" i="13" s="1"/>
  <c r="D109" i="9"/>
  <c r="F109" i="9" s="1"/>
  <c r="E109" i="12"/>
  <c r="G109" i="12" s="1"/>
  <c r="J109" i="12" s="1"/>
  <c r="E108" i="17" l="1"/>
  <c r="G108" i="17" s="1"/>
  <c r="J108" i="17" s="1"/>
  <c r="O107" i="17"/>
  <c r="C110" i="9"/>
  <c r="K109" i="15"/>
  <c r="O109" i="15" s="1"/>
  <c r="L109" i="15"/>
  <c r="T109" i="15"/>
  <c r="C15" i="20"/>
  <c r="K109" i="12"/>
  <c r="O109" i="12" s="1"/>
  <c r="L109" i="12"/>
  <c r="T109" i="12"/>
  <c r="C12" i="20"/>
  <c r="K108" i="17" l="1"/>
  <c r="L108" i="17"/>
  <c r="E109" i="17"/>
  <c r="G109" i="17" s="1"/>
  <c r="J109" i="17" s="1"/>
  <c r="T108" i="17"/>
  <c r="C17" i="20"/>
  <c r="D110" i="9"/>
  <c r="F110" i="9" s="1"/>
  <c r="E110" i="9"/>
  <c r="K109" i="17" l="1"/>
  <c r="O109" i="17" s="1"/>
  <c r="L109" i="17"/>
  <c r="T109" i="17"/>
  <c r="O108" i="17"/>
  <c r="C19" i="20"/>
  <c r="C111" i="9"/>
  <c r="D111" i="9" s="1"/>
  <c r="E111" i="9" l="1"/>
  <c r="C112" i="9"/>
  <c r="F111" i="9"/>
  <c r="E112" i="9" l="1"/>
  <c r="D112" i="9"/>
  <c r="F112" i="9" l="1"/>
  <c r="C113" i="9"/>
  <c r="E113" i="9" l="1"/>
  <c r="D113" i="9"/>
  <c r="F113" i="9" s="1"/>
  <c r="C114" i="9" l="1"/>
  <c r="E114" i="9"/>
  <c r="D114" i="9"/>
  <c r="F114" i="9" l="1"/>
  <c r="C115" i="9"/>
  <c r="G114" i="9"/>
  <c r="G113" i="9" s="1"/>
  <c r="G112" i="9" s="1"/>
  <c r="G111" i="9" s="1"/>
  <c r="G110" i="9" s="1"/>
  <c r="G109" i="9" s="1"/>
  <c r="G108" i="9" s="1"/>
  <c r="G107" i="9" s="1"/>
  <c r="G106" i="9" s="1"/>
  <c r="G105" i="9" s="1"/>
  <c r="G104" i="9" s="1"/>
  <c r="G103" i="9" s="1"/>
  <c r="G102" i="9" s="1"/>
  <c r="G101" i="9" s="1"/>
  <c r="G100" i="9" s="1"/>
  <c r="G99" i="9" s="1"/>
  <c r="G98" i="9" s="1"/>
  <c r="G97" i="9" s="1"/>
  <c r="G96" i="9" s="1"/>
  <c r="G95" i="9" s="1"/>
  <c r="G94" i="9" s="1"/>
  <c r="G93" i="9" s="1"/>
  <c r="G92" i="9" s="1"/>
  <c r="G91" i="9" s="1"/>
  <c r="G90" i="9" s="1"/>
  <c r="G89" i="9" s="1"/>
  <c r="G88" i="9" s="1"/>
  <c r="G87" i="9" s="1"/>
  <c r="G86" i="9" s="1"/>
  <c r="G85" i="9" s="1"/>
  <c r="G84" i="9" s="1"/>
  <c r="G83" i="9" s="1"/>
  <c r="G82" i="9" s="1"/>
  <c r="G81" i="9" s="1"/>
  <c r="G80" i="9" s="1"/>
  <c r="G79" i="9" s="1"/>
  <c r="G78" i="9" s="1"/>
  <c r="G77" i="9" s="1"/>
  <c r="G76" i="9" s="1"/>
  <c r="G75" i="9" s="1"/>
  <c r="G74" i="9" s="1"/>
  <c r="G73" i="9" s="1"/>
  <c r="G72" i="9" s="1"/>
  <c r="G71" i="9" s="1"/>
  <c r="G70" i="9" s="1"/>
  <c r="G69" i="9" s="1"/>
  <c r="G68" i="9" s="1"/>
  <c r="G67" i="9" s="1"/>
  <c r="G66" i="9" s="1"/>
  <c r="G65" i="9" s="1"/>
  <c r="G64" i="9" s="1"/>
  <c r="G63" i="9" s="1"/>
  <c r="G62" i="9" s="1"/>
  <c r="G61" i="9" s="1"/>
  <c r="G60" i="9" s="1"/>
  <c r="G59" i="9" s="1"/>
  <c r="G58" i="9" s="1"/>
  <c r="G57" i="9" s="1"/>
  <c r="G56" i="9" s="1"/>
  <c r="G55" i="9" s="1"/>
  <c r="G54" i="9" s="1"/>
  <c r="G53" i="9" s="1"/>
  <c r="G52" i="9" s="1"/>
  <c r="G51" i="9" s="1"/>
  <c r="G50" i="9" s="1"/>
  <c r="G49" i="9" s="1"/>
  <c r="G48" i="9" s="1"/>
  <c r="G47" i="9" s="1"/>
  <c r="G46" i="9" s="1"/>
  <c r="G45" i="9" s="1"/>
  <c r="G44" i="9" s="1"/>
  <c r="H114" i="9"/>
  <c r="H113" i="9" s="1"/>
  <c r="H112" i="9" s="1"/>
  <c r="H111" i="9" s="1"/>
  <c r="H110" i="9" s="1"/>
  <c r="H109" i="9" s="1"/>
  <c r="H108" i="9" s="1"/>
  <c r="G43" i="9" l="1"/>
  <c r="G42" i="9" s="1"/>
  <c r="G41" i="9" s="1"/>
  <c r="G40" i="9" s="1"/>
  <c r="G39" i="9" s="1"/>
  <c r="G38" i="9" s="1"/>
  <c r="G37" i="9" s="1"/>
  <c r="G36" i="9" s="1"/>
  <c r="G35" i="9" s="1"/>
  <c r="G34" i="9" s="1"/>
  <c r="G33" i="9" s="1"/>
  <c r="G32" i="9" s="1"/>
  <c r="G31" i="9" s="1"/>
  <c r="G30" i="9" s="1"/>
  <c r="G29" i="9" s="1"/>
  <c r="G28" i="9" s="1"/>
  <c r="G27" i="9" s="1"/>
  <c r="G26" i="9" s="1"/>
  <c r="G25" i="9" s="1"/>
  <c r="G24" i="9" s="1"/>
  <c r="G23" i="9" s="1"/>
  <c r="G22" i="9" s="1"/>
  <c r="G21" i="9" s="1"/>
  <c r="G20" i="9" s="1"/>
  <c r="G19" i="9" s="1"/>
  <c r="G18" i="9" s="1"/>
  <c r="G17" i="9" s="1"/>
  <c r="G16" i="9" s="1"/>
  <c r="G15" i="9" s="1"/>
  <c r="G14" i="9" s="1"/>
  <c r="G13" i="9" s="1"/>
  <c r="G12" i="9" s="1"/>
  <c r="G11" i="9" s="1"/>
  <c r="G10" i="9" s="1"/>
  <c r="G9" i="9" s="1"/>
  <c r="G8" i="9" s="1"/>
  <c r="G7" i="9" s="1"/>
  <c r="G6" i="9" s="1"/>
  <c r="G5" i="9" s="1"/>
  <c r="G4" i="9" s="1"/>
  <c r="C51" i="8"/>
  <c r="D115" i="9"/>
  <c r="F115" i="9" s="1"/>
  <c r="E115" i="9"/>
  <c r="H107" i="9"/>
  <c r="C116" i="9" l="1"/>
  <c r="E116" i="9"/>
  <c r="D116" i="9"/>
  <c r="F116" i="9" s="1"/>
  <c r="H115" i="9"/>
  <c r="G115" i="9"/>
  <c r="C117" i="9"/>
  <c r="E117" i="9" s="1"/>
  <c r="H106" i="9"/>
  <c r="D117" i="9" l="1"/>
  <c r="F117" i="9" s="1"/>
  <c r="C118" i="9"/>
  <c r="H116" i="9"/>
  <c r="G116" i="9"/>
  <c r="D118" i="9"/>
  <c r="F118" i="9" s="1"/>
  <c r="E118" i="9"/>
  <c r="H117" i="9"/>
  <c r="G117" i="9"/>
  <c r="H105" i="9"/>
  <c r="C119" i="9" l="1"/>
  <c r="E119" i="9"/>
  <c r="D119" i="9"/>
  <c r="H118" i="9"/>
  <c r="G118" i="9"/>
  <c r="H104" i="9"/>
  <c r="F119" i="9" l="1"/>
  <c r="C120" i="9"/>
  <c r="H119" i="9"/>
  <c r="G119" i="9"/>
  <c r="H103" i="9"/>
  <c r="D120" i="9" l="1"/>
  <c r="F120" i="9" s="1"/>
  <c r="E120" i="9"/>
  <c r="C121" i="9"/>
  <c r="H102" i="9"/>
  <c r="E121" i="9" l="1"/>
  <c r="D121" i="9"/>
  <c r="F121" i="9" s="1"/>
  <c r="C122" i="9"/>
  <c r="G120" i="9"/>
  <c r="H120" i="9"/>
  <c r="H101" i="9"/>
  <c r="E122" i="9" l="1"/>
  <c r="D122" i="9"/>
  <c r="F122" i="9" s="1"/>
  <c r="C123" i="9"/>
  <c r="H121" i="9"/>
  <c r="G121" i="9"/>
  <c r="H100" i="9"/>
  <c r="D123" i="9" l="1"/>
  <c r="F123" i="9" s="1"/>
  <c r="E123" i="9"/>
  <c r="F110" i="10"/>
  <c r="H110" i="10" s="1"/>
  <c r="G122" i="9"/>
  <c r="H122" i="9"/>
  <c r="H99" i="9"/>
  <c r="C124" i="9" l="1"/>
  <c r="D124" i="9" s="1"/>
  <c r="F124" i="9" s="1"/>
  <c r="G123" i="9"/>
  <c r="H123" i="9"/>
  <c r="H98" i="9"/>
  <c r="E124" i="9" l="1"/>
  <c r="C125" i="9"/>
  <c r="H124" i="9"/>
  <c r="G124" i="9"/>
  <c r="E125" i="9"/>
  <c r="D125" i="9"/>
  <c r="F125" i="9" s="1"/>
  <c r="H97" i="9"/>
  <c r="C126" i="9" l="1"/>
  <c r="H125" i="9"/>
  <c r="G125" i="9"/>
  <c r="H96" i="9"/>
  <c r="E126" i="9" l="1"/>
  <c r="D126" i="9"/>
  <c r="F126" i="9" s="1"/>
  <c r="H95" i="9"/>
  <c r="C127" i="9" l="1"/>
  <c r="G126" i="9"/>
  <c r="H126" i="9"/>
  <c r="H94" i="9"/>
  <c r="E127" i="9" l="1"/>
  <c r="D127" i="9"/>
  <c r="F127" i="9" s="1"/>
  <c r="H93" i="9"/>
  <c r="C128" i="9" l="1"/>
  <c r="D128" i="9"/>
  <c r="F128" i="9" s="1"/>
  <c r="E128" i="9"/>
  <c r="C129" i="9"/>
  <c r="G127" i="9"/>
  <c r="H127" i="9"/>
  <c r="H92" i="9"/>
  <c r="E129" i="9" l="1"/>
  <c r="D129" i="9"/>
  <c r="F129" i="9" s="1"/>
  <c r="H128" i="9"/>
  <c r="G128" i="9"/>
  <c r="H91" i="9"/>
  <c r="C130" i="9" l="1"/>
  <c r="D130" i="9" s="1"/>
  <c r="E130" i="9"/>
  <c r="G129" i="9"/>
  <c r="H129" i="9"/>
  <c r="H90" i="9"/>
  <c r="H130" i="9" l="1"/>
  <c r="G130" i="9"/>
  <c r="F130" i="9"/>
  <c r="C131" i="9"/>
  <c r="H89" i="9"/>
  <c r="D131" i="9" l="1"/>
  <c r="F131" i="9" s="1"/>
  <c r="E131" i="9"/>
  <c r="C132" i="9"/>
  <c r="H88" i="9"/>
  <c r="E132" i="9" l="1"/>
  <c r="D132" i="9"/>
  <c r="H131" i="9"/>
  <c r="G131" i="9"/>
  <c r="H87" i="9"/>
  <c r="F132" i="9" l="1"/>
  <c r="C133" i="9"/>
  <c r="G132" i="9"/>
  <c r="H132" i="9"/>
  <c r="H86" i="9"/>
  <c r="E133" i="9" l="1"/>
  <c r="D133" i="9"/>
  <c r="F133" i="9" s="1"/>
  <c r="H85" i="9"/>
  <c r="G133" i="9" l="1"/>
  <c r="H133" i="9"/>
  <c r="C134" i="9"/>
  <c r="H84" i="9"/>
  <c r="E134" i="9" l="1"/>
  <c r="C52" i="8" s="1"/>
  <c r="C56" i="8" s="1"/>
  <c r="D134" i="9"/>
  <c r="F134" i="9" s="1"/>
  <c r="C21" i="20"/>
  <c r="H83" i="9"/>
  <c r="G134" i="9" l="1"/>
  <c r="C54" i="8" s="1"/>
  <c r="H134" i="9"/>
  <c r="H82" i="9"/>
  <c r="C57" i="8" l="1"/>
  <c r="C59" i="8"/>
  <c r="C58" i="8"/>
  <c r="H81" i="9"/>
  <c r="H80" i="9" l="1"/>
  <c r="H79" i="9" l="1"/>
  <c r="H78" i="9" l="1"/>
  <c r="H77" i="9" l="1"/>
  <c r="H76" i="9" l="1"/>
  <c r="H75" i="9" l="1"/>
  <c r="H74" i="9" l="1"/>
  <c r="H73" i="9" l="1"/>
  <c r="H72" i="9" l="1"/>
  <c r="H71" i="9" l="1"/>
  <c r="H70" i="9" l="1"/>
  <c r="H69" i="9" l="1"/>
  <c r="H68" i="9" l="1"/>
  <c r="H67" i="9" l="1"/>
  <c r="H66" i="9" l="1"/>
  <c r="H65" i="9" l="1"/>
  <c r="H64" i="9" l="1"/>
  <c r="H63" i="9" l="1"/>
  <c r="H62" i="9" l="1"/>
  <c r="H61" i="9" l="1"/>
  <c r="H60" i="9" l="1"/>
  <c r="H59" i="9" l="1"/>
  <c r="H58" i="9" l="1"/>
  <c r="H57" i="9" l="1"/>
  <c r="H56" i="9" l="1"/>
  <c r="H55" i="9" l="1"/>
  <c r="H54" i="9" l="1"/>
  <c r="H53" i="9" l="1"/>
  <c r="H52" i="9" l="1"/>
  <c r="H51" i="9" l="1"/>
  <c r="H50" i="9" l="1"/>
  <c r="H49" i="9" l="1"/>
  <c r="H48" i="9" l="1"/>
  <c r="H47" i="9" l="1"/>
  <c r="H46" i="9" l="1"/>
  <c r="H45" i="9" l="1"/>
  <c r="H44" i="9" l="1"/>
  <c r="C53" i="8" s="1"/>
  <c r="H43" i="9" l="1"/>
  <c r="H42" i="9" l="1"/>
  <c r="H41" i="9" l="1"/>
  <c r="H40" i="9" l="1"/>
  <c r="H39" i="9" l="1"/>
  <c r="H38" i="9" l="1"/>
  <c r="H37" i="9" l="1"/>
  <c r="H36" i="9" l="1"/>
  <c r="H35" i="9" l="1"/>
  <c r="H34" i="9" l="1"/>
  <c r="H33" i="9" l="1"/>
  <c r="H32" i="9" l="1"/>
  <c r="H31" i="9" l="1"/>
  <c r="H30" i="9" l="1"/>
  <c r="H29" i="9" l="1"/>
  <c r="H28" i="9" l="1"/>
  <c r="H27" i="9" l="1"/>
  <c r="H26" i="9" l="1"/>
  <c r="H25" i="9" l="1"/>
  <c r="H24" i="9" l="1"/>
  <c r="H23" i="9" l="1"/>
  <c r="H22" i="9" l="1"/>
  <c r="H21" i="9" l="1"/>
  <c r="H20" i="9" l="1"/>
  <c r="H19" i="9" l="1"/>
  <c r="H18" i="9" l="1"/>
  <c r="H17" i="9" s="1"/>
  <c r="H16" i="9" s="1"/>
  <c r="H15" i="9" s="1"/>
  <c r="H14" i="9" s="1"/>
  <c r="H13" i="9" s="1"/>
  <c r="H12" i="9" s="1"/>
  <c r="H11" i="9" s="1"/>
  <c r="H10" i="9" s="1"/>
  <c r="H9" i="9" s="1"/>
  <c r="H8" i="9" s="1"/>
  <c r="H7" i="9" s="1"/>
  <c r="H6" i="9" s="1"/>
  <c r="H5" i="9" s="1"/>
  <c r="H4" i="9" s="1"/>
  <c r="C50" i="8"/>
  <c r="C55" i="8" s="1"/>
  <c r="C64" i="8" l="1"/>
  <c r="C65" i="8"/>
  <c r="F106" i="10" l="1"/>
  <c r="H106" i="10" s="1"/>
  <c r="F107" i="10"/>
  <c r="H107" i="10" s="1"/>
  <c r="I107" i="10" s="1"/>
  <c r="F108" i="10"/>
  <c r="H108" i="10" s="1"/>
  <c r="F109" i="10"/>
  <c r="H109" i="10" s="1"/>
  <c r="I109" i="10" s="1"/>
  <c r="F74" i="10"/>
  <c r="H74" i="10" s="1"/>
  <c r="F98" i="10"/>
  <c r="H98" i="10" s="1"/>
  <c r="F92" i="10"/>
  <c r="H92" i="10" s="1"/>
  <c r="F84" i="10"/>
  <c r="H84" i="10" s="1"/>
  <c r="F76" i="10"/>
  <c r="H76" i="10" s="1"/>
  <c r="F73" i="10"/>
  <c r="H73" i="10" s="1"/>
  <c r="F104" i="10"/>
  <c r="H104" i="10" s="1"/>
  <c r="F91" i="10"/>
  <c r="H91" i="10" s="1"/>
  <c r="F83" i="10"/>
  <c r="H83" i="10" s="1"/>
  <c r="F75" i="10"/>
  <c r="H75" i="10" s="1"/>
  <c r="F97" i="10"/>
  <c r="H97" i="10" s="1"/>
  <c r="F90" i="10"/>
  <c r="H90" i="10" s="1"/>
  <c r="F82" i="10"/>
  <c r="H82" i="10" s="1"/>
  <c r="F101" i="10"/>
  <c r="H101" i="10" s="1"/>
  <c r="F105" i="10"/>
  <c r="H105" i="10" s="1"/>
  <c r="I105" i="10" s="1"/>
  <c r="F89" i="10"/>
  <c r="H89" i="10" s="1"/>
  <c r="F81" i="10"/>
  <c r="H81" i="10" s="1"/>
  <c r="F102" i="10"/>
  <c r="H102" i="10" s="1"/>
  <c r="F80" i="10"/>
  <c r="H80" i="10" s="1"/>
  <c r="F95" i="10"/>
  <c r="H95" i="10" s="1"/>
  <c r="F79" i="10"/>
  <c r="H79" i="10" s="1"/>
  <c r="F86" i="10"/>
  <c r="H86" i="10" s="1"/>
  <c r="F77" i="10"/>
  <c r="H77" i="10" s="1"/>
  <c r="F96" i="10"/>
  <c r="H96" i="10" s="1"/>
  <c r="F87" i="10"/>
  <c r="H87" i="10" s="1"/>
  <c r="F78" i="10"/>
  <c r="H78" i="10" s="1"/>
  <c r="F93" i="10"/>
  <c r="H93" i="10" s="1"/>
  <c r="F88" i="10"/>
  <c r="H88" i="10" s="1"/>
  <c r="F103" i="10"/>
  <c r="H103" i="10" s="1"/>
  <c r="F99" i="10"/>
  <c r="H99" i="10" s="1"/>
  <c r="F100" i="10"/>
  <c r="H100" i="10" s="1"/>
  <c r="F94" i="10"/>
  <c r="H94" i="10" s="1"/>
  <c r="F85" i="10"/>
  <c r="H85" i="10" s="1"/>
  <c r="F72" i="10"/>
  <c r="H72" i="10" s="1"/>
  <c r="F71" i="10"/>
  <c r="H71" i="10" s="1"/>
  <c r="F70" i="10"/>
  <c r="H70" i="10" s="1"/>
  <c r="F69" i="10"/>
  <c r="H69" i="10" s="1"/>
  <c r="F68" i="10"/>
  <c r="H68" i="10" s="1"/>
  <c r="F67" i="10"/>
  <c r="H67" i="10" s="1"/>
  <c r="F66" i="10"/>
  <c r="H66" i="10" s="1"/>
  <c r="F65" i="10"/>
  <c r="H65" i="10" s="1"/>
  <c r="F64" i="10"/>
  <c r="H64" i="10" s="1"/>
  <c r="F63" i="10"/>
  <c r="H63" i="10" s="1"/>
  <c r="F62" i="10"/>
  <c r="H62" i="10" s="1"/>
  <c r="F61" i="10"/>
  <c r="H61" i="10" s="1"/>
  <c r="F60" i="10"/>
  <c r="H60" i="10" s="1"/>
  <c r="F59" i="10"/>
  <c r="H59" i="10" s="1"/>
  <c r="F58" i="10"/>
  <c r="H58" i="10" s="1"/>
  <c r="F57" i="10"/>
  <c r="H57" i="10" s="1"/>
  <c r="F56" i="10"/>
  <c r="H56" i="10" s="1"/>
  <c r="I56" i="10" s="1"/>
  <c r="F55" i="10"/>
  <c r="H55" i="10" s="1"/>
  <c r="F54" i="10"/>
  <c r="H54" i="10" s="1"/>
  <c r="F53" i="10"/>
  <c r="H53" i="10" s="1"/>
  <c r="F52" i="10"/>
  <c r="H52" i="10" s="1"/>
  <c r="F51" i="10"/>
  <c r="H51" i="10" s="1"/>
  <c r="F50" i="10"/>
  <c r="H50" i="10" s="1"/>
  <c r="F49" i="10"/>
  <c r="H49" i="10" s="1"/>
  <c r="F48" i="10"/>
  <c r="H48" i="10" s="1"/>
  <c r="I48" i="10" s="1"/>
  <c r="F47" i="10"/>
  <c r="H47" i="10" s="1"/>
  <c r="F46" i="10"/>
  <c r="H46" i="10" s="1"/>
  <c r="F45" i="10"/>
  <c r="H45" i="10" s="1"/>
  <c r="F44" i="10"/>
  <c r="H44" i="10" s="1"/>
  <c r="F43" i="10"/>
  <c r="H43" i="10" s="1"/>
  <c r="F42" i="10"/>
  <c r="H42" i="10" s="1"/>
  <c r="F41" i="10"/>
  <c r="H41" i="10" s="1"/>
  <c r="F40" i="10"/>
  <c r="H40" i="10" s="1"/>
  <c r="I40" i="10" s="1"/>
  <c r="F39" i="10"/>
  <c r="H39" i="10" s="1"/>
  <c r="F38" i="10"/>
  <c r="H38" i="10" s="1"/>
  <c r="F37" i="10"/>
  <c r="H37" i="10" s="1"/>
  <c r="F36" i="10"/>
  <c r="H36" i="10" s="1"/>
  <c r="F35" i="10"/>
  <c r="H35" i="10" s="1"/>
  <c r="F34" i="10"/>
  <c r="H34" i="10" s="1"/>
  <c r="F33" i="10"/>
  <c r="H33" i="10" s="1"/>
  <c r="F32" i="10"/>
  <c r="H32" i="10" s="1"/>
  <c r="I32" i="10" s="1"/>
  <c r="F31" i="10"/>
  <c r="H31" i="10" s="1"/>
  <c r="F30" i="10"/>
  <c r="H30" i="10" s="1"/>
  <c r="F29" i="10"/>
  <c r="H29" i="10" s="1"/>
  <c r="F28" i="10"/>
  <c r="H28" i="10" s="1"/>
  <c r="F27" i="10"/>
  <c r="H27" i="10" s="1"/>
  <c r="F26" i="10"/>
  <c r="H26" i="10" s="1"/>
  <c r="F25" i="10"/>
  <c r="H25" i="10" s="1"/>
  <c r="F24" i="10"/>
  <c r="H24" i="10" s="1"/>
  <c r="F23" i="10"/>
  <c r="H23" i="10" s="1"/>
  <c r="F22" i="10"/>
  <c r="H22" i="10" s="1"/>
  <c r="F21" i="10"/>
  <c r="H21" i="10" s="1"/>
  <c r="F20" i="10"/>
  <c r="H20" i="10" s="1"/>
  <c r="F19" i="10"/>
  <c r="H19" i="10" s="1"/>
  <c r="F18" i="10"/>
  <c r="H18" i="10" s="1"/>
  <c r="F17" i="10"/>
  <c r="H17" i="10" s="1"/>
  <c r="F16" i="10"/>
  <c r="H16" i="10" s="1"/>
  <c r="I16" i="10" s="1"/>
  <c r="F15" i="10"/>
  <c r="H15" i="10" s="1"/>
  <c r="F14" i="10"/>
  <c r="H14" i="10" s="1"/>
  <c r="F13" i="10"/>
  <c r="H13" i="10" s="1"/>
  <c r="F12" i="10"/>
  <c r="H12" i="10" s="1"/>
  <c r="F11" i="10"/>
  <c r="H11" i="10" s="1"/>
  <c r="F10" i="10"/>
  <c r="H10" i="10" s="1"/>
  <c r="F9" i="10"/>
  <c r="H9" i="10" s="1"/>
  <c r="F8" i="10"/>
  <c r="H8" i="10" s="1"/>
  <c r="I8" i="10" s="1"/>
  <c r="F7" i="10"/>
  <c r="C66" i="8"/>
  <c r="C68" i="8" s="1"/>
  <c r="C67" i="8"/>
  <c r="I24" i="10" l="1"/>
  <c r="I64" i="10"/>
  <c r="P64" i="16" s="1"/>
  <c r="Q64" i="16" s="1"/>
  <c r="I10" i="10"/>
  <c r="P10" i="16" s="1"/>
  <c r="Q10" i="16" s="1"/>
  <c r="I18" i="10"/>
  <c r="P18" i="16" s="1"/>
  <c r="Q18" i="16" s="1"/>
  <c r="I26" i="10"/>
  <c r="P26" i="16" s="1"/>
  <c r="Q26" i="16" s="1"/>
  <c r="I34" i="10"/>
  <c r="P34" i="14" s="1"/>
  <c r="Q34" i="14" s="1"/>
  <c r="I42" i="10"/>
  <c r="P42" i="14" s="1"/>
  <c r="Q42" i="14" s="1"/>
  <c r="I50" i="10"/>
  <c r="P50" i="15" s="1"/>
  <c r="Q50" i="15" s="1"/>
  <c r="I58" i="10"/>
  <c r="P58" i="15" s="1"/>
  <c r="Q58" i="15" s="1"/>
  <c r="I66" i="10"/>
  <c r="P66" i="16" s="1"/>
  <c r="Q66" i="16" s="1"/>
  <c r="I12" i="10"/>
  <c r="P12" i="14" s="1"/>
  <c r="Q12" i="14" s="1"/>
  <c r="I20" i="10"/>
  <c r="P20" i="13" s="1"/>
  <c r="Q20" i="13" s="1"/>
  <c r="I28" i="10"/>
  <c r="P28" i="16" s="1"/>
  <c r="Q28" i="16" s="1"/>
  <c r="I36" i="10"/>
  <c r="P36" i="14" s="1"/>
  <c r="Q36" i="14" s="1"/>
  <c r="I44" i="10"/>
  <c r="P44" i="17" s="1"/>
  <c r="Q44" i="17" s="1"/>
  <c r="I52" i="10"/>
  <c r="P52" i="12" s="1"/>
  <c r="Q52" i="12" s="1"/>
  <c r="I60" i="10"/>
  <c r="P60" i="12" s="1"/>
  <c r="Q60" i="12" s="1"/>
  <c r="I68" i="10"/>
  <c r="P68" i="17" s="1"/>
  <c r="Q68" i="17" s="1"/>
  <c r="I15" i="10"/>
  <c r="P15" i="12" s="1"/>
  <c r="Q15" i="12" s="1"/>
  <c r="I23" i="10"/>
  <c r="P23" i="12" s="1"/>
  <c r="Q23" i="12" s="1"/>
  <c r="I31" i="10"/>
  <c r="P31" i="13" s="1"/>
  <c r="Q31" i="13" s="1"/>
  <c r="I39" i="10"/>
  <c r="P39" i="11" s="1"/>
  <c r="Q39" i="11" s="1"/>
  <c r="I47" i="10"/>
  <c r="P47" i="16" s="1"/>
  <c r="Q47" i="16" s="1"/>
  <c r="I55" i="10"/>
  <c r="P55" i="11" s="1"/>
  <c r="Q55" i="11" s="1"/>
  <c r="I63" i="10"/>
  <c r="P63" i="14" s="1"/>
  <c r="Q63" i="14" s="1"/>
  <c r="I71" i="10"/>
  <c r="P71" i="14" s="1"/>
  <c r="Q71" i="14" s="1"/>
  <c r="I80" i="10"/>
  <c r="P80" i="16" s="1"/>
  <c r="Q80" i="16" s="1"/>
  <c r="I97" i="10"/>
  <c r="P97" i="13" s="1"/>
  <c r="Q97" i="13" s="1"/>
  <c r="I14" i="10"/>
  <c r="P14" i="11" s="1"/>
  <c r="Q14" i="11" s="1"/>
  <c r="I22" i="10"/>
  <c r="P22" i="13" s="1"/>
  <c r="Q22" i="13" s="1"/>
  <c r="I30" i="10"/>
  <c r="I38" i="10"/>
  <c r="P38" i="12" s="1"/>
  <c r="Q38" i="12" s="1"/>
  <c r="I46" i="10"/>
  <c r="P46" i="12" s="1"/>
  <c r="Q46" i="12" s="1"/>
  <c r="I54" i="10"/>
  <c r="I62" i="10"/>
  <c r="P62" i="12" s="1"/>
  <c r="Q62" i="12" s="1"/>
  <c r="I70" i="10"/>
  <c r="P70" i="17" s="1"/>
  <c r="Q70" i="17" s="1"/>
  <c r="I88" i="10"/>
  <c r="I95" i="10"/>
  <c r="P95" i="12" s="1"/>
  <c r="Q95" i="12" s="1"/>
  <c r="I90" i="10"/>
  <c r="P90" i="15" s="1"/>
  <c r="Q90" i="15" s="1"/>
  <c r="I84" i="10"/>
  <c r="I99" i="10"/>
  <c r="P99" i="16" s="1"/>
  <c r="Q99" i="16" s="1"/>
  <c r="M106" i="11"/>
  <c r="U106" i="11" s="1"/>
  <c r="V106" i="11" s="1"/>
  <c r="M107" i="11"/>
  <c r="U107" i="11" s="1"/>
  <c r="V107" i="11" s="1"/>
  <c r="M106" i="16"/>
  <c r="U106" i="16" s="1"/>
  <c r="V106" i="16" s="1"/>
  <c r="M107" i="16"/>
  <c r="U107" i="16" s="1"/>
  <c r="V107" i="16" s="1"/>
  <c r="M106" i="14"/>
  <c r="U106" i="14" s="1"/>
  <c r="V106" i="14" s="1"/>
  <c r="M106" i="17"/>
  <c r="U106" i="17" s="1"/>
  <c r="V106" i="17" s="1"/>
  <c r="M106" i="15"/>
  <c r="U106" i="15" s="1"/>
  <c r="V106" i="15" s="1"/>
  <c r="M106" i="13"/>
  <c r="U106" i="13" s="1"/>
  <c r="V106" i="13" s="1"/>
  <c r="M106" i="12"/>
  <c r="U106" i="12" s="1"/>
  <c r="V106" i="12" s="1"/>
  <c r="M108" i="11"/>
  <c r="U108" i="11" s="1"/>
  <c r="V108" i="11" s="1"/>
  <c r="M107" i="17"/>
  <c r="U107" i="17" s="1"/>
  <c r="V107" i="17" s="1"/>
  <c r="M108" i="16"/>
  <c r="U108" i="16" s="1"/>
  <c r="V108" i="16" s="1"/>
  <c r="M107" i="13"/>
  <c r="U107" i="13" s="1"/>
  <c r="V107" i="13" s="1"/>
  <c r="M107" i="12"/>
  <c r="U107" i="12" s="1"/>
  <c r="V107" i="12" s="1"/>
  <c r="M109" i="11"/>
  <c r="U109" i="11" s="1"/>
  <c r="V109" i="11" s="1"/>
  <c r="Y109" i="11" s="1"/>
  <c r="M107" i="14"/>
  <c r="U107" i="14" s="1"/>
  <c r="V107" i="14" s="1"/>
  <c r="M107" i="15"/>
  <c r="U107" i="15" s="1"/>
  <c r="V107" i="15" s="1"/>
  <c r="M108" i="17"/>
  <c r="U108" i="17" s="1"/>
  <c r="V108" i="17" s="1"/>
  <c r="M108" i="14"/>
  <c r="U108" i="14" s="1"/>
  <c r="V108" i="14" s="1"/>
  <c r="M108" i="15"/>
  <c r="U108" i="15" s="1"/>
  <c r="V108" i="15" s="1"/>
  <c r="M108" i="12"/>
  <c r="U108" i="12" s="1"/>
  <c r="V108" i="12" s="1"/>
  <c r="M109" i="16"/>
  <c r="U109" i="16" s="1"/>
  <c r="V109" i="16" s="1"/>
  <c r="Y109" i="16" s="1"/>
  <c r="M108" i="13"/>
  <c r="U108" i="13" s="1"/>
  <c r="V108" i="13" s="1"/>
  <c r="Y108" i="13" s="1"/>
  <c r="M109" i="13"/>
  <c r="U109" i="13" s="1"/>
  <c r="V109" i="13" s="1"/>
  <c r="Y109" i="13" s="1"/>
  <c r="M109" i="12"/>
  <c r="U109" i="12" s="1"/>
  <c r="V109" i="12" s="1"/>
  <c r="Y109" i="12" s="1"/>
  <c r="M109" i="14"/>
  <c r="U109" i="14" s="1"/>
  <c r="V109" i="14" s="1"/>
  <c r="Y109" i="14" s="1"/>
  <c r="M109" i="17"/>
  <c r="U109" i="17" s="1"/>
  <c r="V109" i="17" s="1"/>
  <c r="Y109" i="17" s="1"/>
  <c r="M109" i="15"/>
  <c r="U109" i="15" s="1"/>
  <c r="V109" i="15" s="1"/>
  <c r="Y109" i="15" s="1"/>
  <c r="I96" i="10"/>
  <c r="P96" i="15" s="1"/>
  <c r="Q96" i="15" s="1"/>
  <c r="I91" i="10"/>
  <c r="P91" i="12" s="1"/>
  <c r="Q91" i="12" s="1"/>
  <c r="P109" i="16"/>
  <c r="Q109" i="16" s="1"/>
  <c r="X109" i="16" s="1"/>
  <c r="P109" i="11"/>
  <c r="Q109" i="11" s="1"/>
  <c r="X109" i="11" s="1"/>
  <c r="P109" i="17"/>
  <c r="Q109" i="17" s="1"/>
  <c r="X109" i="17" s="1"/>
  <c r="P109" i="14"/>
  <c r="Q109" i="14" s="1"/>
  <c r="X109" i="14" s="1"/>
  <c r="P109" i="13"/>
  <c r="Q109" i="13" s="1"/>
  <c r="X109" i="13" s="1"/>
  <c r="P109" i="12"/>
  <c r="Q109" i="12" s="1"/>
  <c r="X109" i="12" s="1"/>
  <c r="P109" i="15"/>
  <c r="Q109" i="15" s="1"/>
  <c r="X109" i="15" s="1"/>
  <c r="I108" i="10"/>
  <c r="I86" i="10"/>
  <c r="P86" i="15" s="1"/>
  <c r="Q86" i="15" s="1"/>
  <c r="I101" i="10"/>
  <c r="P101" i="12" s="1"/>
  <c r="Q101" i="12" s="1"/>
  <c r="I73" i="10"/>
  <c r="P73" i="11" s="1"/>
  <c r="Q73" i="11" s="1"/>
  <c r="P107" i="16"/>
  <c r="Q107" i="16" s="1"/>
  <c r="P107" i="11"/>
  <c r="Q107" i="11" s="1"/>
  <c r="P107" i="14"/>
  <c r="Q107" i="14" s="1"/>
  <c r="P107" i="17"/>
  <c r="Q107" i="17" s="1"/>
  <c r="P107" i="13"/>
  <c r="Q107" i="13" s="1"/>
  <c r="P107" i="12"/>
  <c r="Q107" i="12" s="1"/>
  <c r="P107" i="15"/>
  <c r="Q107" i="15" s="1"/>
  <c r="I13" i="10"/>
  <c r="P13" i="16" s="1"/>
  <c r="Q13" i="16" s="1"/>
  <c r="I21" i="10"/>
  <c r="P21" i="17" s="1"/>
  <c r="Q21" i="17" s="1"/>
  <c r="I29" i="10"/>
  <c r="P29" i="12" s="1"/>
  <c r="Q29" i="12" s="1"/>
  <c r="I37" i="10"/>
  <c r="P37" i="16" s="1"/>
  <c r="Q37" i="16" s="1"/>
  <c r="I45" i="10"/>
  <c r="P45" i="15" s="1"/>
  <c r="Q45" i="15" s="1"/>
  <c r="I53" i="10"/>
  <c r="P53" i="16" s="1"/>
  <c r="Q53" i="16" s="1"/>
  <c r="I61" i="10"/>
  <c r="P61" i="14" s="1"/>
  <c r="Q61" i="14" s="1"/>
  <c r="I69" i="10"/>
  <c r="P69" i="17" s="1"/>
  <c r="Q69" i="17" s="1"/>
  <c r="I103" i="10"/>
  <c r="P103" i="12" s="1"/>
  <c r="Q103" i="12" s="1"/>
  <c r="I79" i="10"/>
  <c r="P79" i="14" s="1"/>
  <c r="Q79" i="14" s="1"/>
  <c r="I82" i="10"/>
  <c r="P82" i="14" s="1"/>
  <c r="Q82" i="14" s="1"/>
  <c r="I76" i="10"/>
  <c r="P76" i="14" s="1"/>
  <c r="Q76" i="14" s="1"/>
  <c r="I106" i="10"/>
  <c r="I94" i="10"/>
  <c r="I89" i="10"/>
  <c r="I11" i="10"/>
  <c r="I19" i="10"/>
  <c r="I27" i="10"/>
  <c r="I35" i="10"/>
  <c r="I43" i="10"/>
  <c r="I51" i="10"/>
  <c r="I59" i="10"/>
  <c r="I67" i="10"/>
  <c r="I100" i="10"/>
  <c r="I77" i="10"/>
  <c r="P105" i="11"/>
  <c r="Q105" i="11" s="1"/>
  <c r="P105" i="16"/>
  <c r="Q105" i="16" s="1"/>
  <c r="P105" i="14"/>
  <c r="Q105" i="14" s="1"/>
  <c r="P105" i="17"/>
  <c r="Q105" i="17" s="1"/>
  <c r="P105" i="13"/>
  <c r="Q105" i="13" s="1"/>
  <c r="P105" i="12"/>
  <c r="Q105" i="12" s="1"/>
  <c r="P105" i="15"/>
  <c r="Q105" i="15" s="1"/>
  <c r="I104" i="10"/>
  <c r="H7" i="10"/>
  <c r="I7" i="10" s="1"/>
  <c r="C20" i="20"/>
  <c r="I93" i="10"/>
  <c r="I92" i="10"/>
  <c r="P8" i="16"/>
  <c r="Q8" i="16" s="1"/>
  <c r="P8" i="13"/>
  <c r="Q8" i="13" s="1"/>
  <c r="P8" i="11"/>
  <c r="Q8" i="11" s="1"/>
  <c r="P8" i="15"/>
  <c r="Q8" i="15" s="1"/>
  <c r="P8" i="17"/>
  <c r="Q8" i="17" s="1"/>
  <c r="P8" i="14"/>
  <c r="Q8" i="14" s="1"/>
  <c r="P8" i="12"/>
  <c r="Q8" i="12" s="1"/>
  <c r="P16" i="15"/>
  <c r="Q16" i="15" s="1"/>
  <c r="P16" i="14"/>
  <c r="Q16" i="14" s="1"/>
  <c r="P16" i="11"/>
  <c r="Q16" i="11" s="1"/>
  <c r="P16" i="17"/>
  <c r="Q16" i="17" s="1"/>
  <c r="P16" i="13"/>
  <c r="Q16" i="13" s="1"/>
  <c r="P16" i="16"/>
  <c r="Q16" i="16" s="1"/>
  <c r="P16" i="12"/>
  <c r="Q16" i="12" s="1"/>
  <c r="P24" i="11"/>
  <c r="Q24" i="11" s="1"/>
  <c r="P24" i="16"/>
  <c r="Q24" i="16" s="1"/>
  <c r="P24" i="15"/>
  <c r="Q24" i="15" s="1"/>
  <c r="P24" i="12"/>
  <c r="Q24" i="12" s="1"/>
  <c r="P24" i="17"/>
  <c r="Q24" i="17" s="1"/>
  <c r="P24" i="14"/>
  <c r="Q24" i="14" s="1"/>
  <c r="P24" i="13"/>
  <c r="Q24" i="13" s="1"/>
  <c r="P32" i="16"/>
  <c r="Q32" i="16" s="1"/>
  <c r="P32" i="11"/>
  <c r="Q32" i="11" s="1"/>
  <c r="P32" i="12"/>
  <c r="Q32" i="12" s="1"/>
  <c r="P32" i="14"/>
  <c r="Q32" i="14" s="1"/>
  <c r="P32" i="17"/>
  <c r="Q32" i="17" s="1"/>
  <c r="P32" i="15"/>
  <c r="Q32" i="15" s="1"/>
  <c r="P32" i="13"/>
  <c r="Q32" i="13" s="1"/>
  <c r="P40" i="16"/>
  <c r="Q40" i="16" s="1"/>
  <c r="P40" i="11"/>
  <c r="Q40" i="11" s="1"/>
  <c r="P40" i="12"/>
  <c r="Q40" i="12" s="1"/>
  <c r="P40" i="14"/>
  <c r="Q40" i="14" s="1"/>
  <c r="P40" i="15"/>
  <c r="Q40" i="15" s="1"/>
  <c r="P40" i="17"/>
  <c r="Q40" i="17" s="1"/>
  <c r="P40" i="13"/>
  <c r="Q40" i="13" s="1"/>
  <c r="P48" i="16"/>
  <c r="Q48" i="16" s="1"/>
  <c r="P48" i="11"/>
  <c r="Q48" i="11" s="1"/>
  <c r="P48" i="12"/>
  <c r="Q48" i="12" s="1"/>
  <c r="P48" i="14"/>
  <c r="Q48" i="14" s="1"/>
  <c r="P48" i="15"/>
  <c r="Q48" i="15" s="1"/>
  <c r="P48" i="17"/>
  <c r="Q48" i="17" s="1"/>
  <c r="P48" i="13"/>
  <c r="Q48" i="13" s="1"/>
  <c r="P56" i="16"/>
  <c r="Q56" i="16" s="1"/>
  <c r="P56" i="11"/>
  <c r="Q56" i="11" s="1"/>
  <c r="P56" i="14"/>
  <c r="Q56" i="14" s="1"/>
  <c r="P56" i="12"/>
  <c r="Q56" i="12" s="1"/>
  <c r="P56" i="15"/>
  <c r="Q56" i="15" s="1"/>
  <c r="P56" i="17"/>
  <c r="Q56" i="17" s="1"/>
  <c r="P56" i="13"/>
  <c r="Q56" i="13" s="1"/>
  <c r="I72" i="10"/>
  <c r="I78" i="10"/>
  <c r="I102" i="10"/>
  <c r="I75" i="10"/>
  <c r="I98" i="10"/>
  <c r="N89" i="17"/>
  <c r="N95" i="17"/>
  <c r="N86" i="17"/>
  <c r="N101" i="17"/>
  <c r="N71" i="17"/>
  <c r="N33" i="17"/>
  <c r="N75" i="17"/>
  <c r="N48" i="17"/>
  <c r="N38" i="17"/>
  <c r="N50" i="17"/>
  <c r="N19" i="17"/>
  <c r="N34" i="17"/>
  <c r="N101" i="16"/>
  <c r="N86" i="16"/>
  <c r="N106" i="16"/>
  <c r="N21" i="17"/>
  <c r="N66" i="17"/>
  <c r="N79" i="16"/>
  <c r="N110" i="17"/>
  <c r="N109" i="17"/>
  <c r="N78" i="17"/>
  <c r="N64" i="17"/>
  <c r="N80" i="17"/>
  <c r="N25" i="17"/>
  <c r="N51" i="17"/>
  <c r="N37" i="17"/>
  <c r="N15" i="17"/>
  <c r="N32" i="17"/>
  <c r="N107" i="16"/>
  <c r="N13" i="17"/>
  <c r="N98" i="16"/>
  <c r="N14" i="17"/>
  <c r="N100" i="16"/>
  <c r="N97" i="16"/>
  <c r="N35" i="17"/>
  <c r="N68" i="16"/>
  <c r="N89" i="15"/>
  <c r="N43" i="16"/>
  <c r="N102" i="15"/>
  <c r="N21" i="16"/>
  <c r="N83" i="16"/>
  <c r="N9" i="16"/>
  <c r="N86" i="15"/>
  <c r="N35" i="15"/>
  <c r="N98" i="15"/>
  <c r="N71" i="16"/>
  <c r="N61" i="15"/>
  <c r="N35" i="16"/>
  <c r="N73" i="15"/>
  <c r="N63" i="15"/>
  <c r="N92" i="14"/>
  <c r="N25" i="15"/>
  <c r="N49" i="14"/>
  <c r="N102" i="14"/>
  <c r="N46" i="15"/>
  <c r="N42" i="16"/>
  <c r="N55" i="15"/>
  <c r="N12" i="15"/>
  <c r="N47" i="14"/>
  <c r="N74" i="13"/>
  <c r="N102" i="17"/>
  <c r="N93" i="17"/>
  <c r="N100" i="17"/>
  <c r="N88" i="17"/>
  <c r="N67" i="17"/>
  <c r="N70" i="17"/>
  <c r="N43" i="17"/>
  <c r="N36" i="17"/>
  <c r="N7" i="17"/>
  <c r="N31" i="17"/>
  <c r="N96" i="16"/>
  <c r="N93" i="16"/>
  <c r="N40" i="17"/>
  <c r="N102" i="16"/>
  <c r="N69" i="16"/>
  <c r="N74" i="16"/>
  <c r="N110" i="16"/>
  <c r="N39" i="16"/>
  <c r="N81" i="15"/>
  <c r="N41" i="16"/>
  <c r="N94" i="15"/>
  <c r="N13" i="16"/>
  <c r="N82" i="16"/>
  <c r="N103" i="15"/>
  <c r="N85" i="15"/>
  <c r="N27" i="15"/>
  <c r="N91" i="15"/>
  <c r="N51" i="16"/>
  <c r="N53" i="15"/>
  <c r="N30" i="16"/>
  <c r="N94" i="17"/>
  <c r="N81" i="17"/>
  <c r="N83" i="17"/>
  <c r="N104" i="17"/>
  <c r="N57" i="17"/>
  <c r="N69" i="17"/>
  <c r="N59" i="17"/>
  <c r="N18" i="17"/>
  <c r="N109" i="16"/>
  <c r="N16" i="17"/>
  <c r="N88" i="16"/>
  <c r="N85" i="16"/>
  <c r="N53" i="17"/>
  <c r="N87" i="16"/>
  <c r="N61" i="16"/>
  <c r="N73" i="16"/>
  <c r="N81" i="16"/>
  <c r="N38" i="16"/>
  <c r="N27" i="17"/>
  <c r="N40" i="16"/>
  <c r="N99" i="16"/>
  <c r="N107" i="15"/>
  <c r="N78" i="16"/>
  <c r="N95" i="15"/>
  <c r="N84" i="15"/>
  <c r="N19" i="15"/>
  <c r="N72" i="15"/>
  <c r="N47" i="16"/>
  <c r="N45" i="15"/>
  <c r="N14" i="16"/>
  <c r="N57" i="15"/>
  <c r="N31" i="15"/>
  <c r="N106" i="15"/>
  <c r="N97" i="14"/>
  <c r="N82" i="15"/>
  <c r="N86" i="14"/>
  <c r="N18" i="15"/>
  <c r="N107" i="17"/>
  <c r="N73" i="17"/>
  <c r="N98" i="17"/>
  <c r="N72" i="17"/>
  <c r="N96" i="17"/>
  <c r="N54" i="17"/>
  <c r="N58" i="17"/>
  <c r="N10" i="17"/>
  <c r="N42" i="17"/>
  <c r="N8" i="17"/>
  <c r="N80" i="16"/>
  <c r="N61" i="17"/>
  <c r="N24" i="17"/>
  <c r="N64" i="16"/>
  <c r="N53" i="16"/>
  <c r="N66" i="16"/>
  <c r="N70" i="16"/>
  <c r="N27" i="16"/>
  <c r="N11" i="17"/>
  <c r="N32" i="16"/>
  <c r="N89" i="16"/>
  <c r="N99" i="15"/>
  <c r="N67" i="16"/>
  <c r="N77" i="16"/>
  <c r="N75" i="15"/>
  <c r="N11" i="15"/>
  <c r="N64" i="15"/>
  <c r="N36" i="16"/>
  <c r="N37" i="15"/>
  <c r="N99" i="17"/>
  <c r="N65" i="17"/>
  <c r="N87" i="17"/>
  <c r="N108" i="17"/>
  <c r="N63" i="17"/>
  <c r="N46" i="17"/>
  <c r="N55" i="17"/>
  <c r="N104" i="16"/>
  <c r="N20" i="17"/>
  <c r="N79" i="17"/>
  <c r="N72" i="16"/>
  <c r="N52" i="17"/>
  <c r="N9" i="17"/>
  <c r="N56" i="16"/>
  <c r="N45" i="16"/>
  <c r="N58" i="16"/>
  <c r="N62" i="16"/>
  <c r="N19" i="16"/>
  <c r="N92" i="16"/>
  <c r="N24" i="16"/>
  <c r="N59" i="16"/>
  <c r="N84" i="16"/>
  <c r="N34" i="16"/>
  <c r="N44" i="16"/>
  <c r="N67" i="15"/>
  <c r="N105" i="16"/>
  <c r="N56" i="15"/>
  <c r="N22" i="16"/>
  <c r="N29" i="15"/>
  <c r="N105" i="17"/>
  <c r="N91" i="17"/>
  <c r="N106" i="17"/>
  <c r="N92" i="17"/>
  <c r="N84" i="17"/>
  <c r="N49" i="17"/>
  <c r="N82" i="17"/>
  <c r="N47" i="17"/>
  <c r="N74" i="17"/>
  <c r="N12" i="17"/>
  <c r="N30" i="17"/>
  <c r="N60" i="17"/>
  <c r="N23" i="17"/>
  <c r="N108" i="16"/>
  <c r="N48" i="16"/>
  <c r="N37" i="16"/>
  <c r="N26" i="17"/>
  <c r="N54" i="16"/>
  <c r="N11" i="16"/>
  <c r="N91" i="16"/>
  <c r="N16" i="16"/>
  <c r="N52" i="16"/>
  <c r="N76" i="16"/>
  <c r="N33" i="16"/>
  <c r="N31" i="16"/>
  <c r="N59" i="15"/>
  <c r="N57" i="16"/>
  <c r="N48" i="15"/>
  <c r="N108" i="15"/>
  <c r="N75" i="16"/>
  <c r="N88" i="15"/>
  <c r="N33" i="15"/>
  <c r="N22" i="15"/>
  <c r="N60" i="15"/>
  <c r="N73" i="14"/>
  <c r="N38" i="15"/>
  <c r="N104" i="15"/>
  <c r="N98" i="14"/>
  <c r="N97" i="17"/>
  <c r="N103" i="17"/>
  <c r="N90" i="17"/>
  <c r="N85" i="17"/>
  <c r="N77" i="17"/>
  <c r="N41" i="17"/>
  <c r="N76" i="17"/>
  <c r="N39" i="17"/>
  <c r="N45" i="17"/>
  <c r="N56" i="17"/>
  <c r="N28" i="17"/>
  <c r="N44" i="17"/>
  <c r="N17" i="17"/>
  <c r="N94" i="16"/>
  <c r="N29" i="17"/>
  <c r="N62" i="17"/>
  <c r="N22" i="17"/>
  <c r="N103" i="16"/>
  <c r="N105" i="15"/>
  <c r="N90" i="16"/>
  <c r="N8" i="16"/>
  <c r="N50" i="16"/>
  <c r="N63" i="16"/>
  <c r="N25" i="16"/>
  <c r="N15" i="16"/>
  <c r="N51" i="15"/>
  <c r="N28" i="16"/>
  <c r="N40" i="15"/>
  <c r="N92" i="15"/>
  <c r="N55" i="16"/>
  <c r="N80" i="15"/>
  <c r="N46" i="16"/>
  <c r="N108" i="14"/>
  <c r="N44" i="15"/>
  <c r="N65" i="14"/>
  <c r="N8" i="15"/>
  <c r="N83" i="15"/>
  <c r="N90" i="14"/>
  <c r="N26" i="16"/>
  <c r="N7" i="16"/>
  <c r="N68" i="14"/>
  <c r="N90" i="13"/>
  <c r="N71" i="15"/>
  <c r="N33" i="14"/>
  <c r="N71" i="13"/>
  <c r="N54" i="14"/>
  <c r="N92" i="13"/>
  <c r="N50" i="15"/>
  <c r="N13" i="15"/>
  <c r="N34" i="14"/>
  <c r="N72" i="13"/>
  <c r="N38" i="14"/>
  <c r="N91" i="14"/>
  <c r="N40" i="13"/>
  <c r="N72" i="12"/>
  <c r="N85" i="14"/>
  <c r="N70" i="13"/>
  <c r="N109" i="12"/>
  <c r="N21" i="14"/>
  <c r="N28" i="13"/>
  <c r="N77" i="14"/>
  <c r="N99" i="13"/>
  <c r="N8" i="13"/>
  <c r="N85" i="13"/>
  <c r="N98" i="12"/>
  <c r="N22" i="12"/>
  <c r="N70" i="11"/>
  <c r="N67" i="13"/>
  <c r="N68" i="12"/>
  <c r="N99" i="11"/>
  <c r="N86" i="13"/>
  <c r="N49" i="12"/>
  <c r="N88" i="11"/>
  <c r="N56" i="13"/>
  <c r="N60" i="12"/>
  <c r="N84" i="11"/>
  <c r="N90" i="12"/>
  <c r="N44" i="11"/>
  <c r="N105" i="12"/>
  <c r="N58" i="11"/>
  <c r="N103" i="11"/>
  <c r="N13" i="13"/>
  <c r="N55" i="12"/>
  <c r="N110" i="15"/>
  <c r="N69" i="15"/>
  <c r="N93" i="15"/>
  <c r="N28" i="15"/>
  <c r="N7" i="15"/>
  <c r="N60" i="16"/>
  <c r="N96" i="15"/>
  <c r="N70" i="14"/>
  <c r="N82" i="13"/>
  <c r="N84" i="14"/>
  <c r="N103" i="13"/>
  <c r="N79" i="14"/>
  <c r="N108" i="13"/>
  <c r="N52" i="15"/>
  <c r="N110" i="14"/>
  <c r="N18" i="14"/>
  <c r="N27" i="14"/>
  <c r="N80" i="14"/>
  <c r="N59" i="13"/>
  <c r="N88" i="12"/>
  <c r="N9" i="15"/>
  <c r="N55" i="13"/>
  <c r="N93" i="12"/>
  <c r="N75" i="13"/>
  <c r="N35" i="14"/>
  <c r="N16" i="14"/>
  <c r="N24" i="13"/>
  <c r="N40" i="14"/>
  <c r="N81" i="12"/>
  <c r="N8" i="12"/>
  <c r="N46" i="11"/>
  <c r="N106" i="12"/>
  <c r="N25" i="12"/>
  <c r="N51" i="11"/>
  <c r="N50" i="12"/>
  <c r="N80" i="11"/>
  <c r="N27" i="13"/>
  <c r="N38" i="12"/>
  <c r="N52" i="11"/>
  <c r="N109" i="11"/>
  <c r="N7" i="11"/>
  <c r="N74" i="11"/>
  <c r="N87" i="11"/>
  <c r="N109" i="13"/>
  <c r="N95" i="11"/>
  <c r="N29" i="11"/>
  <c r="N36" i="11"/>
  <c r="N38" i="13"/>
  <c r="N100" i="12"/>
  <c r="N57" i="12"/>
  <c r="N81" i="11"/>
  <c r="N27" i="11"/>
  <c r="N32" i="11"/>
  <c r="J11" i="10"/>
  <c r="N29" i="16"/>
  <c r="N49" i="16"/>
  <c r="N47" i="15"/>
  <c r="N105" i="14"/>
  <c r="N94" i="14"/>
  <c r="N66" i="15"/>
  <c r="N58" i="15"/>
  <c r="N69" i="14"/>
  <c r="N66" i="13"/>
  <c r="N72" i="14"/>
  <c r="N95" i="13"/>
  <c r="N75" i="14"/>
  <c r="N14" i="15"/>
  <c r="N95" i="16"/>
  <c r="N79" i="15"/>
  <c r="N78" i="15"/>
  <c r="N78" i="14"/>
  <c r="N95" i="14"/>
  <c r="N103" i="14"/>
  <c r="N58" i="13"/>
  <c r="N50" i="14"/>
  <c r="N96" i="14"/>
  <c r="N100" i="13"/>
  <c r="N104" i="14"/>
  <c r="N63" i="14"/>
  <c r="N80" i="13"/>
  <c r="N61" i="14"/>
  <c r="N61" i="13"/>
  <c r="N80" i="12"/>
  <c r="N19" i="14"/>
  <c r="N31" i="13"/>
  <c r="N37" i="14"/>
  <c r="N20" i="13"/>
  <c r="N29" i="14"/>
  <c r="N32" i="13"/>
  <c r="N69" i="13"/>
  <c r="N65" i="12"/>
  <c r="N94" i="11"/>
  <c r="N73" i="13"/>
  <c r="N47" i="12"/>
  <c r="N67" i="11"/>
  <c r="N70" i="12"/>
  <c r="N72" i="11"/>
  <c r="N92" i="12"/>
  <c r="N100" i="11"/>
  <c r="N63" i="12"/>
  <c r="N39" i="11"/>
  <c r="N106" i="11"/>
  <c r="N33" i="12"/>
  <c r="N14" i="13"/>
  <c r="N61" i="11"/>
  <c r="N29" i="13"/>
  <c r="N30" i="12"/>
  <c r="N64" i="11"/>
  <c r="N31" i="11"/>
  <c r="N35" i="12"/>
  <c r="N11" i="11"/>
  <c r="N8" i="11"/>
  <c r="N17" i="16"/>
  <c r="N65" i="15"/>
  <c r="N76" i="15"/>
  <c r="N18" i="16"/>
  <c r="N88" i="14"/>
  <c r="N101" i="14"/>
  <c r="N50" i="13"/>
  <c r="N25" i="14"/>
  <c r="N83" i="14"/>
  <c r="N84" i="13"/>
  <c r="N42" i="15"/>
  <c r="N43" i="14"/>
  <c r="N76" i="14"/>
  <c r="N36" i="15"/>
  <c r="N57" i="13"/>
  <c r="N64" i="12"/>
  <c r="N15" i="14"/>
  <c r="N23" i="13"/>
  <c r="N32" i="14"/>
  <c r="N66" i="14"/>
  <c r="N16" i="13"/>
  <c r="N62" i="13"/>
  <c r="N45" i="12"/>
  <c r="N86" i="11"/>
  <c r="N51" i="13"/>
  <c r="N46" i="12"/>
  <c r="N59" i="11"/>
  <c r="N29" i="12"/>
  <c r="N93" i="13"/>
  <c r="N83" i="12"/>
  <c r="N49" i="11"/>
  <c r="N66" i="11"/>
  <c r="N22" i="11"/>
  <c r="N105" i="11"/>
  <c r="N45" i="11"/>
  <c r="N51" i="12"/>
  <c r="N10" i="11"/>
  <c r="N61" i="12"/>
  <c r="N19" i="12"/>
  <c r="N30" i="13"/>
  <c r="N20" i="11"/>
  <c r="N56" i="11"/>
  <c r="N21" i="13"/>
  <c r="N35" i="11"/>
  <c r="N9" i="12"/>
  <c r="N16" i="11"/>
  <c r="N93" i="11"/>
  <c r="N73" i="12"/>
  <c r="N12" i="11"/>
  <c r="N97" i="11"/>
  <c r="N69" i="11"/>
  <c r="N12" i="13"/>
  <c r="N92" i="11"/>
  <c r="N42" i="12"/>
  <c r="N23" i="11"/>
  <c r="N90" i="11"/>
  <c r="N71" i="11"/>
  <c r="N63" i="13"/>
  <c r="N50" i="11"/>
  <c r="N74" i="12"/>
  <c r="N98" i="11"/>
  <c r="N47" i="11"/>
  <c r="N75" i="12"/>
  <c r="N95" i="12"/>
  <c r="N14" i="11"/>
  <c r="N15" i="13"/>
  <c r="N107" i="13"/>
  <c r="N58" i="14"/>
  <c r="N49" i="13"/>
  <c r="N41" i="12"/>
  <c r="N73" i="11"/>
  <c r="N62" i="12"/>
  <c r="N53" i="11"/>
  <c r="J8" i="10"/>
  <c r="J9" i="10"/>
  <c r="N101" i="15"/>
  <c r="N49" i="15"/>
  <c r="N89" i="14"/>
  <c r="N62" i="15"/>
  <c r="N109" i="15"/>
  <c r="N48" i="14"/>
  <c r="N42" i="13"/>
  <c r="N17" i="14"/>
  <c r="N74" i="14"/>
  <c r="N76" i="13"/>
  <c r="N23" i="16"/>
  <c r="N42" i="14"/>
  <c r="N55" i="14"/>
  <c r="N67" i="14"/>
  <c r="N41" i="13"/>
  <c r="N56" i="12"/>
  <c r="N13" i="14"/>
  <c r="N56" i="14"/>
  <c r="N110" i="12"/>
  <c r="N44" i="12"/>
  <c r="N78" i="11"/>
  <c r="N22" i="13"/>
  <c r="N26" i="12"/>
  <c r="N43" i="11"/>
  <c r="N28" i="12"/>
  <c r="N101" i="13"/>
  <c r="N82" i="12"/>
  <c r="N76" i="11"/>
  <c r="N21" i="12"/>
  <c r="N15" i="11"/>
  <c r="N28" i="11"/>
  <c r="N57" i="11"/>
  <c r="N37" i="13"/>
  <c r="N48" i="11"/>
  <c r="N36" i="12"/>
  <c r="N64" i="13"/>
  <c r="N68" i="11"/>
  <c r="N25" i="11"/>
  <c r="N76" i="12"/>
  <c r="N34" i="11"/>
  <c r="N89" i="11"/>
  <c r="N37" i="12"/>
  <c r="N37" i="11"/>
  <c r="N15" i="12"/>
  <c r="N43" i="15"/>
  <c r="N41" i="15"/>
  <c r="N81" i="14"/>
  <c r="N30" i="15"/>
  <c r="N68" i="17"/>
  <c r="N28" i="14"/>
  <c r="N34" i="13"/>
  <c r="N9" i="14"/>
  <c r="N53" i="14"/>
  <c r="N68" i="13"/>
  <c r="N74" i="15"/>
  <c r="N26" i="14"/>
  <c r="N11" i="14"/>
  <c r="N46" i="14"/>
  <c r="N26" i="13"/>
  <c r="N48" i="12"/>
  <c r="N110" i="13"/>
  <c r="N7" i="13"/>
  <c r="N91" i="13"/>
  <c r="N23" i="14"/>
  <c r="N24" i="14"/>
  <c r="N102" i="12"/>
  <c r="N25" i="13"/>
  <c r="N43" i="12"/>
  <c r="N62" i="11"/>
  <c r="N107" i="12"/>
  <c r="N13" i="12"/>
  <c r="N54" i="13"/>
  <c r="N27" i="12"/>
  <c r="N59" i="12"/>
  <c r="N60" i="11"/>
  <c r="N11" i="12"/>
  <c r="N12" i="16"/>
  <c r="N24" i="15"/>
  <c r="N57" i="14"/>
  <c r="N17" i="15"/>
  <c r="N10" i="16"/>
  <c r="N20" i="14"/>
  <c r="N26" i="15"/>
  <c r="N87" i="13"/>
  <c r="N52" i="14"/>
  <c r="N60" i="13"/>
  <c r="N20" i="15"/>
  <c r="N10" i="14"/>
  <c r="N7" i="14"/>
  <c r="N44" i="14"/>
  <c r="N18" i="13"/>
  <c r="N40" i="12"/>
  <c r="N94" i="13"/>
  <c r="N101" i="12"/>
  <c r="N53" i="13"/>
  <c r="N8" i="14"/>
  <c r="N83" i="13"/>
  <c r="N94" i="12"/>
  <c r="N9" i="13"/>
  <c r="N23" i="12"/>
  <c r="N54" i="11"/>
  <c r="N89" i="12"/>
  <c r="N107" i="11"/>
  <c r="N19" i="13"/>
  <c r="N18" i="12"/>
  <c r="N89" i="13"/>
  <c r="N20" i="12"/>
  <c r="N32" i="15"/>
  <c r="N23" i="15"/>
  <c r="N41" i="14"/>
  <c r="N106" i="14"/>
  <c r="N77" i="15"/>
  <c r="N12" i="14"/>
  <c r="N109" i="14"/>
  <c r="N79" i="13"/>
  <c r="N30" i="14"/>
  <c r="N52" i="13"/>
  <c r="N99" i="14"/>
  <c r="N104" i="13"/>
  <c r="N82" i="14"/>
  <c r="N60" i="14"/>
  <c r="N10" i="13"/>
  <c r="N32" i="12"/>
  <c r="N78" i="13"/>
  <c r="N85" i="12"/>
  <c r="N47" i="13"/>
  <c r="N16" i="15"/>
  <c r="N65" i="13"/>
  <c r="N86" i="12"/>
  <c r="N108" i="12"/>
  <c r="N16" i="12"/>
  <c r="N38" i="11"/>
  <c r="N79" i="12"/>
  <c r="N91" i="11"/>
  <c r="N97" i="12"/>
  <c r="N10" i="12"/>
  <c r="N102" i="13"/>
  <c r="N39" i="12"/>
  <c r="N77" i="13"/>
  <c r="N77" i="11"/>
  <c r="N52" i="12"/>
  <c r="N39" i="13"/>
  <c r="N17" i="11"/>
  <c r="N34" i="12"/>
  <c r="N33" i="11"/>
  <c r="N18" i="11"/>
  <c r="N17" i="12"/>
  <c r="N85" i="11"/>
  <c r="N26" i="11"/>
  <c r="N101" i="11"/>
  <c r="N82" i="11"/>
  <c r="J10" i="10"/>
  <c r="N12" i="12"/>
  <c r="N21" i="11"/>
  <c r="C70" i="8"/>
  <c r="N19" i="11"/>
  <c r="N84" i="12"/>
  <c r="N41" i="11"/>
  <c r="N97" i="15"/>
  <c r="N100" i="15"/>
  <c r="N100" i="14"/>
  <c r="N70" i="15"/>
  <c r="N34" i="15"/>
  <c r="N87" i="15"/>
  <c r="N106" i="13"/>
  <c r="N71" i="14"/>
  <c r="N39" i="15"/>
  <c r="N22" i="14"/>
  <c r="N68" i="15"/>
  <c r="N93" i="14"/>
  <c r="N96" i="13"/>
  <c r="N59" i="14"/>
  <c r="N97" i="13"/>
  <c r="N104" i="12"/>
  <c r="N24" i="12"/>
  <c r="N44" i="13"/>
  <c r="N77" i="12"/>
  <c r="N46" i="13"/>
  <c r="N62" i="14"/>
  <c r="N36" i="13"/>
  <c r="N78" i="12"/>
  <c r="N99" i="12"/>
  <c r="N110" i="11"/>
  <c r="N30" i="11"/>
  <c r="N69" i="12"/>
  <c r="N83" i="11"/>
  <c r="N87" i="12"/>
  <c r="N104" i="11"/>
  <c r="N33" i="13"/>
  <c r="N14" i="12"/>
  <c r="N17" i="13"/>
  <c r="N42" i="11"/>
  <c r="N31" i="12"/>
  <c r="N103" i="12"/>
  <c r="N9" i="11"/>
  <c r="N65" i="16"/>
  <c r="N90" i="15"/>
  <c r="N20" i="16"/>
  <c r="N54" i="15"/>
  <c r="N21" i="15"/>
  <c r="N107" i="14"/>
  <c r="N98" i="13"/>
  <c r="N51" i="14"/>
  <c r="N15" i="15"/>
  <c r="N14" i="14"/>
  <c r="N10" i="15"/>
  <c r="N64" i="14"/>
  <c r="N88" i="13"/>
  <c r="N36" i="14"/>
  <c r="N81" i="13"/>
  <c r="N96" i="12"/>
  <c r="N39" i="14"/>
  <c r="N43" i="13"/>
  <c r="N45" i="14"/>
  <c r="N45" i="13"/>
  <c r="N31" i="14"/>
  <c r="N35" i="13"/>
  <c r="N87" i="14"/>
  <c r="N66" i="12"/>
  <c r="N102" i="11"/>
  <c r="N105" i="13"/>
  <c r="N67" i="12"/>
  <c r="N75" i="11"/>
  <c r="N71" i="12"/>
  <c r="N96" i="11"/>
  <c r="N11" i="13"/>
  <c r="N108" i="11"/>
  <c r="N91" i="12"/>
  <c r="N40" i="11"/>
  <c r="N7" i="12"/>
  <c r="N54" i="12"/>
  <c r="N48" i="13"/>
  <c r="N79" i="11"/>
  <c r="N13" i="11"/>
  <c r="N53" i="12"/>
  <c r="N65" i="11"/>
  <c r="N63" i="11"/>
  <c r="N58" i="12"/>
  <c r="N55" i="11"/>
  <c r="N24" i="11"/>
  <c r="P21" i="15"/>
  <c r="Q21" i="15" s="1"/>
  <c r="P21" i="16"/>
  <c r="Q21" i="16" s="1"/>
  <c r="P21" i="14"/>
  <c r="Q21" i="14" s="1"/>
  <c r="P21" i="11"/>
  <c r="Q21" i="11" s="1"/>
  <c r="P45" i="12"/>
  <c r="Q45" i="12" s="1"/>
  <c r="P45" i="11"/>
  <c r="Q45" i="11" s="1"/>
  <c r="P69" i="11"/>
  <c r="Q69" i="11" s="1"/>
  <c r="P69" i="15"/>
  <c r="Q69" i="15" s="1"/>
  <c r="P69" i="13"/>
  <c r="Q69" i="13" s="1"/>
  <c r="P82" i="15"/>
  <c r="Q82" i="15" s="1"/>
  <c r="M23" i="11"/>
  <c r="U23" i="11" s="1"/>
  <c r="V23" i="11" s="1"/>
  <c r="M24" i="11"/>
  <c r="U24" i="11" s="1"/>
  <c r="V24" i="11" s="1"/>
  <c r="M23" i="16"/>
  <c r="U23" i="16" s="1"/>
  <c r="V23" i="16" s="1"/>
  <c r="M24" i="16"/>
  <c r="U24" i="16" s="1"/>
  <c r="V24" i="16" s="1"/>
  <c r="M23" i="12"/>
  <c r="U23" i="12" s="1"/>
  <c r="V23" i="12" s="1"/>
  <c r="M23" i="13"/>
  <c r="U23" i="13" s="1"/>
  <c r="V23" i="13" s="1"/>
  <c r="M23" i="14"/>
  <c r="U23" i="14" s="1"/>
  <c r="V23" i="14" s="1"/>
  <c r="M25" i="11"/>
  <c r="U25" i="11" s="1"/>
  <c r="V25" i="11" s="1"/>
  <c r="M23" i="17"/>
  <c r="U23" i="17" s="1"/>
  <c r="V23" i="17" s="1"/>
  <c r="M23" i="15"/>
  <c r="U23" i="15" s="1"/>
  <c r="V23" i="15" s="1"/>
  <c r="M24" i="17"/>
  <c r="U24" i="17" s="1"/>
  <c r="V24" i="17" s="1"/>
  <c r="M25" i="16"/>
  <c r="U25" i="16" s="1"/>
  <c r="V25" i="16" s="1"/>
  <c r="M24" i="13"/>
  <c r="U24" i="13" s="1"/>
  <c r="V24" i="13" s="1"/>
  <c r="M24" i="12"/>
  <c r="U24" i="12" s="1"/>
  <c r="V24" i="12" s="1"/>
  <c r="M26" i="11"/>
  <c r="U26" i="11" s="1"/>
  <c r="V26" i="11" s="1"/>
  <c r="M24" i="15"/>
  <c r="U24" i="15" s="1"/>
  <c r="V24" i="15" s="1"/>
  <c r="M24" i="14"/>
  <c r="U24" i="14" s="1"/>
  <c r="V24" i="14" s="1"/>
  <c r="M25" i="14"/>
  <c r="U25" i="14" s="1"/>
  <c r="V25" i="14" s="1"/>
  <c r="M26" i="16"/>
  <c r="U26" i="16" s="1"/>
  <c r="V26" i="16" s="1"/>
  <c r="M25" i="15"/>
  <c r="U25" i="15" s="1"/>
  <c r="V25" i="15" s="1"/>
  <c r="M25" i="13"/>
  <c r="U25" i="13" s="1"/>
  <c r="V25" i="13" s="1"/>
  <c r="M25" i="12"/>
  <c r="U25" i="12" s="1"/>
  <c r="V25" i="12" s="1"/>
  <c r="M25" i="17"/>
  <c r="U25" i="17" s="1"/>
  <c r="V25" i="17" s="1"/>
  <c r="M27" i="11"/>
  <c r="U27" i="11" s="1"/>
  <c r="V27" i="11" s="1"/>
  <c r="M26" i="17"/>
  <c r="U26" i="17" s="1"/>
  <c r="V26" i="17" s="1"/>
  <c r="M27" i="16"/>
  <c r="U27" i="16" s="1"/>
  <c r="V27" i="16" s="1"/>
  <c r="M26" i="13"/>
  <c r="U26" i="13" s="1"/>
  <c r="V26" i="13" s="1"/>
  <c r="M28" i="11"/>
  <c r="U28" i="11" s="1"/>
  <c r="V28" i="11" s="1"/>
  <c r="M26" i="14"/>
  <c r="U26" i="14" s="1"/>
  <c r="V26" i="14" s="1"/>
  <c r="M26" i="15"/>
  <c r="U26" i="15" s="1"/>
  <c r="V26" i="15" s="1"/>
  <c r="M26" i="12"/>
  <c r="U26" i="12" s="1"/>
  <c r="V26" i="12" s="1"/>
  <c r="M29" i="11"/>
  <c r="U29" i="11" s="1"/>
  <c r="V29" i="11" s="1"/>
  <c r="M27" i="14"/>
  <c r="U27" i="14" s="1"/>
  <c r="V27" i="14" s="1"/>
  <c r="M28" i="16"/>
  <c r="U28" i="16" s="1"/>
  <c r="V28" i="16" s="1"/>
  <c r="M27" i="12"/>
  <c r="U27" i="12" s="1"/>
  <c r="V27" i="12" s="1"/>
  <c r="M27" i="13"/>
  <c r="U27" i="13" s="1"/>
  <c r="V27" i="13" s="1"/>
  <c r="M27" i="17"/>
  <c r="U27" i="17" s="1"/>
  <c r="V27" i="17" s="1"/>
  <c r="M27" i="15"/>
  <c r="U27" i="15" s="1"/>
  <c r="V27" i="15" s="1"/>
  <c r="M29" i="16"/>
  <c r="U29" i="16" s="1"/>
  <c r="V29" i="16" s="1"/>
  <c r="M30" i="11"/>
  <c r="U30" i="11" s="1"/>
  <c r="V30" i="11" s="1"/>
  <c r="M28" i="17"/>
  <c r="U28" i="17" s="1"/>
  <c r="V28" i="17" s="1"/>
  <c r="M28" i="15"/>
  <c r="U28" i="15" s="1"/>
  <c r="V28" i="15" s="1"/>
  <c r="M28" i="14"/>
  <c r="U28" i="14" s="1"/>
  <c r="V28" i="14" s="1"/>
  <c r="M28" i="12"/>
  <c r="U28" i="12" s="1"/>
  <c r="V28" i="12" s="1"/>
  <c r="M28" i="13"/>
  <c r="U28" i="13" s="1"/>
  <c r="V28" i="13" s="1"/>
  <c r="M29" i="14"/>
  <c r="U29" i="14" s="1"/>
  <c r="V29" i="14" s="1"/>
  <c r="M29" i="12"/>
  <c r="U29" i="12" s="1"/>
  <c r="V29" i="12" s="1"/>
  <c r="M29" i="17"/>
  <c r="U29" i="17" s="1"/>
  <c r="V29" i="17" s="1"/>
  <c r="M31" i="11"/>
  <c r="U31" i="11" s="1"/>
  <c r="V31" i="11" s="1"/>
  <c r="M29" i="13"/>
  <c r="U29" i="13" s="1"/>
  <c r="V29" i="13" s="1"/>
  <c r="M30" i="16"/>
  <c r="U30" i="16" s="1"/>
  <c r="V30" i="16" s="1"/>
  <c r="M29" i="15"/>
  <c r="U29" i="15" s="1"/>
  <c r="V29" i="15" s="1"/>
  <c r="M32" i="11"/>
  <c r="U32" i="11" s="1"/>
  <c r="V32" i="11" s="1"/>
  <c r="M31" i="16"/>
  <c r="U31" i="16" s="1"/>
  <c r="V31" i="16" s="1"/>
  <c r="M30" i="15"/>
  <c r="U30" i="15" s="1"/>
  <c r="V30" i="15" s="1"/>
  <c r="M30" i="12"/>
  <c r="U30" i="12" s="1"/>
  <c r="V30" i="12" s="1"/>
  <c r="M30" i="14"/>
  <c r="U30" i="14" s="1"/>
  <c r="V30" i="14" s="1"/>
  <c r="M30" i="17"/>
  <c r="U30" i="17" s="1"/>
  <c r="V30" i="17" s="1"/>
  <c r="M30" i="13"/>
  <c r="U30" i="13" s="1"/>
  <c r="V30" i="13" s="1"/>
  <c r="M31" i="14"/>
  <c r="U31" i="14" s="1"/>
  <c r="V31" i="14" s="1"/>
  <c r="M31" i="17"/>
  <c r="U31" i="17" s="1"/>
  <c r="V31" i="17" s="1"/>
  <c r="M32" i="16"/>
  <c r="U32" i="16" s="1"/>
  <c r="V32" i="16" s="1"/>
  <c r="M33" i="11"/>
  <c r="U33" i="11" s="1"/>
  <c r="V33" i="11" s="1"/>
  <c r="M31" i="13"/>
  <c r="U31" i="13" s="1"/>
  <c r="V31" i="13" s="1"/>
  <c r="M31" i="12"/>
  <c r="U31" i="12" s="1"/>
  <c r="V31" i="12" s="1"/>
  <c r="M31" i="15"/>
  <c r="U31" i="15" s="1"/>
  <c r="V31" i="15" s="1"/>
  <c r="M32" i="14"/>
  <c r="U32" i="14" s="1"/>
  <c r="V32" i="14" s="1"/>
  <c r="M32" i="12"/>
  <c r="U32" i="12" s="1"/>
  <c r="V32" i="12" s="1"/>
  <c r="M34" i="11"/>
  <c r="U34" i="11" s="1"/>
  <c r="V34" i="11" s="1"/>
  <c r="M32" i="15"/>
  <c r="U32" i="15" s="1"/>
  <c r="V32" i="15" s="1"/>
  <c r="M32" i="13"/>
  <c r="U32" i="13" s="1"/>
  <c r="V32" i="13" s="1"/>
  <c r="M32" i="17"/>
  <c r="U32" i="17" s="1"/>
  <c r="V32" i="17" s="1"/>
  <c r="M33" i="16"/>
  <c r="U33" i="16" s="1"/>
  <c r="V33" i="16" s="1"/>
  <c r="M34" i="16"/>
  <c r="U34" i="16" s="1"/>
  <c r="V34" i="16" s="1"/>
  <c r="M33" i="17"/>
  <c r="U33" i="17" s="1"/>
  <c r="V33" i="17" s="1"/>
  <c r="M35" i="11"/>
  <c r="U35" i="11" s="1"/>
  <c r="V35" i="11" s="1"/>
  <c r="M33" i="13"/>
  <c r="U33" i="13" s="1"/>
  <c r="V33" i="13" s="1"/>
  <c r="M33" i="15"/>
  <c r="U33" i="15" s="1"/>
  <c r="V33" i="15" s="1"/>
  <c r="M33" i="12"/>
  <c r="U33" i="12" s="1"/>
  <c r="V33" i="12" s="1"/>
  <c r="M33" i="14"/>
  <c r="U33" i="14" s="1"/>
  <c r="V33" i="14" s="1"/>
  <c r="M34" i="13"/>
  <c r="U34" i="13" s="1"/>
  <c r="V34" i="13" s="1"/>
  <c r="M34" i="15"/>
  <c r="U34" i="15" s="1"/>
  <c r="V34" i="15" s="1"/>
  <c r="M34" i="14"/>
  <c r="U34" i="14" s="1"/>
  <c r="V34" i="14" s="1"/>
  <c r="M34" i="17"/>
  <c r="U34" i="17" s="1"/>
  <c r="V34" i="17" s="1"/>
  <c r="M35" i="16"/>
  <c r="U35" i="16" s="1"/>
  <c r="V35" i="16" s="1"/>
  <c r="M34" i="12"/>
  <c r="U34" i="12" s="1"/>
  <c r="V34" i="12" s="1"/>
  <c r="M36" i="11"/>
  <c r="U36" i="11" s="1"/>
  <c r="V36" i="11" s="1"/>
  <c r="M37" i="11"/>
  <c r="U37" i="11" s="1"/>
  <c r="V37" i="11" s="1"/>
  <c r="M35" i="12"/>
  <c r="U35" i="12" s="1"/>
  <c r="V35" i="12" s="1"/>
  <c r="M35" i="14"/>
  <c r="U35" i="14" s="1"/>
  <c r="V35" i="14" s="1"/>
  <c r="M35" i="17"/>
  <c r="U35" i="17" s="1"/>
  <c r="V35" i="17" s="1"/>
  <c r="M35" i="15"/>
  <c r="U35" i="15" s="1"/>
  <c r="V35" i="15" s="1"/>
  <c r="M35" i="13"/>
  <c r="U35" i="13" s="1"/>
  <c r="V35" i="13" s="1"/>
  <c r="M36" i="16"/>
  <c r="U36" i="16" s="1"/>
  <c r="V36" i="16" s="1"/>
  <c r="M36" i="12"/>
  <c r="U36" i="12" s="1"/>
  <c r="V36" i="12" s="1"/>
  <c r="M36" i="14"/>
  <c r="U36" i="14" s="1"/>
  <c r="V36" i="14" s="1"/>
  <c r="M37" i="16"/>
  <c r="U37" i="16" s="1"/>
  <c r="V37" i="16" s="1"/>
  <c r="M36" i="15"/>
  <c r="U36" i="15" s="1"/>
  <c r="V36" i="15" s="1"/>
  <c r="M36" i="13"/>
  <c r="U36" i="13" s="1"/>
  <c r="V36" i="13" s="1"/>
  <c r="M38" i="11"/>
  <c r="U38" i="11" s="1"/>
  <c r="V38" i="11" s="1"/>
  <c r="M36" i="17"/>
  <c r="U36" i="17" s="1"/>
  <c r="V36" i="17" s="1"/>
  <c r="M38" i="16"/>
  <c r="U38" i="16" s="1"/>
  <c r="V38" i="16" s="1"/>
  <c r="M37" i="13"/>
  <c r="U37" i="13" s="1"/>
  <c r="V37" i="13" s="1"/>
  <c r="M37" i="15"/>
  <c r="U37" i="15" s="1"/>
  <c r="V37" i="15" s="1"/>
  <c r="M37" i="12"/>
  <c r="U37" i="12" s="1"/>
  <c r="V37" i="12" s="1"/>
  <c r="M39" i="11"/>
  <c r="U39" i="11" s="1"/>
  <c r="V39" i="11" s="1"/>
  <c r="M37" i="14"/>
  <c r="U37" i="14" s="1"/>
  <c r="V37" i="14" s="1"/>
  <c r="M37" i="17"/>
  <c r="U37" i="17" s="1"/>
  <c r="V37" i="17" s="1"/>
  <c r="M40" i="11"/>
  <c r="U40" i="11" s="1"/>
  <c r="V40" i="11" s="1"/>
  <c r="M38" i="15"/>
  <c r="U38" i="15" s="1"/>
  <c r="V38" i="15" s="1"/>
  <c r="M38" i="12"/>
  <c r="U38" i="12" s="1"/>
  <c r="V38" i="12" s="1"/>
  <c r="M38" i="13"/>
  <c r="U38" i="13" s="1"/>
  <c r="V38" i="13" s="1"/>
  <c r="M39" i="16"/>
  <c r="U39" i="16" s="1"/>
  <c r="V39" i="16" s="1"/>
  <c r="M38" i="17"/>
  <c r="U38" i="17" s="1"/>
  <c r="V38" i="17" s="1"/>
  <c r="M38" i="14"/>
  <c r="U38" i="14" s="1"/>
  <c r="V38" i="14" s="1"/>
  <c r="M41" i="11"/>
  <c r="U41" i="11" s="1"/>
  <c r="V41" i="11" s="1"/>
  <c r="M40" i="16"/>
  <c r="U40" i="16" s="1"/>
  <c r="V40" i="16" s="1"/>
  <c r="M39" i="17"/>
  <c r="U39" i="17" s="1"/>
  <c r="V39" i="17" s="1"/>
  <c r="M39" i="15"/>
  <c r="U39" i="15" s="1"/>
  <c r="V39" i="15" s="1"/>
  <c r="M39" i="13"/>
  <c r="U39" i="13" s="1"/>
  <c r="V39" i="13" s="1"/>
  <c r="M39" i="14"/>
  <c r="U39" i="14" s="1"/>
  <c r="V39" i="14" s="1"/>
  <c r="M39" i="12"/>
  <c r="U39" i="12" s="1"/>
  <c r="V39" i="12" s="1"/>
  <c r="M40" i="14"/>
  <c r="U40" i="14" s="1"/>
  <c r="V40" i="14" s="1"/>
  <c r="M40" i="12"/>
  <c r="U40" i="12" s="1"/>
  <c r="V40" i="12" s="1"/>
  <c r="M40" i="15"/>
  <c r="U40" i="15" s="1"/>
  <c r="V40" i="15" s="1"/>
  <c r="M40" i="17"/>
  <c r="U40" i="17" s="1"/>
  <c r="V40" i="17" s="1"/>
  <c r="M42" i="11"/>
  <c r="U42" i="11" s="1"/>
  <c r="V42" i="11" s="1"/>
  <c r="M41" i="16"/>
  <c r="U41" i="16" s="1"/>
  <c r="V41" i="16" s="1"/>
  <c r="M40" i="13"/>
  <c r="U40" i="13" s="1"/>
  <c r="V40" i="13" s="1"/>
  <c r="M41" i="13"/>
  <c r="U41" i="13" s="1"/>
  <c r="V41" i="13" s="1"/>
  <c r="M41" i="14"/>
  <c r="U41" i="14" s="1"/>
  <c r="V41" i="14" s="1"/>
  <c r="M43" i="11"/>
  <c r="U43" i="11" s="1"/>
  <c r="V43" i="11" s="1"/>
  <c r="M42" i="16"/>
  <c r="U42" i="16" s="1"/>
  <c r="V42" i="16" s="1"/>
  <c r="M41" i="12"/>
  <c r="U41" i="12" s="1"/>
  <c r="V41" i="12" s="1"/>
  <c r="M41" i="15"/>
  <c r="U41" i="15" s="1"/>
  <c r="V41" i="15" s="1"/>
  <c r="M41" i="17"/>
  <c r="U41" i="17" s="1"/>
  <c r="V41" i="17" s="1"/>
  <c r="M42" i="14"/>
  <c r="U42" i="14" s="1"/>
  <c r="V42" i="14" s="1"/>
  <c r="M42" i="17"/>
  <c r="U42" i="17" s="1"/>
  <c r="V42" i="17" s="1"/>
  <c r="M42" i="15"/>
  <c r="U42" i="15" s="1"/>
  <c r="V42" i="15" s="1"/>
  <c r="M44" i="11"/>
  <c r="U44" i="11" s="1"/>
  <c r="V44" i="11" s="1"/>
  <c r="M42" i="12"/>
  <c r="U42" i="12" s="1"/>
  <c r="V42" i="12" s="1"/>
  <c r="M42" i="13"/>
  <c r="U42" i="13" s="1"/>
  <c r="V42" i="13" s="1"/>
  <c r="M43" i="16"/>
  <c r="U43" i="16" s="1"/>
  <c r="V43" i="16" s="1"/>
  <c r="M45" i="11"/>
  <c r="U45" i="11" s="1"/>
  <c r="V45" i="11" s="1"/>
  <c r="M43" i="17"/>
  <c r="U43" i="17" s="1"/>
  <c r="V43" i="17" s="1"/>
  <c r="M44" i="16"/>
  <c r="U44" i="16" s="1"/>
  <c r="V44" i="16" s="1"/>
  <c r="M43" i="15"/>
  <c r="U43" i="15" s="1"/>
  <c r="V43" i="15" s="1"/>
  <c r="M43" i="13"/>
  <c r="U43" i="13" s="1"/>
  <c r="V43" i="13" s="1"/>
  <c r="M43" i="12"/>
  <c r="U43" i="12" s="1"/>
  <c r="V43" i="12" s="1"/>
  <c r="M43" i="14"/>
  <c r="U43" i="14" s="1"/>
  <c r="V43" i="14" s="1"/>
  <c r="M44" i="14"/>
  <c r="U44" i="14" s="1"/>
  <c r="V44" i="14" s="1"/>
  <c r="M44" i="17"/>
  <c r="U44" i="17" s="1"/>
  <c r="V44" i="17" s="1"/>
  <c r="M44" i="12"/>
  <c r="U44" i="12" s="1"/>
  <c r="V44" i="12" s="1"/>
  <c r="M44" i="13"/>
  <c r="U44" i="13" s="1"/>
  <c r="V44" i="13" s="1"/>
  <c r="M45" i="16"/>
  <c r="U45" i="16" s="1"/>
  <c r="V45" i="16" s="1"/>
  <c r="M46" i="11"/>
  <c r="U46" i="11" s="1"/>
  <c r="V46" i="11" s="1"/>
  <c r="M44" i="15"/>
  <c r="U44" i="15" s="1"/>
  <c r="V44" i="15" s="1"/>
  <c r="M46" i="16"/>
  <c r="U46" i="16" s="1"/>
  <c r="V46" i="16" s="1"/>
  <c r="M45" i="13"/>
  <c r="U45" i="13" s="1"/>
  <c r="V45" i="13" s="1"/>
  <c r="M47" i="11"/>
  <c r="U47" i="11" s="1"/>
  <c r="V47" i="11" s="1"/>
  <c r="M45" i="15"/>
  <c r="U45" i="15" s="1"/>
  <c r="V45" i="15" s="1"/>
  <c r="M45" i="12"/>
  <c r="U45" i="12" s="1"/>
  <c r="V45" i="12" s="1"/>
  <c r="M45" i="17"/>
  <c r="U45" i="17" s="1"/>
  <c r="V45" i="17" s="1"/>
  <c r="M45" i="14"/>
  <c r="U45" i="14" s="1"/>
  <c r="V45" i="14" s="1"/>
  <c r="M46" i="15"/>
  <c r="U46" i="15" s="1"/>
  <c r="V46" i="15" s="1"/>
  <c r="M47" i="16"/>
  <c r="U47" i="16" s="1"/>
  <c r="V47" i="16" s="1"/>
  <c r="M46" i="17"/>
  <c r="U46" i="17" s="1"/>
  <c r="V46" i="17" s="1"/>
  <c r="M46" i="12"/>
  <c r="U46" i="12" s="1"/>
  <c r="V46" i="12" s="1"/>
  <c r="M48" i="11"/>
  <c r="U48" i="11" s="1"/>
  <c r="V48" i="11" s="1"/>
  <c r="M46" i="13"/>
  <c r="U46" i="13" s="1"/>
  <c r="V46" i="13" s="1"/>
  <c r="M46" i="14"/>
  <c r="U46" i="14" s="1"/>
  <c r="V46" i="14" s="1"/>
  <c r="M47" i="13"/>
  <c r="U47" i="13" s="1"/>
  <c r="V47" i="13" s="1"/>
  <c r="M49" i="11"/>
  <c r="U49" i="11" s="1"/>
  <c r="V49" i="11" s="1"/>
  <c r="M47" i="12"/>
  <c r="U47" i="12" s="1"/>
  <c r="V47" i="12" s="1"/>
  <c r="M47" i="14"/>
  <c r="U47" i="14" s="1"/>
  <c r="V47" i="14" s="1"/>
  <c r="M47" i="15"/>
  <c r="U47" i="15" s="1"/>
  <c r="V47" i="15" s="1"/>
  <c r="M47" i="17"/>
  <c r="U47" i="17" s="1"/>
  <c r="V47" i="17" s="1"/>
  <c r="M48" i="16"/>
  <c r="U48" i="16" s="1"/>
  <c r="V48" i="16" s="1"/>
  <c r="M48" i="12"/>
  <c r="U48" i="12" s="1"/>
  <c r="V48" i="12" s="1"/>
  <c r="M48" i="17"/>
  <c r="U48" i="17" s="1"/>
  <c r="V48" i="17" s="1"/>
  <c r="M50" i="11"/>
  <c r="U50" i="11" s="1"/>
  <c r="V50" i="11" s="1"/>
  <c r="M48" i="15"/>
  <c r="U48" i="15" s="1"/>
  <c r="V48" i="15" s="1"/>
  <c r="M48" i="13"/>
  <c r="U48" i="13" s="1"/>
  <c r="V48" i="13" s="1"/>
  <c r="M49" i="16"/>
  <c r="U49" i="16" s="1"/>
  <c r="V49" i="16" s="1"/>
  <c r="M48" i="14"/>
  <c r="U48" i="14" s="1"/>
  <c r="V48" i="14" s="1"/>
  <c r="M49" i="17"/>
  <c r="U49" i="17" s="1"/>
  <c r="V49" i="17" s="1"/>
  <c r="M50" i="16"/>
  <c r="U50" i="16" s="1"/>
  <c r="V50" i="16" s="1"/>
  <c r="M49" i="12"/>
  <c r="U49" i="12" s="1"/>
  <c r="V49" i="12" s="1"/>
  <c r="M49" i="13"/>
  <c r="U49" i="13" s="1"/>
  <c r="V49" i="13" s="1"/>
  <c r="M51" i="11"/>
  <c r="U51" i="11" s="1"/>
  <c r="V51" i="11" s="1"/>
  <c r="M49" i="14"/>
  <c r="U49" i="14" s="1"/>
  <c r="V49" i="14" s="1"/>
  <c r="M49" i="15"/>
  <c r="U49" i="15" s="1"/>
  <c r="V49" i="15" s="1"/>
  <c r="M50" i="12"/>
  <c r="U50" i="12" s="1"/>
  <c r="V50" i="12" s="1"/>
  <c r="M50" i="17"/>
  <c r="U50" i="17" s="1"/>
  <c r="V50" i="17" s="1"/>
  <c r="M50" i="13"/>
  <c r="U50" i="13" s="1"/>
  <c r="V50" i="13" s="1"/>
  <c r="M51" i="16"/>
  <c r="U51" i="16" s="1"/>
  <c r="V51" i="16" s="1"/>
  <c r="M50" i="15"/>
  <c r="U50" i="15" s="1"/>
  <c r="V50" i="15" s="1"/>
  <c r="M52" i="11"/>
  <c r="U52" i="11" s="1"/>
  <c r="V52" i="11" s="1"/>
  <c r="M50" i="14"/>
  <c r="U50" i="14" s="1"/>
  <c r="V50" i="14" s="1"/>
  <c r="M51" i="15"/>
  <c r="U51" i="15" s="1"/>
  <c r="V51" i="15" s="1"/>
  <c r="M51" i="12"/>
  <c r="U51" i="12" s="1"/>
  <c r="V51" i="12" s="1"/>
  <c r="M52" i="16"/>
  <c r="U52" i="16" s="1"/>
  <c r="V52" i="16" s="1"/>
  <c r="M53" i="11"/>
  <c r="U53" i="11" s="1"/>
  <c r="V53" i="11" s="1"/>
  <c r="M51" i="14"/>
  <c r="U51" i="14" s="1"/>
  <c r="V51" i="14" s="1"/>
  <c r="M51" i="17"/>
  <c r="U51" i="17" s="1"/>
  <c r="V51" i="17" s="1"/>
  <c r="M51" i="13"/>
  <c r="U51" i="13" s="1"/>
  <c r="V51" i="13" s="1"/>
  <c r="M52" i="14"/>
  <c r="U52" i="14" s="1"/>
  <c r="V52" i="14" s="1"/>
  <c r="M52" i="17"/>
  <c r="U52" i="17" s="1"/>
  <c r="V52" i="17" s="1"/>
  <c r="M54" i="11"/>
  <c r="U54" i="11" s="1"/>
  <c r="V54" i="11" s="1"/>
  <c r="M52" i="12"/>
  <c r="U52" i="12" s="1"/>
  <c r="V52" i="12" s="1"/>
  <c r="M52" i="13"/>
  <c r="U52" i="13" s="1"/>
  <c r="V52" i="13" s="1"/>
  <c r="M53" i="16"/>
  <c r="U53" i="16" s="1"/>
  <c r="V53" i="16" s="1"/>
  <c r="M52" i="15"/>
  <c r="U52" i="15" s="1"/>
  <c r="V52" i="15" s="1"/>
  <c r="M54" i="16"/>
  <c r="U54" i="16" s="1"/>
  <c r="V54" i="16" s="1"/>
  <c r="M53" i="17"/>
  <c r="U53" i="17" s="1"/>
  <c r="V53" i="17" s="1"/>
  <c r="M55" i="11"/>
  <c r="U55" i="11" s="1"/>
  <c r="V55" i="11" s="1"/>
  <c r="M53" i="13"/>
  <c r="U53" i="13" s="1"/>
  <c r="V53" i="13" s="1"/>
  <c r="M53" i="14"/>
  <c r="U53" i="14" s="1"/>
  <c r="V53" i="14" s="1"/>
  <c r="M53" i="15"/>
  <c r="U53" i="15" s="1"/>
  <c r="V53" i="15" s="1"/>
  <c r="M53" i="12"/>
  <c r="U53" i="12" s="1"/>
  <c r="V53" i="12" s="1"/>
  <c r="M54" i="15"/>
  <c r="U54" i="15" s="1"/>
  <c r="V54" i="15" s="1"/>
  <c r="M55" i="16"/>
  <c r="U55" i="16" s="1"/>
  <c r="V55" i="16" s="1"/>
  <c r="M54" i="14"/>
  <c r="U54" i="14" s="1"/>
  <c r="V54" i="14" s="1"/>
  <c r="M56" i="11"/>
  <c r="U56" i="11" s="1"/>
  <c r="V56" i="11" s="1"/>
  <c r="M54" i="17"/>
  <c r="U54" i="17" s="1"/>
  <c r="V54" i="17" s="1"/>
  <c r="M54" i="12"/>
  <c r="U54" i="12" s="1"/>
  <c r="V54" i="12" s="1"/>
  <c r="M54" i="13"/>
  <c r="U54" i="13" s="1"/>
  <c r="V54" i="13" s="1"/>
  <c r="M56" i="16"/>
  <c r="U56" i="16" s="1"/>
  <c r="V56" i="16" s="1"/>
  <c r="M57" i="11"/>
  <c r="U57" i="11" s="1"/>
  <c r="V57" i="11" s="1"/>
  <c r="M55" i="14"/>
  <c r="U55" i="14" s="1"/>
  <c r="V55" i="14" s="1"/>
  <c r="M55" i="17"/>
  <c r="U55" i="17" s="1"/>
  <c r="V55" i="17" s="1"/>
  <c r="M55" i="15"/>
  <c r="U55" i="15" s="1"/>
  <c r="V55" i="15" s="1"/>
  <c r="M55" i="13"/>
  <c r="U55" i="13" s="1"/>
  <c r="V55" i="13" s="1"/>
  <c r="M55" i="12"/>
  <c r="U55" i="12" s="1"/>
  <c r="V55" i="12" s="1"/>
  <c r="M56" i="15"/>
  <c r="U56" i="15" s="1"/>
  <c r="V56" i="15" s="1"/>
  <c r="M56" i="14"/>
  <c r="U56" i="14" s="1"/>
  <c r="V56" i="14" s="1"/>
  <c r="M56" i="13"/>
  <c r="U56" i="13" s="1"/>
  <c r="V56" i="13" s="1"/>
  <c r="M58" i="11"/>
  <c r="U58" i="11" s="1"/>
  <c r="V58" i="11" s="1"/>
  <c r="M57" i="16"/>
  <c r="U57" i="16" s="1"/>
  <c r="V57" i="16" s="1"/>
  <c r="M56" i="12"/>
  <c r="U56" i="12" s="1"/>
  <c r="V56" i="12" s="1"/>
  <c r="M56" i="17"/>
  <c r="U56" i="17" s="1"/>
  <c r="V56" i="17" s="1"/>
  <c r="M58" i="16"/>
  <c r="U58" i="16" s="1"/>
  <c r="V58" i="16" s="1"/>
  <c r="M57" i="14"/>
  <c r="U57" i="14" s="1"/>
  <c r="V57" i="14" s="1"/>
  <c r="M57" i="13"/>
  <c r="U57" i="13" s="1"/>
  <c r="V57" i="13" s="1"/>
  <c r="M59" i="11"/>
  <c r="U59" i="11" s="1"/>
  <c r="V59" i="11" s="1"/>
  <c r="M57" i="15"/>
  <c r="U57" i="15" s="1"/>
  <c r="V57" i="15" s="1"/>
  <c r="M57" i="12"/>
  <c r="U57" i="12" s="1"/>
  <c r="V57" i="12" s="1"/>
  <c r="M57" i="17"/>
  <c r="U57" i="17" s="1"/>
  <c r="V57" i="17" s="1"/>
  <c r="M58" i="12"/>
  <c r="U58" i="12" s="1"/>
  <c r="V58" i="12" s="1"/>
  <c r="M60" i="11"/>
  <c r="U60" i="11" s="1"/>
  <c r="V60" i="11" s="1"/>
  <c r="M58" i="15"/>
  <c r="U58" i="15" s="1"/>
  <c r="V58" i="15" s="1"/>
  <c r="M58" i="17"/>
  <c r="U58" i="17" s="1"/>
  <c r="V58" i="17" s="1"/>
  <c r="M58" i="14"/>
  <c r="U58" i="14" s="1"/>
  <c r="V58" i="14" s="1"/>
  <c r="M58" i="13"/>
  <c r="U58" i="13" s="1"/>
  <c r="V58" i="13" s="1"/>
  <c r="M59" i="16"/>
  <c r="U59" i="16" s="1"/>
  <c r="V59" i="16" s="1"/>
  <c r="M59" i="14"/>
  <c r="U59" i="14" s="1"/>
  <c r="V59" i="14" s="1"/>
  <c r="M59" i="17"/>
  <c r="U59" i="17" s="1"/>
  <c r="V59" i="17" s="1"/>
  <c r="M59" i="15"/>
  <c r="U59" i="15" s="1"/>
  <c r="V59" i="15" s="1"/>
  <c r="M60" i="16"/>
  <c r="U60" i="16" s="1"/>
  <c r="V60" i="16" s="1"/>
  <c r="M59" i="13"/>
  <c r="U59" i="13" s="1"/>
  <c r="V59" i="13" s="1"/>
  <c r="M61" i="11"/>
  <c r="U61" i="11" s="1"/>
  <c r="V61" i="11" s="1"/>
  <c r="M59" i="12"/>
  <c r="U59" i="12" s="1"/>
  <c r="V59" i="12" s="1"/>
  <c r="M60" i="13"/>
  <c r="U60" i="13" s="1"/>
  <c r="V60" i="13" s="1"/>
  <c r="M60" i="15"/>
  <c r="U60" i="15" s="1"/>
  <c r="V60" i="15" s="1"/>
  <c r="M60" i="14"/>
  <c r="U60" i="14" s="1"/>
  <c r="V60" i="14" s="1"/>
  <c r="M60" i="17"/>
  <c r="U60" i="17" s="1"/>
  <c r="V60" i="17" s="1"/>
  <c r="M61" i="16"/>
  <c r="U61" i="16" s="1"/>
  <c r="V61" i="16" s="1"/>
  <c r="M60" i="12"/>
  <c r="U60" i="12" s="1"/>
  <c r="V60" i="12" s="1"/>
  <c r="M62" i="11"/>
  <c r="U62" i="11" s="1"/>
  <c r="V62" i="11" s="1"/>
  <c r="M61" i="12"/>
  <c r="U61" i="12" s="1"/>
  <c r="V61" i="12" s="1"/>
  <c r="M63" i="11"/>
  <c r="U63" i="11" s="1"/>
  <c r="V63" i="11" s="1"/>
  <c r="M61" i="15"/>
  <c r="U61" i="15" s="1"/>
  <c r="V61" i="15" s="1"/>
  <c r="M61" i="13"/>
  <c r="U61" i="13" s="1"/>
  <c r="V61" i="13" s="1"/>
  <c r="M62" i="16"/>
  <c r="U62" i="16" s="1"/>
  <c r="V62" i="16" s="1"/>
  <c r="M61" i="17"/>
  <c r="U61" i="17" s="1"/>
  <c r="V61" i="17" s="1"/>
  <c r="M61" i="14"/>
  <c r="U61" i="14" s="1"/>
  <c r="V61" i="14" s="1"/>
  <c r="M63" i="16"/>
  <c r="U63" i="16" s="1"/>
  <c r="V63" i="16" s="1"/>
  <c r="M62" i="15"/>
  <c r="U62" i="15" s="1"/>
  <c r="V62" i="15" s="1"/>
  <c r="M62" i="17"/>
  <c r="U62" i="17" s="1"/>
  <c r="V62" i="17" s="1"/>
  <c r="M62" i="13"/>
  <c r="U62" i="13" s="1"/>
  <c r="V62" i="13" s="1"/>
  <c r="M62" i="14"/>
  <c r="U62" i="14" s="1"/>
  <c r="V62" i="14" s="1"/>
  <c r="M62" i="12"/>
  <c r="U62" i="12" s="1"/>
  <c r="V62" i="12" s="1"/>
  <c r="M64" i="11"/>
  <c r="U64" i="11" s="1"/>
  <c r="V64" i="11" s="1"/>
  <c r="M63" i="15"/>
  <c r="U63" i="15" s="1"/>
  <c r="V63" i="15" s="1"/>
  <c r="M65" i="11"/>
  <c r="U65" i="11" s="1"/>
  <c r="V65" i="11" s="1"/>
  <c r="M63" i="14"/>
  <c r="U63" i="14" s="1"/>
  <c r="V63" i="14" s="1"/>
  <c r="M64" i="16"/>
  <c r="U64" i="16" s="1"/>
  <c r="V64" i="16" s="1"/>
  <c r="M63" i="13"/>
  <c r="U63" i="13" s="1"/>
  <c r="V63" i="13" s="1"/>
  <c r="M63" i="12"/>
  <c r="U63" i="12" s="1"/>
  <c r="V63" i="12" s="1"/>
  <c r="M63" i="17"/>
  <c r="U63" i="17" s="1"/>
  <c r="V63" i="17" s="1"/>
  <c r="M64" i="15"/>
  <c r="U64" i="15" s="1"/>
  <c r="V64" i="15" s="1"/>
  <c r="M65" i="16"/>
  <c r="U65" i="16" s="1"/>
  <c r="V65" i="16" s="1"/>
  <c r="M64" i="12"/>
  <c r="U64" i="12" s="1"/>
  <c r="V64" i="12" s="1"/>
  <c r="M64" i="14"/>
  <c r="U64" i="14" s="1"/>
  <c r="V64" i="14" s="1"/>
  <c r="M66" i="11"/>
  <c r="U66" i="11" s="1"/>
  <c r="V66" i="11" s="1"/>
  <c r="M64" i="13"/>
  <c r="U64" i="13" s="1"/>
  <c r="V64" i="13" s="1"/>
  <c r="M64" i="17"/>
  <c r="U64" i="17" s="1"/>
  <c r="V64" i="17" s="1"/>
  <c r="M65" i="15"/>
  <c r="U65" i="15" s="1"/>
  <c r="V65" i="15" s="1"/>
  <c r="M67" i="11"/>
  <c r="U67" i="11" s="1"/>
  <c r="V67" i="11" s="1"/>
  <c r="M66" i="16"/>
  <c r="U66" i="16" s="1"/>
  <c r="V66" i="16" s="1"/>
  <c r="M65" i="17"/>
  <c r="U65" i="17" s="1"/>
  <c r="V65" i="17" s="1"/>
  <c r="M65" i="14"/>
  <c r="U65" i="14" s="1"/>
  <c r="V65" i="14" s="1"/>
  <c r="M65" i="13"/>
  <c r="U65" i="13" s="1"/>
  <c r="V65" i="13" s="1"/>
  <c r="M65" i="12"/>
  <c r="U65" i="12" s="1"/>
  <c r="V65" i="12" s="1"/>
  <c r="M67" i="16"/>
  <c r="U67" i="16" s="1"/>
  <c r="V67" i="16" s="1"/>
  <c r="M66" i="13"/>
  <c r="U66" i="13" s="1"/>
  <c r="V66" i="13" s="1"/>
  <c r="M66" i="14"/>
  <c r="U66" i="14" s="1"/>
  <c r="V66" i="14" s="1"/>
  <c r="M66" i="12"/>
  <c r="U66" i="12" s="1"/>
  <c r="V66" i="12" s="1"/>
  <c r="M68" i="11"/>
  <c r="U68" i="11" s="1"/>
  <c r="V68" i="11" s="1"/>
  <c r="M66" i="15"/>
  <c r="U66" i="15" s="1"/>
  <c r="V66" i="15" s="1"/>
  <c r="M66" i="17"/>
  <c r="U66" i="17" s="1"/>
  <c r="V66" i="17" s="1"/>
  <c r="M69" i="11"/>
  <c r="U69" i="11" s="1"/>
  <c r="V69" i="11" s="1"/>
  <c r="M67" i="12"/>
  <c r="U67" i="12" s="1"/>
  <c r="V67" i="12" s="1"/>
  <c r="M67" i="13"/>
  <c r="U67" i="13" s="1"/>
  <c r="V67" i="13" s="1"/>
  <c r="M67" i="17"/>
  <c r="U67" i="17" s="1"/>
  <c r="V67" i="17" s="1"/>
  <c r="M67" i="14"/>
  <c r="U67" i="14" s="1"/>
  <c r="V67" i="14" s="1"/>
  <c r="M67" i="15"/>
  <c r="U67" i="15" s="1"/>
  <c r="V67" i="15" s="1"/>
  <c r="M68" i="16"/>
  <c r="U68" i="16" s="1"/>
  <c r="V68" i="16" s="1"/>
  <c r="M68" i="17"/>
  <c r="U68" i="17" s="1"/>
  <c r="V68" i="17" s="1"/>
  <c r="M69" i="16"/>
  <c r="U69" i="16" s="1"/>
  <c r="V69" i="16" s="1"/>
  <c r="M68" i="15"/>
  <c r="U68" i="15" s="1"/>
  <c r="V68" i="15" s="1"/>
  <c r="M68" i="14"/>
  <c r="U68" i="14" s="1"/>
  <c r="V68" i="14" s="1"/>
  <c r="M68" i="13"/>
  <c r="U68" i="13" s="1"/>
  <c r="V68" i="13" s="1"/>
  <c r="M68" i="12"/>
  <c r="U68" i="12" s="1"/>
  <c r="V68" i="12" s="1"/>
  <c r="M70" i="11"/>
  <c r="U70" i="11" s="1"/>
  <c r="V70" i="11" s="1"/>
  <c r="M69" i="14"/>
  <c r="U69" i="14" s="1"/>
  <c r="V69" i="14" s="1"/>
  <c r="M71" i="11"/>
  <c r="U71" i="11" s="1"/>
  <c r="V71" i="11" s="1"/>
  <c r="M69" i="12"/>
  <c r="U69" i="12" s="1"/>
  <c r="V69" i="12" s="1"/>
  <c r="M70" i="16"/>
  <c r="U70" i="16" s="1"/>
  <c r="V70" i="16" s="1"/>
  <c r="M69" i="15"/>
  <c r="U69" i="15" s="1"/>
  <c r="V69" i="15" s="1"/>
  <c r="M69" i="13"/>
  <c r="U69" i="13" s="1"/>
  <c r="V69" i="13" s="1"/>
  <c r="M69" i="17"/>
  <c r="U69" i="17" s="1"/>
  <c r="V69" i="17" s="1"/>
  <c r="M70" i="17"/>
  <c r="U70" i="17" s="1"/>
  <c r="V70" i="17" s="1"/>
  <c r="M72" i="11"/>
  <c r="U72" i="11" s="1"/>
  <c r="V72" i="11" s="1"/>
  <c r="M70" i="12"/>
  <c r="U70" i="12" s="1"/>
  <c r="V70" i="12" s="1"/>
  <c r="M70" i="15"/>
  <c r="U70" i="15" s="1"/>
  <c r="V70" i="15" s="1"/>
  <c r="M70" i="13"/>
  <c r="U70" i="13" s="1"/>
  <c r="V70" i="13" s="1"/>
  <c r="M70" i="14"/>
  <c r="U70" i="14" s="1"/>
  <c r="V70" i="14" s="1"/>
  <c r="M71" i="16"/>
  <c r="U71" i="16" s="1"/>
  <c r="V71" i="16" s="1"/>
  <c r="M73" i="11"/>
  <c r="U73" i="11" s="1"/>
  <c r="V73" i="11" s="1"/>
  <c r="M71" i="14"/>
  <c r="U71" i="14" s="1"/>
  <c r="V71" i="14" s="1"/>
  <c r="M71" i="15"/>
  <c r="U71" i="15" s="1"/>
  <c r="V71" i="15" s="1"/>
  <c r="M71" i="17"/>
  <c r="U71" i="17" s="1"/>
  <c r="V71" i="17" s="1"/>
  <c r="M71" i="12"/>
  <c r="U71" i="12" s="1"/>
  <c r="V71" i="12" s="1"/>
  <c r="M72" i="16"/>
  <c r="U72" i="16" s="1"/>
  <c r="V72" i="16" s="1"/>
  <c r="M71" i="13"/>
  <c r="U71" i="13" s="1"/>
  <c r="V71" i="13" s="1"/>
  <c r="M72" i="12"/>
  <c r="U72" i="12" s="1"/>
  <c r="V72" i="12" s="1"/>
  <c r="M72" i="14"/>
  <c r="U72" i="14" s="1"/>
  <c r="V72" i="14" s="1"/>
  <c r="M73" i="16"/>
  <c r="U73" i="16" s="1"/>
  <c r="V73" i="16" s="1"/>
  <c r="M72" i="17"/>
  <c r="U72" i="17" s="1"/>
  <c r="V72" i="17" s="1"/>
  <c r="M74" i="11"/>
  <c r="U74" i="11" s="1"/>
  <c r="V74" i="11" s="1"/>
  <c r="M72" i="15"/>
  <c r="U72" i="15" s="1"/>
  <c r="V72" i="15" s="1"/>
  <c r="M72" i="13"/>
  <c r="U72" i="13" s="1"/>
  <c r="V72" i="13" s="1"/>
  <c r="M73" i="15"/>
  <c r="U73" i="15" s="1"/>
  <c r="V73" i="15" s="1"/>
  <c r="M74" i="16"/>
  <c r="U74" i="16" s="1"/>
  <c r="V74" i="16" s="1"/>
  <c r="M73" i="17"/>
  <c r="U73" i="17" s="1"/>
  <c r="V73" i="17" s="1"/>
  <c r="M73" i="12"/>
  <c r="U73" i="12" s="1"/>
  <c r="V73" i="12" s="1"/>
  <c r="M73" i="14"/>
  <c r="U73" i="14" s="1"/>
  <c r="V73" i="14" s="1"/>
  <c r="M73" i="13"/>
  <c r="U73" i="13" s="1"/>
  <c r="V73" i="13" s="1"/>
  <c r="M75" i="11"/>
  <c r="U75" i="11" s="1"/>
  <c r="V75" i="11" s="1"/>
  <c r="M76" i="11"/>
  <c r="U76" i="11" s="1"/>
  <c r="V76" i="11" s="1"/>
  <c r="M74" i="13"/>
  <c r="U74" i="13" s="1"/>
  <c r="V74" i="13" s="1"/>
  <c r="M74" i="12"/>
  <c r="U74" i="12" s="1"/>
  <c r="V74" i="12" s="1"/>
  <c r="M75" i="16"/>
  <c r="U75" i="16" s="1"/>
  <c r="V75" i="16" s="1"/>
  <c r="M74" i="15"/>
  <c r="U74" i="15" s="1"/>
  <c r="V74" i="15" s="1"/>
  <c r="M74" i="14"/>
  <c r="U74" i="14" s="1"/>
  <c r="V74" i="14" s="1"/>
  <c r="M74" i="17"/>
  <c r="U74" i="17" s="1"/>
  <c r="V74" i="17" s="1"/>
  <c r="M76" i="16"/>
  <c r="U76" i="16" s="1"/>
  <c r="V76" i="16" s="1"/>
  <c r="M75" i="12"/>
  <c r="U75" i="12" s="1"/>
  <c r="V75" i="12" s="1"/>
  <c r="M75" i="15"/>
  <c r="U75" i="15" s="1"/>
  <c r="V75" i="15" s="1"/>
  <c r="M75" i="17"/>
  <c r="U75" i="17" s="1"/>
  <c r="V75" i="17" s="1"/>
  <c r="M77" i="11"/>
  <c r="U77" i="11" s="1"/>
  <c r="V77" i="11" s="1"/>
  <c r="M75" i="14"/>
  <c r="U75" i="14" s="1"/>
  <c r="V75" i="14" s="1"/>
  <c r="M75" i="13"/>
  <c r="U75" i="13" s="1"/>
  <c r="V75" i="13" s="1"/>
  <c r="M76" i="17"/>
  <c r="U76" i="17" s="1"/>
  <c r="V76" i="17" s="1"/>
  <c r="M76" i="14"/>
  <c r="U76" i="14" s="1"/>
  <c r="V76" i="14" s="1"/>
  <c r="M76" i="12"/>
  <c r="U76" i="12" s="1"/>
  <c r="V76" i="12" s="1"/>
  <c r="M78" i="11"/>
  <c r="U78" i="11" s="1"/>
  <c r="V78" i="11" s="1"/>
  <c r="M77" i="16"/>
  <c r="U77" i="16" s="1"/>
  <c r="V77" i="16" s="1"/>
  <c r="M76" i="15"/>
  <c r="U76" i="15" s="1"/>
  <c r="V76" i="15" s="1"/>
  <c r="M76" i="13"/>
  <c r="U76" i="13" s="1"/>
  <c r="V76" i="13" s="1"/>
  <c r="M77" i="15"/>
  <c r="U77" i="15" s="1"/>
  <c r="V77" i="15" s="1"/>
  <c r="M77" i="12"/>
  <c r="U77" i="12" s="1"/>
  <c r="V77" i="12" s="1"/>
  <c r="M79" i="11"/>
  <c r="U79" i="11" s="1"/>
  <c r="V79" i="11" s="1"/>
  <c r="M78" i="16"/>
  <c r="U78" i="16" s="1"/>
  <c r="V78" i="16" s="1"/>
  <c r="M77" i="17"/>
  <c r="U77" i="17" s="1"/>
  <c r="V77" i="17" s="1"/>
  <c r="M77" i="13"/>
  <c r="U77" i="13" s="1"/>
  <c r="V77" i="13" s="1"/>
  <c r="M77" i="14"/>
  <c r="U77" i="14" s="1"/>
  <c r="V77" i="14" s="1"/>
  <c r="M78" i="15"/>
  <c r="U78" i="15" s="1"/>
  <c r="V78" i="15" s="1"/>
  <c r="M80" i="11"/>
  <c r="U80" i="11" s="1"/>
  <c r="V80" i="11" s="1"/>
  <c r="M78" i="13"/>
  <c r="U78" i="13" s="1"/>
  <c r="V78" i="13" s="1"/>
  <c r="M78" i="12"/>
  <c r="U78" i="12" s="1"/>
  <c r="V78" i="12" s="1"/>
  <c r="M79" i="16"/>
  <c r="U79" i="16" s="1"/>
  <c r="V79" i="16" s="1"/>
  <c r="M78" i="14"/>
  <c r="U78" i="14" s="1"/>
  <c r="V78" i="14" s="1"/>
  <c r="M78" i="17"/>
  <c r="U78" i="17" s="1"/>
  <c r="V78" i="17" s="1"/>
  <c r="M79" i="14"/>
  <c r="U79" i="14" s="1"/>
  <c r="V79" i="14" s="1"/>
  <c r="M79" i="13"/>
  <c r="U79" i="13" s="1"/>
  <c r="V79" i="13" s="1"/>
  <c r="M79" i="12"/>
  <c r="U79" i="12" s="1"/>
  <c r="V79" i="12" s="1"/>
  <c r="M79" i="15"/>
  <c r="U79" i="15" s="1"/>
  <c r="V79" i="15" s="1"/>
  <c r="M79" i="17"/>
  <c r="U79" i="17" s="1"/>
  <c r="V79" i="17" s="1"/>
  <c r="M81" i="11"/>
  <c r="U81" i="11" s="1"/>
  <c r="V81" i="11" s="1"/>
  <c r="M80" i="16"/>
  <c r="U80" i="16" s="1"/>
  <c r="V80" i="16" s="1"/>
  <c r="M80" i="14"/>
  <c r="U80" i="14" s="1"/>
  <c r="V80" i="14" s="1"/>
  <c r="M80" i="15"/>
  <c r="U80" i="15" s="1"/>
  <c r="V80" i="15" s="1"/>
  <c r="M82" i="11"/>
  <c r="U82" i="11" s="1"/>
  <c r="V82" i="11" s="1"/>
  <c r="M80" i="17"/>
  <c r="U80" i="17" s="1"/>
  <c r="V80" i="17" s="1"/>
  <c r="M80" i="13"/>
  <c r="U80" i="13" s="1"/>
  <c r="V80" i="13" s="1"/>
  <c r="M81" i="16"/>
  <c r="U81" i="16" s="1"/>
  <c r="V81" i="16" s="1"/>
  <c r="M80" i="12"/>
  <c r="U80" i="12" s="1"/>
  <c r="V80" i="12" s="1"/>
  <c r="M82" i="16"/>
  <c r="U82" i="16" s="1"/>
  <c r="V82" i="16" s="1"/>
  <c r="M81" i="12"/>
  <c r="U81" i="12" s="1"/>
  <c r="V81" i="12" s="1"/>
  <c r="M83" i="11"/>
  <c r="U83" i="11" s="1"/>
  <c r="V83" i="11" s="1"/>
  <c r="M81" i="13"/>
  <c r="U81" i="13" s="1"/>
  <c r="V81" i="13" s="1"/>
  <c r="M81" i="17"/>
  <c r="U81" i="17" s="1"/>
  <c r="V81" i="17" s="1"/>
  <c r="M81" i="14"/>
  <c r="U81" i="14" s="1"/>
  <c r="V81" i="14" s="1"/>
  <c r="M81" i="15"/>
  <c r="U81" i="15" s="1"/>
  <c r="V81" i="15" s="1"/>
  <c r="M83" i="16"/>
  <c r="U83" i="16" s="1"/>
  <c r="V83" i="16" s="1"/>
  <c r="M82" i="12"/>
  <c r="U82" i="12" s="1"/>
  <c r="V82" i="12" s="1"/>
  <c r="M82" i="17"/>
  <c r="U82" i="17" s="1"/>
  <c r="V82" i="17" s="1"/>
  <c r="M84" i="11"/>
  <c r="U84" i="11" s="1"/>
  <c r="V84" i="11" s="1"/>
  <c r="M82" i="14"/>
  <c r="U82" i="14" s="1"/>
  <c r="V82" i="14" s="1"/>
  <c r="M82" i="13"/>
  <c r="U82" i="13" s="1"/>
  <c r="V82" i="13" s="1"/>
  <c r="M82" i="15"/>
  <c r="U82" i="15" s="1"/>
  <c r="V82" i="15" s="1"/>
  <c r="M83" i="13"/>
  <c r="U83" i="13" s="1"/>
  <c r="V83" i="13" s="1"/>
  <c r="M84" i="16"/>
  <c r="U84" i="16" s="1"/>
  <c r="V84" i="16" s="1"/>
  <c r="M83" i="14"/>
  <c r="U83" i="14" s="1"/>
  <c r="V83" i="14" s="1"/>
  <c r="M83" i="17"/>
  <c r="U83" i="17" s="1"/>
  <c r="V83" i="17" s="1"/>
  <c r="M85" i="11"/>
  <c r="U85" i="11" s="1"/>
  <c r="V85" i="11" s="1"/>
  <c r="M83" i="15"/>
  <c r="U83" i="15" s="1"/>
  <c r="V83" i="15" s="1"/>
  <c r="M83" i="12"/>
  <c r="U83" i="12" s="1"/>
  <c r="V83" i="12" s="1"/>
  <c r="M84" i="15"/>
  <c r="U84" i="15" s="1"/>
  <c r="V84" i="15" s="1"/>
  <c r="M84" i="12"/>
  <c r="U84" i="12" s="1"/>
  <c r="V84" i="12" s="1"/>
  <c r="M84" i="13"/>
  <c r="U84" i="13" s="1"/>
  <c r="V84" i="13" s="1"/>
  <c r="M84" i="14"/>
  <c r="U84" i="14" s="1"/>
  <c r="V84" i="14" s="1"/>
  <c r="M86" i="11"/>
  <c r="U86" i="11" s="1"/>
  <c r="V86" i="11" s="1"/>
  <c r="M84" i="17"/>
  <c r="U84" i="17" s="1"/>
  <c r="V84" i="17" s="1"/>
  <c r="M85" i="16"/>
  <c r="U85" i="16" s="1"/>
  <c r="V85" i="16" s="1"/>
  <c r="M85" i="14"/>
  <c r="U85" i="14" s="1"/>
  <c r="V85" i="14" s="1"/>
  <c r="M87" i="11"/>
  <c r="U87" i="11" s="1"/>
  <c r="V87" i="11" s="1"/>
  <c r="M85" i="13"/>
  <c r="U85" i="13" s="1"/>
  <c r="V85" i="13" s="1"/>
  <c r="M85" i="17"/>
  <c r="U85" i="17" s="1"/>
  <c r="V85" i="17" s="1"/>
  <c r="M85" i="15"/>
  <c r="U85" i="15" s="1"/>
  <c r="V85" i="15" s="1"/>
  <c r="M86" i="16"/>
  <c r="U86" i="16" s="1"/>
  <c r="V86" i="16" s="1"/>
  <c r="M85" i="12"/>
  <c r="U85" i="12" s="1"/>
  <c r="V85" i="12" s="1"/>
  <c r="M86" i="15"/>
  <c r="U86" i="15" s="1"/>
  <c r="V86" i="15" s="1"/>
  <c r="M86" i="12"/>
  <c r="U86" i="12" s="1"/>
  <c r="V86" i="12" s="1"/>
  <c r="M86" i="14"/>
  <c r="U86" i="14" s="1"/>
  <c r="V86" i="14" s="1"/>
  <c r="M88" i="11"/>
  <c r="U88" i="11" s="1"/>
  <c r="V88" i="11" s="1"/>
  <c r="M86" i="17"/>
  <c r="U86" i="17" s="1"/>
  <c r="V86" i="17" s="1"/>
  <c r="M87" i="16"/>
  <c r="U87" i="16" s="1"/>
  <c r="V87" i="16" s="1"/>
  <c r="M86" i="13"/>
  <c r="U86" i="13" s="1"/>
  <c r="V86" i="13" s="1"/>
  <c r="M87" i="13"/>
  <c r="U87" i="13" s="1"/>
  <c r="V87" i="13" s="1"/>
  <c r="M87" i="14"/>
  <c r="U87" i="14" s="1"/>
  <c r="V87" i="14" s="1"/>
  <c r="M88" i="16"/>
  <c r="U88" i="16" s="1"/>
  <c r="V88" i="16" s="1"/>
  <c r="M87" i="17"/>
  <c r="U87" i="17" s="1"/>
  <c r="V87" i="17" s="1"/>
  <c r="M89" i="11"/>
  <c r="U89" i="11" s="1"/>
  <c r="V89" i="11" s="1"/>
  <c r="M87" i="15"/>
  <c r="U87" i="15" s="1"/>
  <c r="V87" i="15" s="1"/>
  <c r="M87" i="12"/>
  <c r="U87" i="12" s="1"/>
  <c r="V87" i="12" s="1"/>
  <c r="M90" i="11"/>
  <c r="U90" i="11" s="1"/>
  <c r="V90" i="11" s="1"/>
  <c r="M89" i="16"/>
  <c r="U89" i="16" s="1"/>
  <c r="V89" i="16" s="1"/>
  <c r="M88" i="14"/>
  <c r="U88" i="14" s="1"/>
  <c r="V88" i="14" s="1"/>
  <c r="M88" i="13"/>
  <c r="U88" i="13" s="1"/>
  <c r="V88" i="13" s="1"/>
  <c r="M88" i="17"/>
  <c r="U88" i="17" s="1"/>
  <c r="V88" i="17" s="1"/>
  <c r="M88" i="12"/>
  <c r="U88" i="12" s="1"/>
  <c r="V88" i="12" s="1"/>
  <c r="M88" i="15"/>
  <c r="U88" i="15" s="1"/>
  <c r="V88" i="15" s="1"/>
  <c r="M89" i="17"/>
  <c r="U89" i="17" s="1"/>
  <c r="V89" i="17" s="1"/>
  <c r="M89" i="14"/>
  <c r="U89" i="14" s="1"/>
  <c r="V89" i="14" s="1"/>
  <c r="M89" i="13"/>
  <c r="U89" i="13" s="1"/>
  <c r="V89" i="13" s="1"/>
  <c r="M91" i="11"/>
  <c r="U91" i="11" s="1"/>
  <c r="V91" i="11" s="1"/>
  <c r="M90" i="16"/>
  <c r="U90" i="16" s="1"/>
  <c r="V90" i="16" s="1"/>
  <c r="M89" i="15"/>
  <c r="U89" i="15" s="1"/>
  <c r="V89" i="15" s="1"/>
  <c r="M89" i="12"/>
  <c r="U89" i="12" s="1"/>
  <c r="V89" i="12" s="1"/>
  <c r="M90" i="12"/>
  <c r="U90" i="12" s="1"/>
  <c r="V90" i="12" s="1"/>
  <c r="M90" i="17"/>
  <c r="U90" i="17" s="1"/>
  <c r="V90" i="17" s="1"/>
  <c r="M90" i="15"/>
  <c r="U90" i="15" s="1"/>
  <c r="V90" i="15" s="1"/>
  <c r="M90" i="14"/>
  <c r="U90" i="14" s="1"/>
  <c r="V90" i="14" s="1"/>
  <c r="M90" i="13"/>
  <c r="U90" i="13" s="1"/>
  <c r="V90" i="13" s="1"/>
  <c r="M92" i="11"/>
  <c r="U92" i="11" s="1"/>
  <c r="V92" i="11" s="1"/>
  <c r="M91" i="16"/>
  <c r="U91" i="16" s="1"/>
  <c r="V91" i="16" s="1"/>
  <c r="M91" i="14"/>
  <c r="U91" i="14" s="1"/>
  <c r="V91" i="14" s="1"/>
  <c r="M91" i="13"/>
  <c r="U91" i="13" s="1"/>
  <c r="V91" i="13" s="1"/>
  <c r="M91" i="15"/>
  <c r="U91" i="15" s="1"/>
  <c r="V91" i="15" s="1"/>
  <c r="M91" i="12"/>
  <c r="U91" i="12" s="1"/>
  <c r="V91" i="12" s="1"/>
  <c r="M92" i="16"/>
  <c r="U92" i="16" s="1"/>
  <c r="V92" i="16" s="1"/>
  <c r="M93" i="11"/>
  <c r="U93" i="11" s="1"/>
  <c r="V93" i="11" s="1"/>
  <c r="M91" i="17"/>
  <c r="U91" i="17" s="1"/>
  <c r="V91" i="17" s="1"/>
  <c r="M92" i="12"/>
  <c r="U92" i="12" s="1"/>
  <c r="V92" i="12" s="1"/>
  <c r="M94" i="11"/>
  <c r="U94" i="11" s="1"/>
  <c r="V94" i="11" s="1"/>
  <c r="M92" i="17"/>
  <c r="U92" i="17" s="1"/>
  <c r="V92" i="17" s="1"/>
  <c r="M93" i="16"/>
  <c r="U93" i="16" s="1"/>
  <c r="V93" i="16" s="1"/>
  <c r="M92" i="15"/>
  <c r="U92" i="15" s="1"/>
  <c r="V92" i="15" s="1"/>
  <c r="M92" i="13"/>
  <c r="U92" i="13" s="1"/>
  <c r="V92" i="13" s="1"/>
  <c r="M92" i="14"/>
  <c r="U92" i="14" s="1"/>
  <c r="V92" i="14" s="1"/>
  <c r="M93" i="13"/>
  <c r="U93" i="13" s="1"/>
  <c r="V93" i="13" s="1"/>
  <c r="M93" i="14"/>
  <c r="U93" i="14" s="1"/>
  <c r="V93" i="14" s="1"/>
  <c r="M93" i="12"/>
  <c r="U93" i="12" s="1"/>
  <c r="V93" i="12" s="1"/>
  <c r="M94" i="16"/>
  <c r="U94" i="16" s="1"/>
  <c r="V94" i="16" s="1"/>
  <c r="M95" i="11"/>
  <c r="U95" i="11" s="1"/>
  <c r="V95" i="11" s="1"/>
  <c r="M93" i="15"/>
  <c r="U93" i="15" s="1"/>
  <c r="V93" i="15" s="1"/>
  <c r="M93" i="17"/>
  <c r="U93" i="17" s="1"/>
  <c r="V93" i="17" s="1"/>
  <c r="M96" i="11"/>
  <c r="U96" i="11" s="1"/>
  <c r="V96" i="11" s="1"/>
  <c r="M94" i="17"/>
  <c r="U94" i="17" s="1"/>
  <c r="V94" i="17" s="1"/>
  <c r="M94" i="14"/>
  <c r="U94" i="14" s="1"/>
  <c r="V94" i="14" s="1"/>
  <c r="M95" i="16"/>
  <c r="U95" i="16" s="1"/>
  <c r="V95" i="16" s="1"/>
  <c r="M94" i="12"/>
  <c r="U94" i="12" s="1"/>
  <c r="V94" i="12" s="1"/>
  <c r="M94" i="15"/>
  <c r="U94" i="15" s="1"/>
  <c r="V94" i="15" s="1"/>
  <c r="M94" i="13"/>
  <c r="U94" i="13" s="1"/>
  <c r="V94" i="13" s="1"/>
  <c r="M95" i="15"/>
  <c r="U95" i="15" s="1"/>
  <c r="V95" i="15" s="1"/>
  <c r="M95" i="17"/>
  <c r="U95" i="17" s="1"/>
  <c r="V95" i="17" s="1"/>
  <c r="M95" i="12"/>
  <c r="U95" i="12" s="1"/>
  <c r="V95" i="12" s="1"/>
  <c r="M97" i="11"/>
  <c r="U97" i="11" s="1"/>
  <c r="V97" i="11" s="1"/>
  <c r="M95" i="13"/>
  <c r="U95" i="13" s="1"/>
  <c r="V95" i="13" s="1"/>
  <c r="M96" i="16"/>
  <c r="U96" i="16" s="1"/>
  <c r="V96" i="16" s="1"/>
  <c r="M95" i="14"/>
  <c r="U95" i="14" s="1"/>
  <c r="V95" i="14" s="1"/>
  <c r="M96" i="13"/>
  <c r="U96" i="13" s="1"/>
  <c r="V96" i="13" s="1"/>
  <c r="M96" i="14"/>
  <c r="U96" i="14" s="1"/>
  <c r="V96" i="14" s="1"/>
  <c r="M96" i="12"/>
  <c r="U96" i="12" s="1"/>
  <c r="V96" i="12" s="1"/>
  <c r="M96" i="15"/>
  <c r="U96" i="15" s="1"/>
  <c r="V96" i="15" s="1"/>
  <c r="M97" i="16"/>
  <c r="U97" i="16" s="1"/>
  <c r="V97" i="16" s="1"/>
  <c r="M98" i="11"/>
  <c r="U98" i="11" s="1"/>
  <c r="V98" i="11" s="1"/>
  <c r="M96" i="17"/>
  <c r="U96" i="17" s="1"/>
  <c r="V96" i="17" s="1"/>
  <c r="M99" i="11"/>
  <c r="U99" i="11" s="1"/>
  <c r="V99" i="11" s="1"/>
  <c r="M97" i="17"/>
  <c r="U97" i="17" s="1"/>
  <c r="V97" i="17" s="1"/>
  <c r="M97" i="15"/>
  <c r="U97" i="15" s="1"/>
  <c r="V97" i="15" s="1"/>
  <c r="M97" i="14"/>
  <c r="U97" i="14" s="1"/>
  <c r="V97" i="14" s="1"/>
  <c r="M97" i="13"/>
  <c r="U97" i="13" s="1"/>
  <c r="V97" i="13" s="1"/>
  <c r="M98" i="16"/>
  <c r="U98" i="16" s="1"/>
  <c r="V98" i="16" s="1"/>
  <c r="M97" i="12"/>
  <c r="U97" i="12" s="1"/>
  <c r="V97" i="12" s="1"/>
  <c r="M98" i="15"/>
  <c r="U98" i="15" s="1"/>
  <c r="V98" i="15" s="1"/>
  <c r="M100" i="11"/>
  <c r="U100" i="11" s="1"/>
  <c r="V100" i="11" s="1"/>
  <c r="M99" i="16"/>
  <c r="U99" i="16" s="1"/>
  <c r="V99" i="16" s="1"/>
  <c r="M98" i="12"/>
  <c r="U98" i="12" s="1"/>
  <c r="V98" i="12" s="1"/>
  <c r="M98" i="14"/>
  <c r="U98" i="14" s="1"/>
  <c r="V98" i="14" s="1"/>
  <c r="M98" i="13"/>
  <c r="U98" i="13" s="1"/>
  <c r="V98" i="13" s="1"/>
  <c r="M98" i="17"/>
  <c r="U98" i="17" s="1"/>
  <c r="V98" i="17" s="1"/>
  <c r="M99" i="14"/>
  <c r="U99" i="14" s="1"/>
  <c r="V99" i="14" s="1"/>
  <c r="M101" i="11"/>
  <c r="U101" i="11" s="1"/>
  <c r="V101" i="11" s="1"/>
  <c r="M99" i="15"/>
  <c r="U99" i="15" s="1"/>
  <c r="V99" i="15" s="1"/>
  <c r="M99" i="12"/>
  <c r="U99" i="12" s="1"/>
  <c r="V99" i="12" s="1"/>
  <c r="M99" i="13"/>
  <c r="U99" i="13" s="1"/>
  <c r="V99" i="13" s="1"/>
  <c r="M99" i="17"/>
  <c r="U99" i="17" s="1"/>
  <c r="V99" i="17" s="1"/>
  <c r="M100" i="16"/>
  <c r="U100" i="16" s="1"/>
  <c r="V100" i="16" s="1"/>
  <c r="M101" i="16"/>
  <c r="U101" i="16" s="1"/>
  <c r="V101" i="16" s="1"/>
  <c r="M100" i="13"/>
  <c r="U100" i="13" s="1"/>
  <c r="V100" i="13" s="1"/>
  <c r="M100" i="17"/>
  <c r="U100" i="17" s="1"/>
  <c r="V100" i="17" s="1"/>
  <c r="M102" i="11"/>
  <c r="U102" i="11" s="1"/>
  <c r="V102" i="11" s="1"/>
  <c r="M100" i="14"/>
  <c r="U100" i="14" s="1"/>
  <c r="V100" i="14" s="1"/>
  <c r="M100" i="12"/>
  <c r="U100" i="12" s="1"/>
  <c r="V100" i="12" s="1"/>
  <c r="M100" i="15"/>
  <c r="U100" i="15" s="1"/>
  <c r="V100" i="15" s="1"/>
  <c r="M101" i="13"/>
  <c r="U101" i="13" s="1"/>
  <c r="V101" i="13" s="1"/>
  <c r="M101" i="17"/>
  <c r="U101" i="17" s="1"/>
  <c r="V101" i="17" s="1"/>
  <c r="M101" i="14"/>
  <c r="U101" i="14" s="1"/>
  <c r="V101" i="14" s="1"/>
  <c r="M101" i="12"/>
  <c r="U101" i="12" s="1"/>
  <c r="V101" i="12" s="1"/>
  <c r="M103" i="11"/>
  <c r="U103" i="11" s="1"/>
  <c r="V103" i="11" s="1"/>
  <c r="M102" i="16"/>
  <c r="U102" i="16" s="1"/>
  <c r="V102" i="16" s="1"/>
  <c r="M101" i="15"/>
  <c r="U101" i="15" s="1"/>
  <c r="V101" i="15" s="1"/>
  <c r="M102" i="14"/>
  <c r="U102" i="14" s="1"/>
  <c r="V102" i="14" s="1"/>
  <c r="M102" i="17"/>
  <c r="U102" i="17" s="1"/>
  <c r="V102" i="17" s="1"/>
  <c r="M104" i="11"/>
  <c r="U104" i="11" s="1"/>
  <c r="V104" i="11" s="1"/>
  <c r="M102" i="15"/>
  <c r="U102" i="15" s="1"/>
  <c r="V102" i="15" s="1"/>
  <c r="M103" i="16"/>
  <c r="U103" i="16" s="1"/>
  <c r="V103" i="16" s="1"/>
  <c r="M102" i="13"/>
  <c r="U102" i="13" s="1"/>
  <c r="V102" i="13" s="1"/>
  <c r="M102" i="12"/>
  <c r="U102" i="12" s="1"/>
  <c r="V102" i="12" s="1"/>
  <c r="M103" i="17"/>
  <c r="U103" i="17" s="1"/>
  <c r="V103" i="17" s="1"/>
  <c r="M105" i="11"/>
  <c r="U105" i="11" s="1"/>
  <c r="V105" i="11" s="1"/>
  <c r="M104" i="16"/>
  <c r="U104" i="16" s="1"/>
  <c r="V104" i="16" s="1"/>
  <c r="M103" i="15"/>
  <c r="U103" i="15" s="1"/>
  <c r="V103" i="15" s="1"/>
  <c r="M103" i="14"/>
  <c r="U103" i="14" s="1"/>
  <c r="V103" i="14" s="1"/>
  <c r="M103" i="13"/>
  <c r="U103" i="13" s="1"/>
  <c r="V103" i="13" s="1"/>
  <c r="M103" i="12"/>
  <c r="U103" i="12" s="1"/>
  <c r="V103" i="12" s="1"/>
  <c r="M104" i="12"/>
  <c r="U104" i="12" s="1"/>
  <c r="V104" i="12" s="1"/>
  <c r="M104" i="17"/>
  <c r="U104" i="17" s="1"/>
  <c r="V104" i="17" s="1"/>
  <c r="M104" i="13"/>
  <c r="U104" i="13" s="1"/>
  <c r="V104" i="13" s="1"/>
  <c r="M104" i="15"/>
  <c r="U104" i="15" s="1"/>
  <c r="V104" i="15" s="1"/>
  <c r="M105" i="16"/>
  <c r="U105" i="16" s="1"/>
  <c r="V105" i="16" s="1"/>
  <c r="M104" i="14"/>
  <c r="U104" i="14" s="1"/>
  <c r="V104" i="14" s="1"/>
  <c r="M105" i="17"/>
  <c r="U105" i="17" s="1"/>
  <c r="V105" i="17" s="1"/>
  <c r="M105" i="13"/>
  <c r="U105" i="13" s="1"/>
  <c r="V105" i="13" s="1"/>
  <c r="M105" i="12"/>
  <c r="U105" i="12" s="1"/>
  <c r="V105" i="12" s="1"/>
  <c r="M105" i="15"/>
  <c r="U105" i="15" s="1"/>
  <c r="V105" i="15" s="1"/>
  <c r="M105" i="14"/>
  <c r="U105" i="14" s="1"/>
  <c r="V105" i="14" s="1"/>
  <c r="M8" i="17"/>
  <c r="U8" i="17" s="1"/>
  <c r="M9" i="14"/>
  <c r="U9" i="14" s="1"/>
  <c r="M9" i="13"/>
  <c r="U9" i="13" s="1"/>
  <c r="M12" i="11"/>
  <c r="U12" i="11" s="1"/>
  <c r="V12" i="11" s="1"/>
  <c r="M11" i="17"/>
  <c r="U11" i="17" s="1"/>
  <c r="M13" i="13"/>
  <c r="U13" i="13" s="1"/>
  <c r="V13" i="13" s="1"/>
  <c r="M14" i="13"/>
  <c r="U14" i="13" s="1"/>
  <c r="V14" i="13" s="1"/>
  <c r="M16" i="16"/>
  <c r="U16" i="16" s="1"/>
  <c r="V16" i="16" s="1"/>
  <c r="M16" i="14"/>
  <c r="U16" i="14" s="1"/>
  <c r="V16" i="14" s="1"/>
  <c r="M17" i="17"/>
  <c r="U17" i="17" s="1"/>
  <c r="V17" i="17" s="1"/>
  <c r="M18" i="15"/>
  <c r="U18" i="15" s="1"/>
  <c r="V18" i="15" s="1"/>
  <c r="M19" i="15"/>
  <c r="U19" i="15" s="1"/>
  <c r="V19" i="15" s="1"/>
  <c r="M21" i="13"/>
  <c r="U21" i="13" s="1"/>
  <c r="V21" i="13" s="1"/>
  <c r="M22" i="15"/>
  <c r="U22" i="15" s="1"/>
  <c r="V22" i="15" s="1"/>
  <c r="M8" i="11"/>
  <c r="U8" i="11" s="1"/>
  <c r="M7" i="17"/>
  <c r="U7" i="17" s="1"/>
  <c r="M7" i="11"/>
  <c r="U7" i="11" s="1"/>
  <c r="M11" i="15"/>
  <c r="U11" i="15" s="1"/>
  <c r="M14" i="11"/>
  <c r="U14" i="11" s="1"/>
  <c r="V14" i="11" s="1"/>
  <c r="M13" i="15"/>
  <c r="U13" i="15" s="1"/>
  <c r="V13" i="15" s="1"/>
  <c r="M17" i="11"/>
  <c r="U17" i="11" s="1"/>
  <c r="V17" i="11" s="1"/>
  <c r="M16" i="13"/>
  <c r="U16" i="13" s="1"/>
  <c r="V16" i="13" s="1"/>
  <c r="M17" i="12"/>
  <c r="U17" i="12" s="1"/>
  <c r="V17" i="12" s="1"/>
  <c r="M19" i="13"/>
  <c r="U19" i="13" s="1"/>
  <c r="V19" i="13" s="1"/>
  <c r="M20" i="12"/>
  <c r="U20" i="12" s="1"/>
  <c r="V20" i="12" s="1"/>
  <c r="M21" i="17"/>
  <c r="U21" i="17" s="1"/>
  <c r="V21" i="17" s="1"/>
  <c r="M9" i="11"/>
  <c r="U9" i="11" s="1"/>
  <c r="M11" i="13"/>
  <c r="U11" i="13" s="1"/>
  <c r="M13" i="14"/>
  <c r="U13" i="14" s="1"/>
  <c r="V13" i="14" s="1"/>
  <c r="M15" i="15"/>
  <c r="U15" i="15" s="1"/>
  <c r="V15" i="15" s="1"/>
  <c r="M16" i="15"/>
  <c r="U16" i="15" s="1"/>
  <c r="V16" i="15" s="1"/>
  <c r="M19" i="11"/>
  <c r="U19" i="11" s="1"/>
  <c r="V19" i="11" s="1"/>
  <c r="M19" i="12"/>
  <c r="U19" i="12" s="1"/>
  <c r="V19" i="12" s="1"/>
  <c r="M20" i="13"/>
  <c r="U20" i="13" s="1"/>
  <c r="V20" i="13" s="1"/>
  <c r="M21" i="15"/>
  <c r="U21" i="15" s="1"/>
  <c r="V21" i="15" s="1"/>
  <c r="M8" i="14"/>
  <c r="U8" i="14" s="1"/>
  <c r="M10" i="12"/>
  <c r="U10" i="12" s="1"/>
  <c r="M21" i="16"/>
  <c r="U21" i="16" s="1"/>
  <c r="V21" i="16" s="1"/>
  <c r="M18" i="11"/>
  <c r="U18" i="11" s="1"/>
  <c r="V18" i="11" s="1"/>
  <c r="M20" i="17"/>
  <c r="U20" i="17" s="1"/>
  <c r="V20" i="17" s="1"/>
  <c r="M15" i="14"/>
  <c r="U15" i="14" s="1"/>
  <c r="V15" i="14" s="1"/>
  <c r="M8" i="16"/>
  <c r="U8" i="16" s="1"/>
  <c r="M9" i="12"/>
  <c r="U9" i="12" s="1"/>
  <c r="M12" i="15"/>
  <c r="U12" i="15" s="1"/>
  <c r="V12" i="15" s="1"/>
  <c r="M16" i="11"/>
  <c r="U16" i="11" s="1"/>
  <c r="V16" i="11" s="1"/>
  <c r="M17" i="13"/>
  <c r="U17" i="13" s="1"/>
  <c r="V17" i="13" s="1"/>
  <c r="M22" i="16"/>
  <c r="U22" i="16" s="1"/>
  <c r="V22" i="16" s="1"/>
  <c r="M18" i="17"/>
  <c r="U18" i="17" s="1"/>
  <c r="V18" i="17" s="1"/>
  <c r="M7" i="16"/>
  <c r="U7" i="16" s="1"/>
  <c r="M11" i="16"/>
  <c r="U11" i="16" s="1"/>
  <c r="M12" i="13"/>
  <c r="U12" i="13" s="1"/>
  <c r="V12" i="13" s="1"/>
  <c r="M9" i="15"/>
  <c r="U9" i="15" s="1"/>
  <c r="M12" i="16"/>
  <c r="U12" i="16" s="1"/>
  <c r="V12" i="16" s="1"/>
  <c r="M12" i="12"/>
  <c r="U12" i="12" s="1"/>
  <c r="V12" i="12" s="1"/>
  <c r="M14" i="15"/>
  <c r="U14" i="15" s="1"/>
  <c r="V14" i="15" s="1"/>
  <c r="M15" i="13"/>
  <c r="U15" i="13" s="1"/>
  <c r="V15" i="13" s="1"/>
  <c r="M16" i="12"/>
  <c r="U16" i="12" s="1"/>
  <c r="V16" i="12" s="1"/>
  <c r="M18" i="13"/>
  <c r="U18" i="13" s="1"/>
  <c r="V18" i="13" s="1"/>
  <c r="M21" i="11"/>
  <c r="U21" i="11" s="1"/>
  <c r="V21" i="11" s="1"/>
  <c r="M22" i="14"/>
  <c r="U22" i="14" s="1"/>
  <c r="V22" i="14" s="1"/>
  <c r="M15" i="12"/>
  <c r="U15" i="12" s="1"/>
  <c r="V15" i="12" s="1"/>
  <c r="M7" i="14"/>
  <c r="U7" i="14" s="1"/>
  <c r="C69" i="8"/>
  <c r="M7" i="15"/>
  <c r="U7" i="15" s="1"/>
  <c r="M8" i="15"/>
  <c r="U8" i="15" s="1"/>
  <c r="M10" i="14"/>
  <c r="U10" i="14" s="1"/>
  <c r="M11" i="14"/>
  <c r="U11" i="14" s="1"/>
  <c r="M12" i="17"/>
  <c r="U12" i="17" s="1"/>
  <c r="V12" i="17" s="1"/>
  <c r="M14" i="14"/>
  <c r="U14" i="14" s="1"/>
  <c r="V14" i="14" s="1"/>
  <c r="M18" i="12"/>
  <c r="U18" i="12" s="1"/>
  <c r="V18" i="12" s="1"/>
  <c r="M19" i="17"/>
  <c r="U19" i="17" s="1"/>
  <c r="V19" i="17" s="1"/>
  <c r="M22" i="13"/>
  <c r="U22" i="13" s="1"/>
  <c r="V22" i="13" s="1"/>
  <c r="M7" i="13"/>
  <c r="U7" i="13" s="1"/>
  <c r="M11" i="12"/>
  <c r="U11" i="12" s="1"/>
  <c r="M15" i="16"/>
  <c r="U15" i="16" s="1"/>
  <c r="V15" i="16" s="1"/>
  <c r="M18" i="14"/>
  <c r="U18" i="14" s="1"/>
  <c r="V18" i="14" s="1"/>
  <c r="M8" i="13"/>
  <c r="U8" i="13" s="1"/>
  <c r="M10" i="17"/>
  <c r="U10" i="17" s="1"/>
  <c r="M14" i="16"/>
  <c r="U14" i="16" s="1"/>
  <c r="V14" i="16" s="1"/>
  <c r="M19" i="16"/>
  <c r="U19" i="16" s="1"/>
  <c r="V19" i="16" s="1"/>
  <c r="M20" i="14"/>
  <c r="U20" i="14" s="1"/>
  <c r="V20" i="14" s="1"/>
  <c r="M18" i="16"/>
  <c r="U18" i="16" s="1"/>
  <c r="V18" i="16" s="1"/>
  <c r="M9" i="16"/>
  <c r="U9" i="16" s="1"/>
  <c r="M10" i="13"/>
  <c r="U10" i="13" s="1"/>
  <c r="M15" i="11"/>
  <c r="U15" i="11" s="1"/>
  <c r="V15" i="11" s="1"/>
  <c r="M17" i="15"/>
  <c r="U17" i="15" s="1"/>
  <c r="V17" i="15" s="1"/>
  <c r="M20" i="16"/>
  <c r="U20" i="16" s="1"/>
  <c r="V20" i="16" s="1"/>
  <c r="M22" i="11"/>
  <c r="U22" i="11" s="1"/>
  <c r="V22" i="11" s="1"/>
  <c r="M22" i="12"/>
  <c r="U22" i="12" s="1"/>
  <c r="V22" i="12" s="1"/>
  <c r="M10" i="11"/>
  <c r="U10" i="11" s="1"/>
  <c r="M7" i="12"/>
  <c r="U7" i="12" s="1"/>
  <c r="M9" i="17"/>
  <c r="U9" i="17" s="1"/>
  <c r="M10" i="15"/>
  <c r="U10" i="15" s="1"/>
  <c r="M13" i="16"/>
  <c r="U13" i="16" s="1"/>
  <c r="V13" i="16" s="1"/>
  <c r="M13" i="12"/>
  <c r="U13" i="12" s="1"/>
  <c r="V13" i="12" s="1"/>
  <c r="M14" i="12"/>
  <c r="U14" i="12" s="1"/>
  <c r="V14" i="12" s="1"/>
  <c r="M15" i="17"/>
  <c r="U15" i="17" s="1"/>
  <c r="V15" i="17" s="1"/>
  <c r="M17" i="14"/>
  <c r="U17" i="14" s="1"/>
  <c r="V17" i="14" s="1"/>
  <c r="M20" i="11"/>
  <c r="U20" i="11" s="1"/>
  <c r="V20" i="11" s="1"/>
  <c r="M19" i="14"/>
  <c r="U19" i="14" s="1"/>
  <c r="V19" i="14" s="1"/>
  <c r="M21" i="14"/>
  <c r="U21" i="14" s="1"/>
  <c r="V21" i="14" s="1"/>
  <c r="M22" i="17"/>
  <c r="U22" i="17" s="1"/>
  <c r="V22" i="17" s="1"/>
  <c r="M16" i="17"/>
  <c r="U16" i="17" s="1"/>
  <c r="V16" i="17" s="1"/>
  <c r="M21" i="12"/>
  <c r="U21" i="12" s="1"/>
  <c r="V21" i="12" s="1"/>
  <c r="M8" i="12"/>
  <c r="U8" i="12" s="1"/>
  <c r="M11" i="11"/>
  <c r="U11" i="11" s="1"/>
  <c r="M10" i="16"/>
  <c r="U10" i="16" s="1"/>
  <c r="M13" i="11"/>
  <c r="U13" i="11" s="1"/>
  <c r="V13" i="11" s="1"/>
  <c r="M12" i="14"/>
  <c r="U12" i="14" s="1"/>
  <c r="V12" i="14" s="1"/>
  <c r="M13" i="17"/>
  <c r="U13" i="17" s="1"/>
  <c r="V13" i="17" s="1"/>
  <c r="M14" i="17"/>
  <c r="U14" i="17" s="1"/>
  <c r="V14" i="17" s="1"/>
  <c r="M17" i="16"/>
  <c r="U17" i="16" s="1"/>
  <c r="V17" i="16" s="1"/>
  <c r="M20" i="15"/>
  <c r="U20" i="15" s="1"/>
  <c r="V20" i="15" s="1"/>
  <c r="P30" i="16"/>
  <c r="Q30" i="16" s="1"/>
  <c r="P30" i="11"/>
  <c r="Q30" i="11" s="1"/>
  <c r="P30" i="12"/>
  <c r="Q30" i="12" s="1"/>
  <c r="P30" i="14"/>
  <c r="Q30" i="14" s="1"/>
  <c r="P30" i="17"/>
  <c r="Q30" i="17" s="1"/>
  <c r="P30" i="15"/>
  <c r="Q30" i="15" s="1"/>
  <c r="P30" i="13"/>
  <c r="Q30" i="13" s="1"/>
  <c r="P54" i="11"/>
  <c r="Q54" i="11" s="1"/>
  <c r="P54" i="16"/>
  <c r="Q54" i="16" s="1"/>
  <c r="P54" i="14"/>
  <c r="Q54" i="14" s="1"/>
  <c r="P54" i="12"/>
  <c r="Q54" i="12" s="1"/>
  <c r="P54" i="15"/>
  <c r="Q54" i="15" s="1"/>
  <c r="P54" i="17"/>
  <c r="Q54" i="17" s="1"/>
  <c r="P54" i="13"/>
  <c r="Q54" i="13" s="1"/>
  <c r="P88" i="11"/>
  <c r="Q88" i="11" s="1"/>
  <c r="P88" i="16"/>
  <c r="Q88" i="16" s="1"/>
  <c r="P88" i="14"/>
  <c r="Q88" i="14" s="1"/>
  <c r="P88" i="17"/>
  <c r="Q88" i="17" s="1"/>
  <c r="P88" i="15"/>
  <c r="Q88" i="15" s="1"/>
  <c r="P88" i="12"/>
  <c r="Q88" i="12" s="1"/>
  <c r="P88" i="13"/>
  <c r="Q88" i="13" s="1"/>
  <c r="P84" i="16"/>
  <c r="Q84" i="16" s="1"/>
  <c r="P84" i="11"/>
  <c r="Q84" i="11" s="1"/>
  <c r="P84" i="14"/>
  <c r="Q84" i="14" s="1"/>
  <c r="P84" i="17"/>
  <c r="Q84" i="17" s="1"/>
  <c r="P84" i="15"/>
  <c r="Q84" i="15" s="1"/>
  <c r="P84" i="13"/>
  <c r="Q84" i="13" s="1"/>
  <c r="P84" i="12"/>
  <c r="Q84" i="12" s="1"/>
  <c r="I9" i="10"/>
  <c r="I17" i="10"/>
  <c r="I25" i="10"/>
  <c r="I33" i="10"/>
  <c r="I41" i="10"/>
  <c r="I49" i="10"/>
  <c r="I57" i="10"/>
  <c r="I65" i="10"/>
  <c r="I85" i="10"/>
  <c r="I87" i="10"/>
  <c r="I81" i="10"/>
  <c r="I83" i="10"/>
  <c r="I74" i="10"/>
  <c r="P12" i="11" l="1"/>
  <c r="Q12" i="11" s="1"/>
  <c r="P45" i="13"/>
  <c r="Q45" i="13" s="1"/>
  <c r="P45" i="17"/>
  <c r="Q45" i="17" s="1"/>
  <c r="P45" i="14"/>
  <c r="Q45" i="14" s="1"/>
  <c r="P45" i="16"/>
  <c r="Q45" i="16" s="1"/>
  <c r="P82" i="17"/>
  <c r="Q82" i="17" s="1"/>
  <c r="P64" i="13"/>
  <c r="Q64" i="13" s="1"/>
  <c r="P64" i="12"/>
  <c r="Q64" i="12" s="1"/>
  <c r="P64" i="15"/>
  <c r="Q64" i="15" s="1"/>
  <c r="P64" i="11"/>
  <c r="Q64" i="11" s="1"/>
  <c r="P66" i="17"/>
  <c r="Q66" i="17" s="1"/>
  <c r="P21" i="13"/>
  <c r="Q21" i="13" s="1"/>
  <c r="P82" i="12"/>
  <c r="Q82" i="12" s="1"/>
  <c r="P66" i="13"/>
  <c r="Q66" i="13" s="1"/>
  <c r="P71" i="17"/>
  <c r="Q71" i="17" s="1"/>
  <c r="P66" i="12"/>
  <c r="Q66" i="12" s="1"/>
  <c r="P64" i="17"/>
  <c r="Q64" i="17" s="1"/>
  <c r="P66" i="15"/>
  <c r="Q66" i="15" s="1"/>
  <c r="P12" i="15"/>
  <c r="Q12" i="15" s="1"/>
  <c r="P64" i="14"/>
  <c r="Q64" i="14" s="1"/>
  <c r="P66" i="14"/>
  <c r="Q66" i="14" s="1"/>
  <c r="P66" i="11"/>
  <c r="Q66" i="11" s="1"/>
  <c r="P82" i="16"/>
  <c r="Q82" i="16" s="1"/>
  <c r="P12" i="17"/>
  <c r="Q12" i="17" s="1"/>
  <c r="P69" i="14"/>
  <c r="Q69" i="14" s="1"/>
  <c r="P82" i="13"/>
  <c r="Q82" i="13" s="1"/>
  <c r="P69" i="16"/>
  <c r="Q69" i="16" s="1"/>
  <c r="P21" i="12"/>
  <c r="Q21" i="12" s="1"/>
  <c r="P20" i="16"/>
  <c r="Q20" i="16" s="1"/>
  <c r="P82" i="11"/>
  <c r="Q82" i="11" s="1"/>
  <c r="P34" i="13"/>
  <c r="Q34" i="13" s="1"/>
  <c r="P34" i="17"/>
  <c r="Q34" i="17" s="1"/>
  <c r="P15" i="11"/>
  <c r="Q15" i="11" s="1"/>
  <c r="P26" i="15"/>
  <c r="Q26" i="15" s="1"/>
  <c r="P18" i="12"/>
  <c r="Q18" i="12" s="1"/>
  <c r="P62" i="17"/>
  <c r="Q62" i="17" s="1"/>
  <c r="P36" i="16"/>
  <c r="Q36" i="16" s="1"/>
  <c r="P18" i="13"/>
  <c r="Q18" i="13" s="1"/>
  <c r="P69" i="12"/>
  <c r="Q69" i="12" s="1"/>
  <c r="P28" i="12"/>
  <c r="Q28" i="12" s="1"/>
  <c r="P20" i="12"/>
  <c r="Q20" i="12" s="1"/>
  <c r="P10" i="14"/>
  <c r="Q10" i="14" s="1"/>
  <c r="P80" i="11"/>
  <c r="Q80" i="11" s="1"/>
  <c r="P10" i="13"/>
  <c r="Q10" i="13" s="1"/>
  <c r="P23" i="15"/>
  <c r="Q23" i="15" s="1"/>
  <c r="P58" i="12"/>
  <c r="Q58" i="12" s="1"/>
  <c r="P10" i="15"/>
  <c r="Q10" i="15" s="1"/>
  <c r="P58" i="16"/>
  <c r="Q58" i="16" s="1"/>
  <c r="P50" i="11"/>
  <c r="Q50" i="11" s="1"/>
  <c r="P36" i="12"/>
  <c r="Q36" i="12" s="1"/>
  <c r="P42" i="13"/>
  <c r="Q42" i="13" s="1"/>
  <c r="P34" i="15"/>
  <c r="Q34" i="15" s="1"/>
  <c r="P10" i="17"/>
  <c r="Q10" i="17" s="1"/>
  <c r="P20" i="14"/>
  <c r="Q20" i="14" s="1"/>
  <c r="P15" i="14"/>
  <c r="Q15" i="14" s="1"/>
  <c r="P34" i="11"/>
  <c r="Q34" i="11" s="1"/>
  <c r="P10" i="11"/>
  <c r="Q10" i="11" s="1"/>
  <c r="P80" i="17"/>
  <c r="Q80" i="17" s="1"/>
  <c r="P50" i="13"/>
  <c r="Q50" i="13" s="1"/>
  <c r="P26" i="11"/>
  <c r="Q26" i="11" s="1"/>
  <c r="P44" i="14"/>
  <c r="Q44" i="14" s="1"/>
  <c r="P62" i="16"/>
  <c r="Q62" i="16" s="1"/>
  <c r="P42" i="12"/>
  <c r="Q42" i="12" s="1"/>
  <c r="P18" i="14"/>
  <c r="Q18" i="14" s="1"/>
  <c r="P12" i="13"/>
  <c r="Q12" i="13" s="1"/>
  <c r="P103" i="14"/>
  <c r="Q103" i="14" s="1"/>
  <c r="P44" i="15"/>
  <c r="Q44" i="15" s="1"/>
  <c r="P44" i="16"/>
  <c r="Q44" i="16" s="1"/>
  <c r="P28" i="11"/>
  <c r="Q28" i="11" s="1"/>
  <c r="P52" i="13"/>
  <c r="Q52" i="13" s="1"/>
  <c r="P36" i="11"/>
  <c r="Q36" i="11" s="1"/>
  <c r="P50" i="17"/>
  <c r="Q50" i="17" s="1"/>
  <c r="P34" i="16"/>
  <c r="Q34" i="16" s="1"/>
  <c r="P10" i="12"/>
  <c r="Q10" i="12" s="1"/>
  <c r="P12" i="12"/>
  <c r="Q12" i="12" s="1"/>
  <c r="P60" i="17"/>
  <c r="Q60" i="17" s="1"/>
  <c r="P58" i="14"/>
  <c r="Q58" i="14" s="1"/>
  <c r="P42" i="17"/>
  <c r="Q42" i="17" s="1"/>
  <c r="P26" i="12"/>
  <c r="Q26" i="12" s="1"/>
  <c r="P28" i="13"/>
  <c r="Q28" i="13" s="1"/>
  <c r="P58" i="11"/>
  <c r="Q58" i="11" s="1"/>
  <c r="P42" i="15"/>
  <c r="Q42" i="15" s="1"/>
  <c r="P26" i="14"/>
  <c r="Q26" i="14" s="1"/>
  <c r="P44" i="11"/>
  <c r="Q44" i="11" s="1"/>
  <c r="P60" i="11"/>
  <c r="Q60" i="11" s="1"/>
  <c r="P80" i="12"/>
  <c r="Q80" i="12" s="1"/>
  <c r="P50" i="16"/>
  <c r="Q50" i="16" s="1"/>
  <c r="P34" i="12"/>
  <c r="Q34" i="12" s="1"/>
  <c r="P18" i="11"/>
  <c r="Q18" i="11" s="1"/>
  <c r="P12" i="16"/>
  <c r="Q12" i="16" s="1"/>
  <c r="P28" i="14"/>
  <c r="Q28" i="14" s="1"/>
  <c r="P58" i="13"/>
  <c r="Q58" i="13" s="1"/>
  <c r="P50" i="12"/>
  <c r="Q50" i="12" s="1"/>
  <c r="P42" i="11"/>
  <c r="Q42" i="11" s="1"/>
  <c r="P26" i="13"/>
  <c r="Q26" i="13" s="1"/>
  <c r="P18" i="17"/>
  <c r="Q18" i="17" s="1"/>
  <c r="P58" i="17"/>
  <c r="Q58" i="17" s="1"/>
  <c r="P50" i="14"/>
  <c r="Q50" i="14" s="1"/>
  <c r="P42" i="16"/>
  <c r="Q42" i="16" s="1"/>
  <c r="P26" i="17"/>
  <c r="Q26" i="17" s="1"/>
  <c r="P18" i="15"/>
  <c r="Q18" i="15" s="1"/>
  <c r="P52" i="14"/>
  <c r="Q52" i="14" s="1"/>
  <c r="P36" i="15"/>
  <c r="Q36" i="15" s="1"/>
  <c r="P44" i="12"/>
  <c r="Q44" i="12" s="1"/>
  <c r="P60" i="13"/>
  <c r="Q60" i="13" s="1"/>
  <c r="P20" i="11"/>
  <c r="Q20" i="11" s="1"/>
  <c r="P68" i="15"/>
  <c r="Q68" i="15" s="1"/>
  <c r="P28" i="17"/>
  <c r="Q28" i="17" s="1"/>
  <c r="P20" i="15"/>
  <c r="Q20" i="15" s="1"/>
  <c r="P31" i="15"/>
  <c r="Q31" i="15" s="1"/>
  <c r="P68" i="14"/>
  <c r="Q68" i="14" s="1"/>
  <c r="P63" i="16"/>
  <c r="Q63" i="16" s="1"/>
  <c r="P68" i="12"/>
  <c r="Q68" i="12" s="1"/>
  <c r="P60" i="15"/>
  <c r="Q60" i="15" s="1"/>
  <c r="P52" i="17"/>
  <c r="Q52" i="17" s="1"/>
  <c r="P68" i="11"/>
  <c r="Q68" i="11" s="1"/>
  <c r="P60" i="14"/>
  <c r="Q60" i="14" s="1"/>
  <c r="P52" i="15"/>
  <c r="Q52" i="15" s="1"/>
  <c r="P68" i="16"/>
  <c r="Q68" i="16" s="1"/>
  <c r="P28" i="15"/>
  <c r="Q28" i="15" s="1"/>
  <c r="P20" i="17"/>
  <c r="Q20" i="17" s="1"/>
  <c r="P36" i="13"/>
  <c r="Q36" i="13" s="1"/>
  <c r="P86" i="11"/>
  <c r="Q86" i="11" s="1"/>
  <c r="P101" i="17"/>
  <c r="Q101" i="17" s="1"/>
  <c r="P52" i="11"/>
  <c r="Q52" i="11" s="1"/>
  <c r="P13" i="15"/>
  <c r="Q13" i="15" s="1"/>
  <c r="P73" i="15"/>
  <c r="Q73" i="15" s="1"/>
  <c r="P73" i="14"/>
  <c r="Q73" i="14" s="1"/>
  <c r="P60" i="16"/>
  <c r="Q60" i="16" s="1"/>
  <c r="P13" i="14"/>
  <c r="Q13" i="14" s="1"/>
  <c r="P52" i="16"/>
  <c r="Q52" i="16" s="1"/>
  <c r="P23" i="17"/>
  <c r="Q23" i="17" s="1"/>
  <c r="P68" i="13"/>
  <c r="Q68" i="13" s="1"/>
  <c r="P36" i="17"/>
  <c r="Q36" i="17" s="1"/>
  <c r="P44" i="13"/>
  <c r="Q44" i="13" s="1"/>
  <c r="P71" i="12"/>
  <c r="Q71" i="12" s="1"/>
  <c r="P79" i="12"/>
  <c r="Q79" i="12" s="1"/>
  <c r="P79" i="13"/>
  <c r="Q79" i="13" s="1"/>
  <c r="P101" i="11"/>
  <c r="Q101" i="11" s="1"/>
  <c r="P79" i="11"/>
  <c r="Q79" i="11" s="1"/>
  <c r="P63" i="17"/>
  <c r="Q63" i="17" s="1"/>
  <c r="P62" i="14"/>
  <c r="Q62" i="14" s="1"/>
  <c r="P80" i="13"/>
  <c r="Q80" i="13" s="1"/>
  <c r="P39" i="13"/>
  <c r="Q39" i="13" s="1"/>
  <c r="P90" i="13"/>
  <c r="Q90" i="13" s="1"/>
  <c r="P14" i="15"/>
  <c r="Q14" i="15" s="1"/>
  <c r="P97" i="11"/>
  <c r="Q97" i="11" s="1"/>
  <c r="P15" i="15"/>
  <c r="Q15" i="15" s="1"/>
  <c r="P73" i="13"/>
  <c r="Q73" i="13" s="1"/>
  <c r="P62" i="13"/>
  <c r="Q62" i="13" s="1"/>
  <c r="P79" i="15"/>
  <c r="Q79" i="15" s="1"/>
  <c r="P80" i="14"/>
  <c r="Q80" i="14" s="1"/>
  <c r="P15" i="17"/>
  <c r="Q15" i="17" s="1"/>
  <c r="P62" i="11"/>
  <c r="Q62" i="11" s="1"/>
  <c r="P97" i="15"/>
  <c r="Q97" i="15" s="1"/>
  <c r="P15" i="16"/>
  <c r="Q15" i="16" s="1"/>
  <c r="P70" i="15"/>
  <c r="Q70" i="15" s="1"/>
  <c r="P62" i="15"/>
  <c r="Q62" i="15" s="1"/>
  <c r="P79" i="16"/>
  <c r="Q79" i="16" s="1"/>
  <c r="P80" i="15"/>
  <c r="Q80" i="15" s="1"/>
  <c r="P63" i="15"/>
  <c r="Q63" i="15" s="1"/>
  <c r="P15" i="13"/>
  <c r="Q15" i="13" s="1"/>
  <c r="P14" i="13"/>
  <c r="Q14" i="13" s="1"/>
  <c r="P55" i="15"/>
  <c r="Q55" i="15" s="1"/>
  <c r="P70" i="12"/>
  <c r="Q70" i="12" s="1"/>
  <c r="P97" i="16"/>
  <c r="Q97" i="16" s="1"/>
  <c r="P39" i="15"/>
  <c r="Q39" i="15" s="1"/>
  <c r="P70" i="11"/>
  <c r="Q70" i="11" s="1"/>
  <c r="P14" i="17"/>
  <c r="Q14" i="17" s="1"/>
  <c r="P37" i="14"/>
  <c r="Q37" i="14" s="1"/>
  <c r="P71" i="11"/>
  <c r="Q71" i="11" s="1"/>
  <c r="P31" i="12"/>
  <c r="Q31" i="12" s="1"/>
  <c r="P46" i="14"/>
  <c r="Q46" i="14" s="1"/>
  <c r="P101" i="13"/>
  <c r="Q101" i="13" s="1"/>
  <c r="P97" i="12"/>
  <c r="Q97" i="12" s="1"/>
  <c r="P63" i="11"/>
  <c r="Q63" i="11" s="1"/>
  <c r="P23" i="14"/>
  <c r="Q23" i="14" s="1"/>
  <c r="P22" i="11"/>
  <c r="Q22" i="11" s="1"/>
  <c r="P61" i="17"/>
  <c r="Q61" i="17" s="1"/>
  <c r="P14" i="14"/>
  <c r="Q14" i="14" s="1"/>
  <c r="P13" i="11"/>
  <c r="Q13" i="11" s="1"/>
  <c r="P71" i="13"/>
  <c r="Q71" i="13" s="1"/>
  <c r="P47" i="11"/>
  <c r="Q47" i="11" s="1"/>
  <c r="P23" i="11"/>
  <c r="Q23" i="11" s="1"/>
  <c r="P22" i="12"/>
  <c r="Q22" i="12" s="1"/>
  <c r="P95" i="14"/>
  <c r="Q95" i="14" s="1"/>
  <c r="P14" i="12"/>
  <c r="Q14" i="12" s="1"/>
  <c r="P55" i="16"/>
  <c r="Q55" i="16" s="1"/>
  <c r="P31" i="16"/>
  <c r="Q31" i="16" s="1"/>
  <c r="P37" i="13"/>
  <c r="Q37" i="13" s="1"/>
  <c r="P39" i="17"/>
  <c r="Q39" i="17" s="1"/>
  <c r="P76" i="17"/>
  <c r="Q76" i="17" s="1"/>
  <c r="P95" i="15"/>
  <c r="Q95" i="15" s="1"/>
  <c r="P38" i="17"/>
  <c r="Q38" i="17" s="1"/>
  <c r="P13" i="17"/>
  <c r="Q13" i="17" s="1"/>
  <c r="P71" i="15"/>
  <c r="Q71" i="15" s="1"/>
  <c r="P55" i="12"/>
  <c r="Q55" i="12" s="1"/>
  <c r="P31" i="11"/>
  <c r="Q31" i="11" s="1"/>
  <c r="P70" i="13"/>
  <c r="Q70" i="13" s="1"/>
  <c r="P103" i="17"/>
  <c r="Q103" i="17" s="1"/>
  <c r="P29" i="13"/>
  <c r="Q29" i="13" s="1"/>
  <c r="P95" i="16"/>
  <c r="Q95" i="16" s="1"/>
  <c r="P38" i="15"/>
  <c r="Q38" i="15" s="1"/>
  <c r="P55" i="13"/>
  <c r="Q55" i="13" s="1"/>
  <c r="P31" i="17"/>
  <c r="Q31" i="17" s="1"/>
  <c r="P22" i="15"/>
  <c r="Q22" i="15" s="1"/>
  <c r="P37" i="11"/>
  <c r="Q37" i="11" s="1"/>
  <c r="P53" i="17"/>
  <c r="Q53" i="17" s="1"/>
  <c r="P101" i="15"/>
  <c r="Q101" i="15" s="1"/>
  <c r="P95" i="17"/>
  <c r="Q95" i="17" s="1"/>
  <c r="P37" i="12"/>
  <c r="Q37" i="12" s="1"/>
  <c r="P97" i="17"/>
  <c r="Q97" i="17" s="1"/>
  <c r="P63" i="13"/>
  <c r="Q63" i="13" s="1"/>
  <c r="P55" i="14"/>
  <c r="Q55" i="14" s="1"/>
  <c r="P31" i="14"/>
  <c r="Q31" i="14" s="1"/>
  <c r="P23" i="16"/>
  <c r="Q23" i="16" s="1"/>
  <c r="P22" i="14"/>
  <c r="Q22" i="14" s="1"/>
  <c r="P53" i="14"/>
  <c r="Q53" i="14" s="1"/>
  <c r="P91" i="14"/>
  <c r="Q91" i="14" s="1"/>
  <c r="P46" i="13"/>
  <c r="Q46" i="13" s="1"/>
  <c r="P29" i="15"/>
  <c r="Q29" i="15" s="1"/>
  <c r="P99" i="15"/>
  <c r="Q99" i="15" s="1"/>
  <c r="P46" i="17"/>
  <c r="Q46" i="17" s="1"/>
  <c r="P99" i="12"/>
  <c r="Q99" i="12" s="1"/>
  <c r="P63" i="12"/>
  <c r="Q63" i="12" s="1"/>
  <c r="P47" i="12"/>
  <c r="Q47" i="12" s="1"/>
  <c r="P46" i="15"/>
  <c r="Q46" i="15" s="1"/>
  <c r="P99" i="13"/>
  <c r="Q99" i="13" s="1"/>
  <c r="P61" i="11"/>
  <c r="Q61" i="11" s="1"/>
  <c r="P46" i="16"/>
  <c r="Q46" i="16" s="1"/>
  <c r="P53" i="13"/>
  <c r="Q53" i="13" s="1"/>
  <c r="P91" i="15"/>
  <c r="Q91" i="15" s="1"/>
  <c r="P96" i="14"/>
  <c r="Q96" i="14" s="1"/>
  <c r="P61" i="12"/>
  <c r="Q61" i="12" s="1"/>
  <c r="P38" i="14"/>
  <c r="Q38" i="14" s="1"/>
  <c r="P86" i="13"/>
  <c r="Q86" i="13" s="1"/>
  <c r="P47" i="13"/>
  <c r="Q47" i="13" s="1"/>
  <c r="P39" i="14"/>
  <c r="Q39" i="14" s="1"/>
  <c r="P90" i="14"/>
  <c r="Q90" i="14" s="1"/>
  <c r="P22" i="17"/>
  <c r="Q22" i="17" s="1"/>
  <c r="P91" i="11"/>
  <c r="Q91" i="11" s="1"/>
  <c r="P99" i="17"/>
  <c r="Q99" i="17" s="1"/>
  <c r="P38" i="11"/>
  <c r="Q38" i="11" s="1"/>
  <c r="P86" i="17"/>
  <c r="Q86" i="17" s="1"/>
  <c r="P47" i="17"/>
  <c r="Q47" i="17" s="1"/>
  <c r="P39" i="12"/>
  <c r="Q39" i="12" s="1"/>
  <c r="P90" i="16"/>
  <c r="Q90" i="16" s="1"/>
  <c r="P38" i="16"/>
  <c r="Q38" i="16" s="1"/>
  <c r="P86" i="14"/>
  <c r="Q86" i="14" s="1"/>
  <c r="P47" i="15"/>
  <c r="Q47" i="15" s="1"/>
  <c r="P39" i="16"/>
  <c r="Q39" i="16" s="1"/>
  <c r="P90" i="11"/>
  <c r="Q90" i="11" s="1"/>
  <c r="P76" i="11"/>
  <c r="Q76" i="11" s="1"/>
  <c r="P73" i="12"/>
  <c r="Q73" i="12" s="1"/>
  <c r="P96" i="17"/>
  <c r="Q96" i="17" s="1"/>
  <c r="P61" i="13"/>
  <c r="Q61" i="13" s="1"/>
  <c r="P86" i="16"/>
  <c r="Q86" i="16" s="1"/>
  <c r="P103" i="13"/>
  <c r="Q103" i="13" s="1"/>
  <c r="P29" i="14"/>
  <c r="Q29" i="14" s="1"/>
  <c r="P99" i="14"/>
  <c r="Q99" i="14" s="1"/>
  <c r="P76" i="13"/>
  <c r="Q76" i="13" s="1"/>
  <c r="P103" i="16"/>
  <c r="Q103" i="16" s="1"/>
  <c r="P29" i="11"/>
  <c r="Q29" i="11" s="1"/>
  <c r="P76" i="15"/>
  <c r="Q76" i="15" s="1"/>
  <c r="P95" i="13"/>
  <c r="Q95" i="13" s="1"/>
  <c r="P14" i="16"/>
  <c r="Q14" i="16" s="1"/>
  <c r="P37" i="15"/>
  <c r="Q37" i="15" s="1"/>
  <c r="P13" i="12"/>
  <c r="Q13" i="12" s="1"/>
  <c r="P97" i="14"/>
  <c r="Q97" i="14" s="1"/>
  <c r="P71" i="16"/>
  <c r="Q71" i="16" s="1"/>
  <c r="P55" i="17"/>
  <c r="Q55" i="17" s="1"/>
  <c r="P47" i="14"/>
  <c r="Q47" i="14" s="1"/>
  <c r="P23" i="13"/>
  <c r="Q23" i="13" s="1"/>
  <c r="P90" i="17"/>
  <c r="Q90" i="17" s="1"/>
  <c r="P70" i="16"/>
  <c r="Q70" i="16" s="1"/>
  <c r="P22" i="16"/>
  <c r="Q22" i="16" s="1"/>
  <c r="P76" i="16"/>
  <c r="Q76" i="16" s="1"/>
  <c r="P53" i="11"/>
  <c r="Q53" i="11" s="1"/>
  <c r="P73" i="17"/>
  <c r="Q73" i="17" s="1"/>
  <c r="P96" i="11"/>
  <c r="Q96" i="11" s="1"/>
  <c r="P99" i="11"/>
  <c r="Q99" i="11" s="1"/>
  <c r="P101" i="16"/>
  <c r="Q101" i="16" s="1"/>
  <c r="P95" i="11"/>
  <c r="Q95" i="11" s="1"/>
  <c r="P38" i="13"/>
  <c r="Q38" i="13" s="1"/>
  <c r="P37" i="17"/>
  <c r="Q37" i="17" s="1"/>
  <c r="P13" i="13"/>
  <c r="Q13" i="13" s="1"/>
  <c r="P90" i="12"/>
  <c r="Q90" i="12" s="1"/>
  <c r="P70" i="14"/>
  <c r="Q70" i="14" s="1"/>
  <c r="P46" i="11"/>
  <c r="Q46" i="11" s="1"/>
  <c r="P76" i="12"/>
  <c r="Q76" i="12" s="1"/>
  <c r="P103" i="11"/>
  <c r="Q103" i="11" s="1"/>
  <c r="P29" i="17"/>
  <c r="Q29" i="17" s="1"/>
  <c r="P73" i="16"/>
  <c r="Q73" i="16" s="1"/>
  <c r="P91" i="16"/>
  <c r="Q91" i="16" s="1"/>
  <c r="Y108" i="12"/>
  <c r="Y107" i="12" s="1"/>
  <c r="Y106" i="12" s="1"/>
  <c r="Y105" i="12" s="1"/>
  <c r="Y104" i="12" s="1"/>
  <c r="Y103" i="12" s="1"/>
  <c r="Y102" i="12" s="1"/>
  <c r="Y101" i="12" s="1"/>
  <c r="Y100" i="12" s="1"/>
  <c r="Y99" i="12" s="1"/>
  <c r="Y98" i="12" s="1"/>
  <c r="Y97" i="12" s="1"/>
  <c r="Y96" i="12" s="1"/>
  <c r="Y95" i="12" s="1"/>
  <c r="Y94" i="12" s="1"/>
  <c r="Y93" i="12" s="1"/>
  <c r="Y92" i="12" s="1"/>
  <c r="Y91" i="12" s="1"/>
  <c r="Y90" i="12" s="1"/>
  <c r="Y89" i="12" s="1"/>
  <c r="Y88" i="12" s="1"/>
  <c r="Y87" i="12" s="1"/>
  <c r="Y86" i="12" s="1"/>
  <c r="Y85" i="12" s="1"/>
  <c r="Y84" i="12" s="1"/>
  <c r="Y83" i="12" s="1"/>
  <c r="Y82" i="12" s="1"/>
  <c r="Y81" i="12" s="1"/>
  <c r="Y80" i="12" s="1"/>
  <c r="Y79" i="12" s="1"/>
  <c r="Y78" i="12" s="1"/>
  <c r="Y77" i="12" s="1"/>
  <c r="Y76" i="12" s="1"/>
  <c r="Y75" i="12" s="1"/>
  <c r="Y74" i="12" s="1"/>
  <c r="Y73" i="12" s="1"/>
  <c r="Y72" i="12" s="1"/>
  <c r="Y71" i="12" s="1"/>
  <c r="Y70" i="12" s="1"/>
  <c r="Y69" i="12" s="1"/>
  <c r="Y68" i="12" s="1"/>
  <c r="Y67" i="12" s="1"/>
  <c r="Y66" i="12" s="1"/>
  <c r="Y65" i="12" s="1"/>
  <c r="Y64" i="12" s="1"/>
  <c r="Y63" i="12" s="1"/>
  <c r="Y62" i="12" s="1"/>
  <c r="Y61" i="12" s="1"/>
  <c r="Y60" i="12" s="1"/>
  <c r="Y59" i="12" s="1"/>
  <c r="Y58" i="12" s="1"/>
  <c r="Y57" i="12" s="1"/>
  <c r="Y56" i="12" s="1"/>
  <c r="Y55" i="12" s="1"/>
  <c r="Y54" i="12" s="1"/>
  <c r="Y53" i="12" s="1"/>
  <c r="Y52" i="12" s="1"/>
  <c r="Y51" i="12" s="1"/>
  <c r="Y50" i="12" s="1"/>
  <c r="Y49" i="12" s="1"/>
  <c r="Y48" i="12" s="1"/>
  <c r="Y47" i="12" s="1"/>
  <c r="Y46" i="12" s="1"/>
  <c r="Y45" i="12" s="1"/>
  <c r="Y44" i="12" s="1"/>
  <c r="Y43" i="12" s="1"/>
  <c r="Y42" i="12" s="1"/>
  <c r="Y41" i="12" s="1"/>
  <c r="Y40" i="12" s="1"/>
  <c r="Y39" i="12" s="1"/>
  <c r="Y38" i="12" s="1"/>
  <c r="Y37" i="12" s="1"/>
  <c r="Y36" i="12" s="1"/>
  <c r="Y35" i="12" s="1"/>
  <c r="Y34" i="12" s="1"/>
  <c r="Y33" i="12" s="1"/>
  <c r="Y32" i="12" s="1"/>
  <c r="Y31" i="12" s="1"/>
  <c r="Y30" i="12" s="1"/>
  <c r="Y29" i="12" s="1"/>
  <c r="Y28" i="12" s="1"/>
  <c r="Y27" i="12" s="1"/>
  <c r="Y26" i="12" s="1"/>
  <c r="Y25" i="12" s="1"/>
  <c r="Y24" i="12" s="1"/>
  <c r="Y23" i="12" s="1"/>
  <c r="Y22" i="12" s="1"/>
  <c r="Y21" i="12" s="1"/>
  <c r="Y20" i="12" s="1"/>
  <c r="Y19" i="12" s="1"/>
  <c r="Y18" i="12" s="1"/>
  <c r="Y17" i="12" s="1"/>
  <c r="Y16" i="12" s="1"/>
  <c r="Y15" i="12" s="1"/>
  <c r="Y14" i="12" s="1"/>
  <c r="Y13" i="12" s="1"/>
  <c r="Y12" i="12" s="1"/>
  <c r="P101" i="14"/>
  <c r="Q101" i="14" s="1"/>
  <c r="P61" i="15"/>
  <c r="Q61" i="15" s="1"/>
  <c r="P86" i="12"/>
  <c r="Q86" i="12" s="1"/>
  <c r="P103" i="15"/>
  <c r="Q103" i="15" s="1"/>
  <c r="P53" i="12"/>
  <c r="Q53" i="12" s="1"/>
  <c r="P29" i="16"/>
  <c r="Q29" i="16" s="1"/>
  <c r="P91" i="17"/>
  <c r="Q91" i="17" s="1"/>
  <c r="P96" i="16"/>
  <c r="Q96" i="16" s="1"/>
  <c r="P79" i="17"/>
  <c r="Q79" i="17" s="1"/>
  <c r="P61" i="16"/>
  <c r="Q61" i="16" s="1"/>
  <c r="P53" i="15"/>
  <c r="Q53" i="15" s="1"/>
  <c r="P96" i="13"/>
  <c r="Q96" i="13" s="1"/>
  <c r="W109" i="13"/>
  <c r="Z109" i="13" s="1"/>
  <c r="AA109" i="13"/>
  <c r="AA109" i="17"/>
  <c r="W109" i="17"/>
  <c r="Z109" i="17" s="1"/>
  <c r="AA108" i="17" s="1"/>
  <c r="P108" i="16"/>
  <c r="Q108" i="16" s="1"/>
  <c r="X108" i="16" s="1"/>
  <c r="X107" i="16" s="1"/>
  <c r="P108" i="11"/>
  <c r="Q108" i="11" s="1"/>
  <c r="X108" i="11" s="1"/>
  <c r="X107" i="11" s="1"/>
  <c r="P108" i="17"/>
  <c r="Q108" i="17" s="1"/>
  <c r="X108" i="17" s="1"/>
  <c r="X107" i="17" s="1"/>
  <c r="P108" i="14"/>
  <c r="Q108" i="14" s="1"/>
  <c r="X108" i="14" s="1"/>
  <c r="X107" i="14" s="1"/>
  <c r="P108" i="13"/>
  <c r="Q108" i="13" s="1"/>
  <c r="X108" i="13" s="1"/>
  <c r="X107" i="13" s="1"/>
  <c r="P108" i="15"/>
  <c r="Q108" i="15" s="1"/>
  <c r="X108" i="15" s="1"/>
  <c r="X107" i="15" s="1"/>
  <c r="P108" i="12"/>
  <c r="Q108" i="12" s="1"/>
  <c r="X108" i="12" s="1"/>
  <c r="X107" i="12" s="1"/>
  <c r="W109" i="16"/>
  <c r="Z109" i="16" s="1"/>
  <c r="AA109" i="16"/>
  <c r="P106" i="16"/>
  <c r="Q106" i="16" s="1"/>
  <c r="P106" i="11"/>
  <c r="Q106" i="11" s="1"/>
  <c r="P106" i="14"/>
  <c r="Q106" i="14" s="1"/>
  <c r="P106" i="17"/>
  <c r="Q106" i="17" s="1"/>
  <c r="P106" i="13"/>
  <c r="Q106" i="13" s="1"/>
  <c r="P106" i="12"/>
  <c r="Q106" i="12" s="1"/>
  <c r="P106" i="15"/>
  <c r="Q106" i="15" s="1"/>
  <c r="Y107" i="13"/>
  <c r="Y106" i="13" s="1"/>
  <c r="Y105" i="13" s="1"/>
  <c r="Y104" i="13" s="1"/>
  <c r="Y103" i="13" s="1"/>
  <c r="Y102" i="13" s="1"/>
  <c r="Y101" i="13" s="1"/>
  <c r="Y100" i="13" s="1"/>
  <c r="Y99" i="13" s="1"/>
  <c r="Y98" i="13" s="1"/>
  <c r="Y97" i="13" s="1"/>
  <c r="Y96" i="13" s="1"/>
  <c r="Y95" i="13" s="1"/>
  <c r="Y94" i="13" s="1"/>
  <c r="Y93" i="13" s="1"/>
  <c r="Y92" i="13" s="1"/>
  <c r="Y91" i="13" s="1"/>
  <c r="Y90" i="13" s="1"/>
  <c r="Y89" i="13" s="1"/>
  <c r="Y88" i="13" s="1"/>
  <c r="Y87" i="13" s="1"/>
  <c r="Y86" i="13" s="1"/>
  <c r="Y85" i="13" s="1"/>
  <c r="Y84" i="13" s="1"/>
  <c r="Y83" i="13" s="1"/>
  <c r="Y82" i="13" s="1"/>
  <c r="Y81" i="13" s="1"/>
  <c r="Y80" i="13" s="1"/>
  <c r="Y79" i="13" s="1"/>
  <c r="Y78" i="13" s="1"/>
  <c r="Y77" i="13" s="1"/>
  <c r="Y76" i="13" s="1"/>
  <c r="Y75" i="13" s="1"/>
  <c r="Y74" i="13" s="1"/>
  <c r="Y73" i="13" s="1"/>
  <c r="Y72" i="13" s="1"/>
  <c r="Y71" i="13" s="1"/>
  <c r="Y70" i="13" s="1"/>
  <c r="Y69" i="13" s="1"/>
  <c r="Y68" i="13" s="1"/>
  <c r="Y67" i="13" s="1"/>
  <c r="Y66" i="13" s="1"/>
  <c r="Y65" i="13" s="1"/>
  <c r="Y64" i="13" s="1"/>
  <c r="Y63" i="13" s="1"/>
  <c r="Y62" i="13" s="1"/>
  <c r="Y61" i="13" s="1"/>
  <c r="Y60" i="13" s="1"/>
  <c r="Y59" i="13" s="1"/>
  <c r="Y58" i="13" s="1"/>
  <c r="Y57" i="13" s="1"/>
  <c r="Y56" i="13" s="1"/>
  <c r="Y55" i="13" s="1"/>
  <c r="Y54" i="13" s="1"/>
  <c r="Y53" i="13" s="1"/>
  <c r="Y52" i="13" s="1"/>
  <c r="Y51" i="13" s="1"/>
  <c r="Y50" i="13" s="1"/>
  <c r="Y49" i="13" s="1"/>
  <c r="Y48" i="13" s="1"/>
  <c r="Y47" i="13" s="1"/>
  <c r="Y46" i="13" s="1"/>
  <c r="Y45" i="13" s="1"/>
  <c r="Y44" i="13" s="1"/>
  <c r="Y43" i="13" s="1"/>
  <c r="Y42" i="13" s="1"/>
  <c r="Y41" i="13" s="1"/>
  <c r="Y40" i="13" s="1"/>
  <c r="Y39" i="13" s="1"/>
  <c r="Y38" i="13" s="1"/>
  <c r="Y37" i="13" s="1"/>
  <c r="Y36" i="13" s="1"/>
  <c r="Y35" i="13" s="1"/>
  <c r="Y34" i="13" s="1"/>
  <c r="Y33" i="13" s="1"/>
  <c r="Y32" i="13" s="1"/>
  <c r="Y31" i="13" s="1"/>
  <c r="Y30" i="13" s="1"/>
  <c r="Y29" i="13" s="1"/>
  <c r="Y28" i="13" s="1"/>
  <c r="Y27" i="13" s="1"/>
  <c r="Y26" i="13" s="1"/>
  <c r="Y25" i="13" s="1"/>
  <c r="Y24" i="13" s="1"/>
  <c r="Y23" i="13" s="1"/>
  <c r="Y22" i="13" s="1"/>
  <c r="Y21" i="13" s="1"/>
  <c r="Y20" i="13" s="1"/>
  <c r="Y19" i="13" s="1"/>
  <c r="Y18" i="13" s="1"/>
  <c r="Y17" i="13" s="1"/>
  <c r="Y16" i="13" s="1"/>
  <c r="Y15" i="13" s="1"/>
  <c r="Y14" i="13" s="1"/>
  <c r="Y13" i="13" s="1"/>
  <c r="Y12" i="13" s="1"/>
  <c r="AA109" i="15"/>
  <c r="W109" i="15"/>
  <c r="Z109" i="15" s="1"/>
  <c r="W109" i="11"/>
  <c r="Z109" i="11" s="1"/>
  <c r="AA109" i="11"/>
  <c r="Y108" i="15"/>
  <c r="Y107" i="15" s="1"/>
  <c r="Y106" i="15" s="1"/>
  <c r="Y105" i="15" s="1"/>
  <c r="Y104" i="15" s="1"/>
  <c r="Y103" i="15" s="1"/>
  <c r="Y102" i="15" s="1"/>
  <c r="Y101" i="15" s="1"/>
  <c r="Y100" i="15" s="1"/>
  <c r="Y99" i="15" s="1"/>
  <c r="Y98" i="15" s="1"/>
  <c r="Y97" i="15" s="1"/>
  <c r="Y96" i="15" s="1"/>
  <c r="Y95" i="15" s="1"/>
  <c r="Y94" i="15" s="1"/>
  <c r="Y93" i="15" s="1"/>
  <c r="Y92" i="15" s="1"/>
  <c r="Y91" i="15" s="1"/>
  <c r="Y90" i="15" s="1"/>
  <c r="Y89" i="15" s="1"/>
  <c r="Y88" i="15" s="1"/>
  <c r="Y87" i="15" s="1"/>
  <c r="Y86" i="15" s="1"/>
  <c r="Y85" i="15" s="1"/>
  <c r="Y84" i="15" s="1"/>
  <c r="Y83" i="15" s="1"/>
  <c r="Y82" i="15" s="1"/>
  <c r="Y81" i="15" s="1"/>
  <c r="Y80" i="15" s="1"/>
  <c r="Y79" i="15" s="1"/>
  <c r="Y78" i="15" s="1"/>
  <c r="Y77" i="15" s="1"/>
  <c r="Y76" i="15" s="1"/>
  <c r="Y75" i="15" s="1"/>
  <c r="Y74" i="15" s="1"/>
  <c r="Y73" i="15" s="1"/>
  <c r="Y72" i="15" s="1"/>
  <c r="Y71" i="15" s="1"/>
  <c r="Y70" i="15" s="1"/>
  <c r="Y69" i="15" s="1"/>
  <c r="Y68" i="15" s="1"/>
  <c r="Y67" i="15" s="1"/>
  <c r="Y66" i="15" s="1"/>
  <c r="Y65" i="15" s="1"/>
  <c r="Y64" i="15" s="1"/>
  <c r="Y63" i="15" s="1"/>
  <c r="Y62" i="15" s="1"/>
  <c r="Y61" i="15" s="1"/>
  <c r="Y60" i="15" s="1"/>
  <c r="Y59" i="15" s="1"/>
  <c r="Y58" i="15" s="1"/>
  <c r="Y57" i="15" s="1"/>
  <c r="Y56" i="15" s="1"/>
  <c r="Y55" i="15" s="1"/>
  <c r="Y54" i="15" s="1"/>
  <c r="Y53" i="15" s="1"/>
  <c r="Y52" i="15" s="1"/>
  <c r="Y51" i="15" s="1"/>
  <c r="Y50" i="15" s="1"/>
  <c r="Y49" i="15" s="1"/>
  <c r="Y48" i="15" s="1"/>
  <c r="Y47" i="15" s="1"/>
  <c r="Y46" i="15" s="1"/>
  <c r="Y45" i="15" s="1"/>
  <c r="Y44" i="15" s="1"/>
  <c r="Y43" i="15" s="1"/>
  <c r="Y42" i="15" s="1"/>
  <c r="Y41" i="15" s="1"/>
  <c r="Y40" i="15" s="1"/>
  <c r="Y39" i="15" s="1"/>
  <c r="Y38" i="15" s="1"/>
  <c r="Y37" i="15" s="1"/>
  <c r="Y36" i="15" s="1"/>
  <c r="Y35" i="15" s="1"/>
  <c r="Y34" i="15" s="1"/>
  <c r="Y33" i="15" s="1"/>
  <c r="Y32" i="15" s="1"/>
  <c r="Y31" i="15" s="1"/>
  <c r="Y30" i="15" s="1"/>
  <c r="Y29" i="15" s="1"/>
  <c r="Y28" i="15" s="1"/>
  <c r="Y27" i="15" s="1"/>
  <c r="Y26" i="15" s="1"/>
  <c r="Y25" i="15" s="1"/>
  <c r="Y24" i="15" s="1"/>
  <c r="Y23" i="15" s="1"/>
  <c r="Y22" i="15" s="1"/>
  <c r="Y21" i="15" s="1"/>
  <c r="Y20" i="15" s="1"/>
  <c r="Y19" i="15" s="1"/>
  <c r="Y18" i="15" s="1"/>
  <c r="Y17" i="15" s="1"/>
  <c r="Y16" i="15" s="1"/>
  <c r="Y15" i="15" s="1"/>
  <c r="Y14" i="15" s="1"/>
  <c r="Y13" i="15" s="1"/>
  <c r="Y12" i="15" s="1"/>
  <c r="Y108" i="16"/>
  <c r="Y107" i="16" s="1"/>
  <c r="Y106" i="16" s="1"/>
  <c r="Y105" i="16" s="1"/>
  <c r="Y104" i="16" s="1"/>
  <c r="Y103" i="16" s="1"/>
  <c r="Y102" i="16" s="1"/>
  <c r="Y101" i="16" s="1"/>
  <c r="Y100" i="16" s="1"/>
  <c r="Y99" i="16" s="1"/>
  <c r="Y98" i="16" s="1"/>
  <c r="Y97" i="16" s="1"/>
  <c r="Y96" i="16" s="1"/>
  <c r="Y95" i="16" s="1"/>
  <c r="Y94" i="16" s="1"/>
  <c r="Y93" i="16" s="1"/>
  <c r="Y92" i="16" s="1"/>
  <c r="Y91" i="16" s="1"/>
  <c r="Y90" i="16" s="1"/>
  <c r="Y89" i="16" s="1"/>
  <c r="Y88" i="16" s="1"/>
  <c r="Y87" i="16" s="1"/>
  <c r="Y86" i="16" s="1"/>
  <c r="Y85" i="16" s="1"/>
  <c r="Y84" i="16" s="1"/>
  <c r="Y83" i="16" s="1"/>
  <c r="Y82" i="16" s="1"/>
  <c r="Y81" i="16" s="1"/>
  <c r="Y80" i="16" s="1"/>
  <c r="Y79" i="16" s="1"/>
  <c r="Y78" i="16" s="1"/>
  <c r="Y77" i="16" s="1"/>
  <c r="Y76" i="16" s="1"/>
  <c r="Y75" i="16" s="1"/>
  <c r="Y74" i="16" s="1"/>
  <c r="Y73" i="16" s="1"/>
  <c r="Y72" i="16" s="1"/>
  <c r="Y71" i="16" s="1"/>
  <c r="Y70" i="16" s="1"/>
  <c r="Y69" i="16" s="1"/>
  <c r="Y68" i="16" s="1"/>
  <c r="Y67" i="16" s="1"/>
  <c r="Y66" i="16" s="1"/>
  <c r="Y65" i="16" s="1"/>
  <c r="Y64" i="16" s="1"/>
  <c r="Y63" i="16" s="1"/>
  <c r="Y62" i="16" s="1"/>
  <c r="Y61" i="16" s="1"/>
  <c r="Y60" i="16" s="1"/>
  <c r="Y59" i="16" s="1"/>
  <c r="Y58" i="16" s="1"/>
  <c r="Y57" i="16" s="1"/>
  <c r="Y56" i="16" s="1"/>
  <c r="Y55" i="16" s="1"/>
  <c r="Y54" i="16" s="1"/>
  <c r="Y53" i="16" s="1"/>
  <c r="Y52" i="16" s="1"/>
  <c r="Y51" i="16" s="1"/>
  <c r="Y50" i="16" s="1"/>
  <c r="Y49" i="16" s="1"/>
  <c r="Y48" i="16" s="1"/>
  <c r="Y47" i="16" s="1"/>
  <c r="Y46" i="16" s="1"/>
  <c r="Y45" i="16" s="1"/>
  <c r="Y44" i="16" s="1"/>
  <c r="Y43" i="16" s="1"/>
  <c r="Y42" i="16" s="1"/>
  <c r="Y41" i="16" s="1"/>
  <c r="Y40" i="16" s="1"/>
  <c r="Y39" i="16" s="1"/>
  <c r="Y38" i="16" s="1"/>
  <c r="Y37" i="16" s="1"/>
  <c r="Y36" i="16" s="1"/>
  <c r="Y35" i="16" s="1"/>
  <c r="Y34" i="16" s="1"/>
  <c r="Y33" i="16" s="1"/>
  <c r="Y32" i="16" s="1"/>
  <c r="Y31" i="16" s="1"/>
  <c r="Y30" i="16" s="1"/>
  <c r="Y29" i="16" s="1"/>
  <c r="Y28" i="16" s="1"/>
  <c r="Y27" i="16" s="1"/>
  <c r="Y26" i="16" s="1"/>
  <c r="Y25" i="16" s="1"/>
  <c r="Y24" i="16" s="1"/>
  <c r="Y23" i="16" s="1"/>
  <c r="Y22" i="16" s="1"/>
  <c r="Y21" i="16" s="1"/>
  <c r="Y20" i="16" s="1"/>
  <c r="Y19" i="16" s="1"/>
  <c r="Y18" i="16" s="1"/>
  <c r="Y17" i="16" s="1"/>
  <c r="Y16" i="16" s="1"/>
  <c r="Y15" i="16" s="1"/>
  <c r="Y14" i="16" s="1"/>
  <c r="Y13" i="16" s="1"/>
  <c r="Y12" i="16" s="1"/>
  <c r="W109" i="12"/>
  <c r="Z109" i="12" s="1"/>
  <c r="AA109" i="12"/>
  <c r="Y108" i="14"/>
  <c r="Y107" i="14" s="1"/>
  <c r="Y106" i="14" s="1"/>
  <c r="Y105" i="14" s="1"/>
  <c r="Y104" i="14" s="1"/>
  <c r="Y103" i="14" s="1"/>
  <c r="Y102" i="14" s="1"/>
  <c r="Y101" i="14" s="1"/>
  <c r="Y100" i="14" s="1"/>
  <c r="Y99" i="14" s="1"/>
  <c r="Y98" i="14" s="1"/>
  <c r="Y97" i="14" s="1"/>
  <c r="Y96" i="14" s="1"/>
  <c r="Y95" i="14" s="1"/>
  <c r="Y94" i="14" s="1"/>
  <c r="Y93" i="14" s="1"/>
  <c r="Y92" i="14" s="1"/>
  <c r="Y91" i="14" s="1"/>
  <c r="Y90" i="14" s="1"/>
  <c r="Y89" i="14" s="1"/>
  <c r="Y88" i="14" s="1"/>
  <c r="Y87" i="14" s="1"/>
  <c r="Y86" i="14" s="1"/>
  <c r="Y85" i="14" s="1"/>
  <c r="Y84" i="14" s="1"/>
  <c r="Y83" i="14" s="1"/>
  <c r="Y82" i="14" s="1"/>
  <c r="Y81" i="14" s="1"/>
  <c r="Y80" i="14" s="1"/>
  <c r="Y79" i="14" s="1"/>
  <c r="Y78" i="14" s="1"/>
  <c r="Y77" i="14" s="1"/>
  <c r="Y76" i="14" s="1"/>
  <c r="Y75" i="14" s="1"/>
  <c r="Y74" i="14" s="1"/>
  <c r="Y73" i="14" s="1"/>
  <c r="Y72" i="14" s="1"/>
  <c r="Y71" i="14" s="1"/>
  <c r="Y70" i="14" s="1"/>
  <c r="Y69" i="14" s="1"/>
  <c r="Y68" i="14" s="1"/>
  <c r="Y67" i="14" s="1"/>
  <c r="Y66" i="14" s="1"/>
  <c r="Y65" i="14" s="1"/>
  <c r="Y64" i="14" s="1"/>
  <c r="Y63" i="14" s="1"/>
  <c r="Y62" i="14" s="1"/>
  <c r="Y61" i="14" s="1"/>
  <c r="Y60" i="14" s="1"/>
  <c r="Y59" i="14" s="1"/>
  <c r="Y58" i="14" s="1"/>
  <c r="Y57" i="14" s="1"/>
  <c r="Y56" i="14" s="1"/>
  <c r="Y55" i="14" s="1"/>
  <c r="Y54" i="14" s="1"/>
  <c r="Y53" i="14" s="1"/>
  <c r="Y52" i="14" s="1"/>
  <c r="Y51" i="14" s="1"/>
  <c r="Y50" i="14" s="1"/>
  <c r="Y49" i="14" s="1"/>
  <c r="Y48" i="14" s="1"/>
  <c r="Y47" i="14" s="1"/>
  <c r="Y46" i="14" s="1"/>
  <c r="Y45" i="14" s="1"/>
  <c r="Y44" i="14" s="1"/>
  <c r="Y43" i="14" s="1"/>
  <c r="Y42" i="14" s="1"/>
  <c r="Y41" i="14" s="1"/>
  <c r="Y40" i="14" s="1"/>
  <c r="Y39" i="14" s="1"/>
  <c r="Y38" i="14" s="1"/>
  <c r="Y37" i="14" s="1"/>
  <c r="Y36" i="14" s="1"/>
  <c r="Y35" i="14" s="1"/>
  <c r="Y34" i="14" s="1"/>
  <c r="Y33" i="14" s="1"/>
  <c r="Y32" i="14" s="1"/>
  <c r="Y31" i="14" s="1"/>
  <c r="Y30" i="14" s="1"/>
  <c r="Y29" i="14" s="1"/>
  <c r="Y28" i="14" s="1"/>
  <c r="Y27" i="14" s="1"/>
  <c r="Y26" i="14" s="1"/>
  <c r="Y25" i="14" s="1"/>
  <c r="Y24" i="14" s="1"/>
  <c r="Y23" i="14" s="1"/>
  <c r="Y22" i="14" s="1"/>
  <c r="Y21" i="14" s="1"/>
  <c r="Y20" i="14" s="1"/>
  <c r="Y19" i="14" s="1"/>
  <c r="Y18" i="14" s="1"/>
  <c r="Y17" i="14" s="1"/>
  <c r="Y16" i="14" s="1"/>
  <c r="Y15" i="14" s="1"/>
  <c r="Y14" i="14" s="1"/>
  <c r="Y13" i="14" s="1"/>
  <c r="Y12" i="14" s="1"/>
  <c r="P91" i="13"/>
  <c r="Q91" i="13" s="1"/>
  <c r="P96" i="12"/>
  <c r="Q96" i="12" s="1"/>
  <c r="Y108" i="17"/>
  <c r="Y107" i="17" s="1"/>
  <c r="Y106" i="17" s="1"/>
  <c r="Y105" i="17" s="1"/>
  <c r="Y104" i="17" s="1"/>
  <c r="Y103" i="17" s="1"/>
  <c r="Y102" i="17" s="1"/>
  <c r="Y101" i="17" s="1"/>
  <c r="Y100" i="17" s="1"/>
  <c r="Y99" i="17" s="1"/>
  <c r="Y98" i="17" s="1"/>
  <c r="Y97" i="17" s="1"/>
  <c r="Y96" i="17" s="1"/>
  <c r="Y95" i="17" s="1"/>
  <c r="Y94" i="17" s="1"/>
  <c r="Y93" i="17" s="1"/>
  <c r="Y92" i="17" s="1"/>
  <c r="Y91" i="17" s="1"/>
  <c r="Y90" i="17" s="1"/>
  <c r="Y89" i="17" s="1"/>
  <c r="Y88" i="17" s="1"/>
  <c r="Y87" i="17" s="1"/>
  <c r="Y86" i="17" s="1"/>
  <c r="Y85" i="17" s="1"/>
  <c r="Y84" i="17" s="1"/>
  <c r="Y83" i="17" s="1"/>
  <c r="Y82" i="17" s="1"/>
  <c r="Y81" i="17" s="1"/>
  <c r="Y80" i="17" s="1"/>
  <c r="Y79" i="17" s="1"/>
  <c r="Y78" i="17" s="1"/>
  <c r="Y77" i="17" s="1"/>
  <c r="Y76" i="17" s="1"/>
  <c r="Y75" i="17" s="1"/>
  <c r="Y74" i="17" s="1"/>
  <c r="Y73" i="17" s="1"/>
  <c r="Y72" i="17" s="1"/>
  <c r="Y71" i="17" s="1"/>
  <c r="Y70" i="17" s="1"/>
  <c r="Y69" i="17" s="1"/>
  <c r="Y68" i="17" s="1"/>
  <c r="Y67" i="17" s="1"/>
  <c r="Y66" i="17" s="1"/>
  <c r="Y65" i="17" s="1"/>
  <c r="Y64" i="17" s="1"/>
  <c r="Y63" i="17" s="1"/>
  <c r="Y62" i="17" s="1"/>
  <c r="Y61" i="17" s="1"/>
  <c r="Y60" i="17" s="1"/>
  <c r="Y59" i="17" s="1"/>
  <c r="Y58" i="17" s="1"/>
  <c r="Y57" i="17" s="1"/>
  <c r="Y56" i="17" s="1"/>
  <c r="Y55" i="17" s="1"/>
  <c r="Y54" i="17" s="1"/>
  <c r="Y53" i="17" s="1"/>
  <c r="Y52" i="17" s="1"/>
  <c r="Y51" i="17" s="1"/>
  <c r="Y50" i="17" s="1"/>
  <c r="Y49" i="17" s="1"/>
  <c r="Y48" i="17" s="1"/>
  <c r="Y47" i="17" s="1"/>
  <c r="Y46" i="17" s="1"/>
  <c r="Y45" i="17" s="1"/>
  <c r="Y44" i="17" s="1"/>
  <c r="Y43" i="17" s="1"/>
  <c r="Y42" i="17" s="1"/>
  <c r="Y41" i="17" s="1"/>
  <c r="Y40" i="17" s="1"/>
  <c r="Y39" i="17" s="1"/>
  <c r="Y38" i="17" s="1"/>
  <c r="Y37" i="17" s="1"/>
  <c r="Y36" i="17" s="1"/>
  <c r="Y35" i="17" s="1"/>
  <c r="Y34" i="17" s="1"/>
  <c r="Y33" i="17" s="1"/>
  <c r="Y32" i="17" s="1"/>
  <c r="Y31" i="17" s="1"/>
  <c r="Y30" i="17" s="1"/>
  <c r="Y29" i="17" s="1"/>
  <c r="Y28" i="17" s="1"/>
  <c r="Y27" i="17" s="1"/>
  <c r="Y26" i="17" s="1"/>
  <c r="Y25" i="17" s="1"/>
  <c r="Y24" i="17" s="1"/>
  <c r="Y23" i="17" s="1"/>
  <c r="Y22" i="17" s="1"/>
  <c r="Y21" i="17" s="1"/>
  <c r="Y20" i="17" s="1"/>
  <c r="Y19" i="17" s="1"/>
  <c r="Y18" i="17" s="1"/>
  <c r="Y17" i="17" s="1"/>
  <c r="Y16" i="17" s="1"/>
  <c r="Y15" i="17" s="1"/>
  <c r="Y14" i="17" s="1"/>
  <c r="Y13" i="17" s="1"/>
  <c r="Y12" i="17" s="1"/>
  <c r="Y108" i="11"/>
  <c r="Y107" i="11" s="1"/>
  <c r="Y106" i="11" s="1"/>
  <c r="Y105" i="11" s="1"/>
  <c r="Y104" i="11" s="1"/>
  <c r="Y103" i="11" s="1"/>
  <c r="Y102" i="11" s="1"/>
  <c r="Y101" i="11" s="1"/>
  <c r="Y100" i="11" s="1"/>
  <c r="Y99" i="11" s="1"/>
  <c r="Y98" i="11" s="1"/>
  <c r="Y97" i="11" s="1"/>
  <c r="Y96" i="11" s="1"/>
  <c r="Y95" i="11" s="1"/>
  <c r="Y94" i="11" s="1"/>
  <c r="Y93" i="11" s="1"/>
  <c r="Y92" i="11" s="1"/>
  <c r="Y91" i="11" s="1"/>
  <c r="Y90" i="11" s="1"/>
  <c r="Y89" i="11" s="1"/>
  <c r="Y88" i="11" s="1"/>
  <c r="Y87" i="11" s="1"/>
  <c r="Y86" i="11" s="1"/>
  <c r="Y85" i="11" s="1"/>
  <c r="Y84" i="11" s="1"/>
  <c r="Y83" i="11" s="1"/>
  <c r="Y82" i="11" s="1"/>
  <c r="Y81" i="11" s="1"/>
  <c r="Y80" i="11" s="1"/>
  <c r="Y79" i="11" s="1"/>
  <c r="Y78" i="11" s="1"/>
  <c r="Y77" i="11" s="1"/>
  <c r="Y76" i="11" s="1"/>
  <c r="Y75" i="11" s="1"/>
  <c r="Y74" i="11" s="1"/>
  <c r="Y73" i="11" s="1"/>
  <c r="Y72" i="11" s="1"/>
  <c r="Y71" i="11" s="1"/>
  <c r="Y70" i="11" s="1"/>
  <c r="Y69" i="11" s="1"/>
  <c r="Y68" i="11" s="1"/>
  <c r="Y67" i="11" s="1"/>
  <c r="Y66" i="11" s="1"/>
  <c r="Y65" i="11" s="1"/>
  <c r="Y64" i="11" s="1"/>
  <c r="Y63" i="11" s="1"/>
  <c r="Y62" i="11" s="1"/>
  <c r="Y61" i="11" s="1"/>
  <c r="Y60" i="11" s="1"/>
  <c r="Y59" i="11" s="1"/>
  <c r="Y58" i="11" s="1"/>
  <c r="Y57" i="11" s="1"/>
  <c r="Y56" i="11" s="1"/>
  <c r="Y55" i="11" s="1"/>
  <c r="Y54" i="11" s="1"/>
  <c r="Y53" i="11" s="1"/>
  <c r="Y52" i="11" s="1"/>
  <c r="Y51" i="11" s="1"/>
  <c r="Y50" i="11" s="1"/>
  <c r="Y49" i="11" s="1"/>
  <c r="Y48" i="11" s="1"/>
  <c r="Y47" i="11" s="1"/>
  <c r="Y46" i="11" s="1"/>
  <c r="Y45" i="11" s="1"/>
  <c r="Y44" i="11" s="1"/>
  <c r="Y43" i="11" s="1"/>
  <c r="Y42" i="11" s="1"/>
  <c r="Y41" i="11" s="1"/>
  <c r="Y40" i="11" s="1"/>
  <c r="Y39" i="11" s="1"/>
  <c r="Y38" i="11" s="1"/>
  <c r="Y37" i="11" s="1"/>
  <c r="Y36" i="11" s="1"/>
  <c r="Y35" i="11" s="1"/>
  <c r="Y34" i="11" s="1"/>
  <c r="Y33" i="11" s="1"/>
  <c r="Y32" i="11" s="1"/>
  <c r="Y31" i="11" s="1"/>
  <c r="Y30" i="11" s="1"/>
  <c r="Y29" i="11" s="1"/>
  <c r="Y28" i="11" s="1"/>
  <c r="Y27" i="11" s="1"/>
  <c r="Y26" i="11" s="1"/>
  <c r="Y25" i="11" s="1"/>
  <c r="Y24" i="11" s="1"/>
  <c r="Y23" i="11" s="1"/>
  <c r="Y22" i="11" s="1"/>
  <c r="Y21" i="11" s="1"/>
  <c r="Y20" i="11" s="1"/>
  <c r="Y19" i="11" s="1"/>
  <c r="Y18" i="11" s="1"/>
  <c r="Y17" i="11" s="1"/>
  <c r="Y16" i="11" s="1"/>
  <c r="Y15" i="11" s="1"/>
  <c r="Y14" i="11" s="1"/>
  <c r="Y13" i="11" s="1"/>
  <c r="Y12" i="11" s="1"/>
  <c r="AA109" i="14"/>
  <c r="W109" i="14"/>
  <c r="Z109" i="14" s="1"/>
  <c r="AA108" i="14" s="1"/>
  <c r="P65" i="11"/>
  <c r="Q65" i="11" s="1"/>
  <c r="P65" i="16"/>
  <c r="Q65" i="16" s="1"/>
  <c r="P65" i="14"/>
  <c r="Q65" i="14" s="1"/>
  <c r="P65" i="15"/>
  <c r="Q65" i="15" s="1"/>
  <c r="P65" i="12"/>
  <c r="Q65" i="12" s="1"/>
  <c r="P65" i="17"/>
  <c r="Q65" i="17" s="1"/>
  <c r="P65" i="13"/>
  <c r="Q65" i="13" s="1"/>
  <c r="P49" i="16"/>
  <c r="Q49" i="16" s="1"/>
  <c r="P49" i="11"/>
  <c r="Q49" i="11" s="1"/>
  <c r="P49" i="14"/>
  <c r="Q49" i="14" s="1"/>
  <c r="P49" i="12"/>
  <c r="Q49" i="12" s="1"/>
  <c r="P49" i="15"/>
  <c r="Q49" i="15" s="1"/>
  <c r="P49" i="17"/>
  <c r="Q49" i="17" s="1"/>
  <c r="P49" i="13"/>
  <c r="Q49" i="13" s="1"/>
  <c r="P74" i="11"/>
  <c r="Q74" i="11" s="1"/>
  <c r="P74" i="16"/>
  <c r="Q74" i="16" s="1"/>
  <c r="P74" i="14"/>
  <c r="Q74" i="14" s="1"/>
  <c r="P74" i="17"/>
  <c r="Q74" i="17" s="1"/>
  <c r="P74" i="15"/>
  <c r="Q74" i="15" s="1"/>
  <c r="P74" i="13"/>
  <c r="Q74" i="13" s="1"/>
  <c r="P74" i="12"/>
  <c r="Q74" i="12" s="1"/>
  <c r="P83" i="16"/>
  <c r="Q83" i="16" s="1"/>
  <c r="P83" i="11"/>
  <c r="Q83" i="11" s="1"/>
  <c r="P83" i="14"/>
  <c r="Q83" i="14" s="1"/>
  <c r="P83" i="17"/>
  <c r="Q83" i="17" s="1"/>
  <c r="P83" i="15"/>
  <c r="Q83" i="15" s="1"/>
  <c r="P83" i="13"/>
  <c r="Q83" i="13" s="1"/>
  <c r="P83" i="12"/>
  <c r="Q83" i="12" s="1"/>
  <c r="P25" i="11"/>
  <c r="Q25" i="11" s="1"/>
  <c r="P25" i="16"/>
  <c r="Q25" i="16" s="1"/>
  <c r="P25" i="15"/>
  <c r="Q25" i="15" s="1"/>
  <c r="P25" i="12"/>
  <c r="Q25" i="12" s="1"/>
  <c r="P25" i="17"/>
  <c r="Q25" i="17" s="1"/>
  <c r="P25" i="14"/>
  <c r="Q25" i="14" s="1"/>
  <c r="P25" i="13"/>
  <c r="Q25" i="13" s="1"/>
  <c r="P81" i="16"/>
  <c r="Q81" i="16" s="1"/>
  <c r="P81" i="11"/>
  <c r="Q81" i="11" s="1"/>
  <c r="P81" i="17"/>
  <c r="Q81" i="17" s="1"/>
  <c r="P81" i="14"/>
  <c r="Q81" i="14" s="1"/>
  <c r="P81" i="15"/>
  <c r="Q81" i="15" s="1"/>
  <c r="P81" i="13"/>
  <c r="Q81" i="13" s="1"/>
  <c r="P81" i="12"/>
  <c r="Q81" i="12" s="1"/>
  <c r="P57" i="17"/>
  <c r="Q57" i="17" s="1"/>
  <c r="P57" i="16"/>
  <c r="Q57" i="16" s="1"/>
  <c r="P57" i="11"/>
  <c r="Q57" i="11" s="1"/>
  <c r="P57" i="14"/>
  <c r="Q57" i="14" s="1"/>
  <c r="P57" i="12"/>
  <c r="Q57" i="12" s="1"/>
  <c r="P57" i="15"/>
  <c r="Q57" i="15" s="1"/>
  <c r="P57" i="13"/>
  <c r="Q57" i="13" s="1"/>
  <c r="P41" i="16"/>
  <c r="Q41" i="16" s="1"/>
  <c r="P41" i="11"/>
  <c r="Q41" i="11" s="1"/>
  <c r="P41" i="12"/>
  <c r="Q41" i="12" s="1"/>
  <c r="P41" i="14"/>
  <c r="Q41" i="14" s="1"/>
  <c r="P41" i="15"/>
  <c r="Q41" i="15" s="1"/>
  <c r="P41" i="17"/>
  <c r="Q41" i="17" s="1"/>
  <c r="P41" i="13"/>
  <c r="Q41" i="13" s="1"/>
  <c r="P33" i="11"/>
  <c r="Q33" i="11" s="1"/>
  <c r="P33" i="16"/>
  <c r="Q33" i="16" s="1"/>
  <c r="P33" i="12"/>
  <c r="Q33" i="12" s="1"/>
  <c r="P33" i="14"/>
  <c r="Q33" i="14" s="1"/>
  <c r="P33" i="17"/>
  <c r="Q33" i="17" s="1"/>
  <c r="P33" i="15"/>
  <c r="Q33" i="15" s="1"/>
  <c r="P33" i="13"/>
  <c r="Q33" i="13" s="1"/>
  <c r="P87" i="16"/>
  <c r="Q87" i="16" s="1"/>
  <c r="P87" i="11"/>
  <c r="Q87" i="11" s="1"/>
  <c r="P87" i="14"/>
  <c r="Q87" i="14" s="1"/>
  <c r="P87" i="17"/>
  <c r="Q87" i="17" s="1"/>
  <c r="P87" i="15"/>
  <c r="Q87" i="15" s="1"/>
  <c r="P87" i="12"/>
  <c r="Q87" i="12" s="1"/>
  <c r="P87" i="13"/>
  <c r="Q87" i="13" s="1"/>
  <c r="P17" i="17"/>
  <c r="Q17" i="17" s="1"/>
  <c r="P17" i="16"/>
  <c r="Q17" i="16" s="1"/>
  <c r="P17" i="15"/>
  <c r="Q17" i="15" s="1"/>
  <c r="P17" i="14"/>
  <c r="Q17" i="14" s="1"/>
  <c r="P17" i="13"/>
  <c r="Q17" i="13" s="1"/>
  <c r="P17" i="11"/>
  <c r="Q17" i="11" s="1"/>
  <c r="P17" i="12"/>
  <c r="Q17" i="12" s="1"/>
  <c r="S7" i="17"/>
  <c r="S7" i="16"/>
  <c r="S7" i="15"/>
  <c r="S7" i="14"/>
  <c r="S7" i="13"/>
  <c r="S7" i="12"/>
  <c r="S7" i="11"/>
  <c r="R7" i="11"/>
  <c r="R7" i="17"/>
  <c r="R7" i="16"/>
  <c r="R7" i="15"/>
  <c r="R7" i="13"/>
  <c r="R7" i="14"/>
  <c r="R7" i="12"/>
  <c r="P85" i="16"/>
  <c r="Q85" i="16" s="1"/>
  <c r="P85" i="11"/>
  <c r="Q85" i="11" s="1"/>
  <c r="P85" i="17"/>
  <c r="Q85" i="17" s="1"/>
  <c r="P85" i="14"/>
  <c r="Q85" i="14" s="1"/>
  <c r="P85" i="15"/>
  <c r="Q85" i="15" s="1"/>
  <c r="P85" i="13"/>
  <c r="Q85" i="13" s="1"/>
  <c r="P85" i="12"/>
  <c r="Q85" i="12" s="1"/>
  <c r="P9" i="17"/>
  <c r="Q9" i="17" s="1"/>
  <c r="P9" i="16"/>
  <c r="Q9" i="16" s="1"/>
  <c r="P9" i="11"/>
  <c r="Q9" i="11" s="1"/>
  <c r="P9" i="15"/>
  <c r="Q9" i="15" s="1"/>
  <c r="P9" i="13"/>
  <c r="Q9" i="13" s="1"/>
  <c r="P9" i="14"/>
  <c r="Q9" i="14" s="1"/>
  <c r="P9" i="12"/>
  <c r="Q9" i="12" s="1"/>
  <c r="P98" i="11"/>
  <c r="Q98" i="11" s="1"/>
  <c r="P98" i="16"/>
  <c r="Q98" i="16" s="1"/>
  <c r="P98" i="14"/>
  <c r="Q98" i="14" s="1"/>
  <c r="P98" i="17"/>
  <c r="Q98" i="17" s="1"/>
  <c r="P98" i="13"/>
  <c r="Q98" i="13" s="1"/>
  <c r="P98" i="12"/>
  <c r="Q98" i="12" s="1"/>
  <c r="P98" i="15"/>
  <c r="Q98" i="15" s="1"/>
  <c r="P27" i="16"/>
  <c r="Q27" i="16" s="1"/>
  <c r="P27" i="11"/>
  <c r="Q27" i="11" s="1"/>
  <c r="P27" i="12"/>
  <c r="Q27" i="12" s="1"/>
  <c r="P27" i="14"/>
  <c r="Q27" i="14" s="1"/>
  <c r="P27" i="15"/>
  <c r="Q27" i="15" s="1"/>
  <c r="P27" i="17"/>
  <c r="Q27" i="17" s="1"/>
  <c r="P27" i="13"/>
  <c r="Q27" i="13" s="1"/>
  <c r="P75" i="16"/>
  <c r="Q75" i="16" s="1"/>
  <c r="P75" i="11"/>
  <c r="Q75" i="11" s="1"/>
  <c r="P75" i="14"/>
  <c r="Q75" i="14" s="1"/>
  <c r="P75" i="17"/>
  <c r="Q75" i="17" s="1"/>
  <c r="P75" i="15"/>
  <c r="Q75" i="15" s="1"/>
  <c r="P75" i="13"/>
  <c r="Q75" i="13" s="1"/>
  <c r="P75" i="12"/>
  <c r="Q75" i="12" s="1"/>
  <c r="P93" i="16"/>
  <c r="Q93" i="16" s="1"/>
  <c r="P93" i="11"/>
  <c r="Q93" i="11" s="1"/>
  <c r="P93" i="14"/>
  <c r="Q93" i="14" s="1"/>
  <c r="P93" i="17"/>
  <c r="Q93" i="17" s="1"/>
  <c r="P93" i="15"/>
  <c r="Q93" i="15" s="1"/>
  <c r="P93" i="12"/>
  <c r="Q93" i="12" s="1"/>
  <c r="P93" i="13"/>
  <c r="Q93" i="13" s="1"/>
  <c r="P104" i="16"/>
  <c r="Q104" i="16" s="1"/>
  <c r="P104" i="11"/>
  <c r="Q104" i="11" s="1"/>
  <c r="P104" i="14"/>
  <c r="Q104" i="14" s="1"/>
  <c r="P104" i="17"/>
  <c r="Q104" i="17" s="1"/>
  <c r="P104" i="13"/>
  <c r="Q104" i="13" s="1"/>
  <c r="P104" i="12"/>
  <c r="Q104" i="12" s="1"/>
  <c r="P104" i="15"/>
  <c r="Q104" i="15" s="1"/>
  <c r="P77" i="11"/>
  <c r="Q77" i="11" s="1"/>
  <c r="P77" i="16"/>
  <c r="Q77" i="16" s="1"/>
  <c r="P77" i="17"/>
  <c r="Q77" i="17" s="1"/>
  <c r="P77" i="14"/>
  <c r="Q77" i="14" s="1"/>
  <c r="P77" i="15"/>
  <c r="Q77" i="15" s="1"/>
  <c r="P77" i="13"/>
  <c r="Q77" i="13" s="1"/>
  <c r="P77" i="12"/>
  <c r="Q77" i="12" s="1"/>
  <c r="P19" i="16"/>
  <c r="Q19" i="16" s="1"/>
  <c r="P19" i="15"/>
  <c r="Q19" i="15" s="1"/>
  <c r="P19" i="14"/>
  <c r="Q19" i="14" s="1"/>
  <c r="P19" i="11"/>
  <c r="Q19" i="11" s="1"/>
  <c r="P19" i="13"/>
  <c r="Q19" i="13" s="1"/>
  <c r="P19" i="12"/>
  <c r="Q19" i="12" s="1"/>
  <c r="P19" i="17"/>
  <c r="Q19" i="17" s="1"/>
  <c r="P102" i="11"/>
  <c r="Q102" i="11" s="1"/>
  <c r="P102" i="16"/>
  <c r="Q102" i="16" s="1"/>
  <c r="P102" i="14"/>
  <c r="Q102" i="14" s="1"/>
  <c r="P102" i="17"/>
  <c r="Q102" i="17" s="1"/>
  <c r="P102" i="13"/>
  <c r="Q102" i="13" s="1"/>
  <c r="P102" i="12"/>
  <c r="Q102" i="12" s="1"/>
  <c r="P102" i="15"/>
  <c r="Q102" i="15" s="1"/>
  <c r="P92" i="16"/>
  <c r="Q92" i="16" s="1"/>
  <c r="P92" i="11"/>
  <c r="Q92" i="11" s="1"/>
  <c r="P92" i="14"/>
  <c r="Q92" i="14" s="1"/>
  <c r="P92" i="17"/>
  <c r="Q92" i="17" s="1"/>
  <c r="P92" i="12"/>
  <c r="Q92" i="12" s="1"/>
  <c r="P92" i="15"/>
  <c r="Q92" i="15" s="1"/>
  <c r="P92" i="13"/>
  <c r="Q92" i="13" s="1"/>
  <c r="P100" i="11"/>
  <c r="Q100" i="11" s="1"/>
  <c r="P100" i="16"/>
  <c r="Q100" i="16" s="1"/>
  <c r="P100" i="14"/>
  <c r="Q100" i="14" s="1"/>
  <c r="P100" i="17"/>
  <c r="Q100" i="17" s="1"/>
  <c r="P100" i="13"/>
  <c r="Q100" i="13" s="1"/>
  <c r="P100" i="12"/>
  <c r="Q100" i="12" s="1"/>
  <c r="P100" i="15"/>
  <c r="Q100" i="15" s="1"/>
  <c r="P11" i="12"/>
  <c r="Q11" i="12" s="1"/>
  <c r="P11" i="15"/>
  <c r="Q11" i="15" s="1"/>
  <c r="P11" i="14"/>
  <c r="Q11" i="14" s="1"/>
  <c r="P11" i="13"/>
  <c r="Q11" i="13" s="1"/>
  <c r="P11" i="16"/>
  <c r="Q11" i="16" s="1"/>
  <c r="P11" i="17"/>
  <c r="Q11" i="17" s="1"/>
  <c r="P11" i="11"/>
  <c r="Q11" i="11" s="1"/>
  <c r="P89" i="16"/>
  <c r="Q89" i="16" s="1"/>
  <c r="P89" i="11"/>
  <c r="Q89" i="11" s="1"/>
  <c r="P89" i="14"/>
  <c r="Q89" i="14" s="1"/>
  <c r="P89" i="17"/>
  <c r="Q89" i="17" s="1"/>
  <c r="P89" i="15"/>
  <c r="Q89" i="15" s="1"/>
  <c r="P89" i="12"/>
  <c r="Q89" i="12" s="1"/>
  <c r="P89" i="13"/>
  <c r="Q89" i="13" s="1"/>
  <c r="P94" i="16"/>
  <c r="Q94" i="16" s="1"/>
  <c r="P94" i="11"/>
  <c r="Q94" i="11" s="1"/>
  <c r="P94" i="14"/>
  <c r="Q94" i="14" s="1"/>
  <c r="P94" i="17"/>
  <c r="Q94" i="17" s="1"/>
  <c r="P94" i="12"/>
  <c r="Q94" i="12" s="1"/>
  <c r="P94" i="15"/>
  <c r="Q94" i="15" s="1"/>
  <c r="P94" i="13"/>
  <c r="Q94" i="13" s="1"/>
  <c r="T11" i="16"/>
  <c r="V11" i="16" s="1"/>
  <c r="T11" i="15"/>
  <c r="V11" i="15" s="1"/>
  <c r="T11" i="14"/>
  <c r="V11" i="14" s="1"/>
  <c r="T11" i="12"/>
  <c r="V11" i="12" s="1"/>
  <c r="T11" i="11"/>
  <c r="V11" i="11" s="1"/>
  <c r="T11" i="13"/>
  <c r="V11" i="13" s="1"/>
  <c r="T11" i="17"/>
  <c r="V11" i="17" s="1"/>
  <c r="P78" i="16"/>
  <c r="Q78" i="16" s="1"/>
  <c r="P78" i="11"/>
  <c r="Q78" i="11" s="1"/>
  <c r="P78" i="17"/>
  <c r="Q78" i="17" s="1"/>
  <c r="P78" i="14"/>
  <c r="Q78" i="14" s="1"/>
  <c r="P78" i="15"/>
  <c r="Q78" i="15" s="1"/>
  <c r="P78" i="13"/>
  <c r="Q78" i="13" s="1"/>
  <c r="P78" i="12"/>
  <c r="Q78" i="12" s="1"/>
  <c r="P7" i="13"/>
  <c r="Q7" i="13" s="1"/>
  <c r="P7" i="11"/>
  <c r="Q7" i="11" s="1"/>
  <c r="P7" i="12"/>
  <c r="Q7" i="12" s="1"/>
  <c r="P7" i="17"/>
  <c r="Q7" i="17" s="1"/>
  <c r="P7" i="16"/>
  <c r="Q7" i="16" s="1"/>
  <c r="P7" i="15"/>
  <c r="Q7" i="15" s="1"/>
  <c r="P7" i="14"/>
  <c r="Q7" i="14" s="1"/>
  <c r="P67" i="16"/>
  <c r="Q67" i="16" s="1"/>
  <c r="P67" i="11"/>
  <c r="Q67" i="11" s="1"/>
  <c r="P67" i="14"/>
  <c r="Q67" i="14" s="1"/>
  <c r="P67" i="17"/>
  <c r="Q67" i="17" s="1"/>
  <c r="P67" i="15"/>
  <c r="Q67" i="15" s="1"/>
  <c r="P67" i="12"/>
  <c r="Q67" i="12" s="1"/>
  <c r="P67" i="13"/>
  <c r="Q67" i="13" s="1"/>
  <c r="P72" i="16"/>
  <c r="Q72" i="16" s="1"/>
  <c r="P72" i="11"/>
  <c r="Q72" i="11" s="1"/>
  <c r="P72" i="14"/>
  <c r="Q72" i="14" s="1"/>
  <c r="P72" i="17"/>
  <c r="Q72" i="17" s="1"/>
  <c r="P72" i="15"/>
  <c r="Q72" i="15" s="1"/>
  <c r="P72" i="13"/>
  <c r="Q72" i="13" s="1"/>
  <c r="P72" i="12"/>
  <c r="Q72" i="12" s="1"/>
  <c r="P59" i="16"/>
  <c r="Q59" i="16" s="1"/>
  <c r="P59" i="11"/>
  <c r="Q59" i="11" s="1"/>
  <c r="P59" i="14"/>
  <c r="Q59" i="14" s="1"/>
  <c r="P59" i="12"/>
  <c r="Q59" i="12" s="1"/>
  <c r="P59" i="15"/>
  <c r="Q59" i="15" s="1"/>
  <c r="P59" i="17"/>
  <c r="Q59" i="17" s="1"/>
  <c r="P59" i="13"/>
  <c r="Q59" i="13" s="1"/>
  <c r="P51" i="16"/>
  <c r="Q51" i="16" s="1"/>
  <c r="P51" i="11"/>
  <c r="Q51" i="11" s="1"/>
  <c r="P51" i="14"/>
  <c r="Q51" i="14" s="1"/>
  <c r="P51" i="12"/>
  <c r="Q51" i="12" s="1"/>
  <c r="P51" i="15"/>
  <c r="Q51" i="15" s="1"/>
  <c r="P51" i="17"/>
  <c r="Q51" i="17" s="1"/>
  <c r="P51" i="13"/>
  <c r="Q51" i="13" s="1"/>
  <c r="T10" i="16"/>
  <c r="V10" i="16" s="1"/>
  <c r="T10" i="15"/>
  <c r="V10" i="15" s="1"/>
  <c r="T10" i="17"/>
  <c r="V10" i="17" s="1"/>
  <c r="T10" i="13"/>
  <c r="V10" i="13" s="1"/>
  <c r="T10" i="14"/>
  <c r="V10" i="14" s="1"/>
  <c r="T10" i="11"/>
  <c r="V10" i="11" s="1"/>
  <c r="T10" i="12"/>
  <c r="V10" i="12" s="1"/>
  <c r="T9" i="12"/>
  <c r="V9" i="12" s="1"/>
  <c r="T9" i="11"/>
  <c r="V9" i="11" s="1"/>
  <c r="T9" i="17"/>
  <c r="V9" i="17" s="1"/>
  <c r="T9" i="16"/>
  <c r="V9" i="16" s="1"/>
  <c r="T9" i="15"/>
  <c r="V9" i="15" s="1"/>
  <c r="T9" i="14"/>
  <c r="V9" i="14" s="1"/>
  <c r="T9" i="13"/>
  <c r="V9" i="13" s="1"/>
  <c r="P43" i="16"/>
  <c r="Q43" i="16" s="1"/>
  <c r="P43" i="11"/>
  <c r="Q43" i="11" s="1"/>
  <c r="P43" i="12"/>
  <c r="Q43" i="12" s="1"/>
  <c r="P43" i="14"/>
  <c r="Q43" i="14" s="1"/>
  <c r="P43" i="15"/>
  <c r="Q43" i="15" s="1"/>
  <c r="P43" i="17"/>
  <c r="Q43" i="17" s="1"/>
  <c r="P43" i="13"/>
  <c r="Q43" i="13" s="1"/>
  <c r="T8" i="16"/>
  <c r="V8" i="16" s="1"/>
  <c r="T8" i="15"/>
  <c r="V8" i="15" s="1"/>
  <c r="T8" i="14"/>
  <c r="V8" i="14" s="1"/>
  <c r="T8" i="13"/>
  <c r="V8" i="13" s="1"/>
  <c r="T8" i="12"/>
  <c r="V8" i="12" s="1"/>
  <c r="T8" i="11"/>
  <c r="V8" i="11" s="1"/>
  <c r="T8" i="17"/>
  <c r="V8" i="17" s="1"/>
  <c r="P35" i="16"/>
  <c r="Q35" i="16" s="1"/>
  <c r="P35" i="11"/>
  <c r="Q35" i="11" s="1"/>
  <c r="P35" i="14"/>
  <c r="Q35" i="14" s="1"/>
  <c r="P35" i="12"/>
  <c r="Q35" i="12" s="1"/>
  <c r="P35" i="15"/>
  <c r="Q35" i="15" s="1"/>
  <c r="P35" i="17"/>
  <c r="Q35" i="17" s="1"/>
  <c r="P35" i="13"/>
  <c r="Q35" i="13" s="1"/>
  <c r="W108" i="11" l="1"/>
  <c r="W107" i="11" s="1"/>
  <c r="AA108" i="12"/>
  <c r="W108" i="12"/>
  <c r="Z108" i="12" s="1"/>
  <c r="AA107" i="12" s="1"/>
  <c r="AA108" i="11"/>
  <c r="W108" i="13"/>
  <c r="Z108" i="13" s="1"/>
  <c r="AA107" i="13" s="1"/>
  <c r="Z107" i="11"/>
  <c r="AA106" i="11" s="1"/>
  <c r="W106" i="11"/>
  <c r="X106" i="16"/>
  <c r="X105" i="16" s="1"/>
  <c r="X104" i="16" s="1"/>
  <c r="X103" i="16" s="1"/>
  <c r="X102" i="16" s="1"/>
  <c r="X101" i="16" s="1"/>
  <c r="X100" i="16" s="1"/>
  <c r="X99" i="16" s="1"/>
  <c r="X98" i="16" s="1"/>
  <c r="X97" i="16" s="1"/>
  <c r="X96" i="16" s="1"/>
  <c r="X95" i="16" s="1"/>
  <c r="X94" i="16" s="1"/>
  <c r="X93" i="16" s="1"/>
  <c r="X92" i="16" s="1"/>
  <c r="X91" i="16" s="1"/>
  <c r="X90" i="16" s="1"/>
  <c r="X89" i="16" s="1"/>
  <c r="X88" i="16" s="1"/>
  <c r="X87" i="16" s="1"/>
  <c r="X86" i="16" s="1"/>
  <c r="X85" i="16" s="1"/>
  <c r="X84" i="16" s="1"/>
  <c r="X83" i="16" s="1"/>
  <c r="X82" i="16" s="1"/>
  <c r="X81" i="16" s="1"/>
  <c r="X80" i="16" s="1"/>
  <c r="X79" i="16" s="1"/>
  <c r="X78" i="16" s="1"/>
  <c r="X77" i="16" s="1"/>
  <c r="X76" i="16" s="1"/>
  <c r="X75" i="16" s="1"/>
  <c r="X74" i="16" s="1"/>
  <c r="X73" i="16" s="1"/>
  <c r="X72" i="16" s="1"/>
  <c r="X71" i="16" s="1"/>
  <c r="X70" i="16" s="1"/>
  <c r="X69" i="16" s="1"/>
  <c r="X68" i="16" s="1"/>
  <c r="X67" i="16" s="1"/>
  <c r="X66" i="16" s="1"/>
  <c r="X65" i="16" s="1"/>
  <c r="X64" i="16" s="1"/>
  <c r="X63" i="16" s="1"/>
  <c r="X62" i="16" s="1"/>
  <c r="X61" i="16" s="1"/>
  <c r="X60" i="16" s="1"/>
  <c r="X59" i="16" s="1"/>
  <c r="X58" i="16" s="1"/>
  <c r="X57" i="16" s="1"/>
  <c r="X56" i="16" s="1"/>
  <c r="X55" i="16" s="1"/>
  <c r="X54" i="16" s="1"/>
  <c r="X53" i="16" s="1"/>
  <c r="X52" i="16" s="1"/>
  <c r="X51" i="16" s="1"/>
  <c r="X50" i="16" s="1"/>
  <c r="X49" i="16" s="1"/>
  <c r="X48" i="16" s="1"/>
  <c r="X47" i="16" s="1"/>
  <c r="X46" i="16" s="1"/>
  <c r="X45" i="16" s="1"/>
  <c r="X44" i="16" s="1"/>
  <c r="X43" i="16" s="1"/>
  <c r="X42" i="16" s="1"/>
  <c r="X41" i="16" s="1"/>
  <c r="X40" i="16" s="1"/>
  <c r="X39" i="16" s="1"/>
  <c r="X38" i="16" s="1"/>
  <c r="X37" i="16" s="1"/>
  <c r="X36" i="16" s="1"/>
  <c r="X35" i="16" s="1"/>
  <c r="X34" i="16" s="1"/>
  <c r="X33" i="16" s="1"/>
  <c r="X32" i="16" s="1"/>
  <c r="X31" i="16" s="1"/>
  <c r="X30" i="16" s="1"/>
  <c r="X29" i="16" s="1"/>
  <c r="X28" i="16" s="1"/>
  <c r="X27" i="16" s="1"/>
  <c r="X26" i="16" s="1"/>
  <c r="X25" i="16" s="1"/>
  <c r="X24" i="16" s="1"/>
  <c r="X23" i="16" s="1"/>
  <c r="X22" i="16" s="1"/>
  <c r="X21" i="16" s="1"/>
  <c r="X20" i="16" s="1"/>
  <c r="X19" i="16" s="1"/>
  <c r="X18" i="16" s="1"/>
  <c r="X17" i="16" s="1"/>
  <c r="X16" i="16" s="1"/>
  <c r="X15" i="16" s="1"/>
  <c r="X14" i="16" s="1"/>
  <c r="X13" i="16" s="1"/>
  <c r="X12" i="16" s="1"/>
  <c r="X11" i="16" s="1"/>
  <c r="X10" i="16" s="1"/>
  <c r="X9" i="16" s="1"/>
  <c r="X8" i="16" s="1"/>
  <c r="X7" i="16" s="1"/>
  <c r="W108" i="15"/>
  <c r="Z108" i="11"/>
  <c r="AA107" i="11" s="1"/>
  <c r="AA108" i="15"/>
  <c r="X106" i="15"/>
  <c r="X105" i="15" s="1"/>
  <c r="X106" i="12"/>
  <c r="X105" i="12" s="1"/>
  <c r="W108" i="17"/>
  <c r="X106" i="13"/>
  <c r="X105" i="13" s="1"/>
  <c r="X104" i="13" s="1"/>
  <c r="X103" i="13" s="1"/>
  <c r="X102" i="13" s="1"/>
  <c r="X101" i="13" s="1"/>
  <c r="X100" i="13" s="1"/>
  <c r="X99" i="13" s="1"/>
  <c r="X98" i="13" s="1"/>
  <c r="X97" i="13" s="1"/>
  <c r="X96" i="13" s="1"/>
  <c r="X95" i="13" s="1"/>
  <c r="X94" i="13" s="1"/>
  <c r="X93" i="13" s="1"/>
  <c r="X92" i="13" s="1"/>
  <c r="X91" i="13" s="1"/>
  <c r="X90" i="13" s="1"/>
  <c r="X89" i="13" s="1"/>
  <c r="X88" i="13" s="1"/>
  <c r="X87" i="13" s="1"/>
  <c r="X86" i="13" s="1"/>
  <c r="X85" i="13" s="1"/>
  <c r="X84" i="13" s="1"/>
  <c r="X83" i="13" s="1"/>
  <c r="X82" i="13" s="1"/>
  <c r="X81" i="13" s="1"/>
  <c r="X80" i="13" s="1"/>
  <c r="X79" i="13" s="1"/>
  <c r="X78" i="13" s="1"/>
  <c r="X77" i="13" s="1"/>
  <c r="X76" i="13" s="1"/>
  <c r="X75" i="13" s="1"/>
  <c r="X74" i="13" s="1"/>
  <c r="X73" i="13" s="1"/>
  <c r="X72" i="13" s="1"/>
  <c r="X71" i="13" s="1"/>
  <c r="X70" i="13" s="1"/>
  <c r="X69" i="13" s="1"/>
  <c r="X68" i="13" s="1"/>
  <c r="X67" i="13" s="1"/>
  <c r="X66" i="13" s="1"/>
  <c r="X65" i="13" s="1"/>
  <c r="X64" i="13" s="1"/>
  <c r="X63" i="13" s="1"/>
  <c r="X62" i="13" s="1"/>
  <c r="X61" i="13" s="1"/>
  <c r="X60" i="13" s="1"/>
  <c r="X59" i="13" s="1"/>
  <c r="X58" i="13" s="1"/>
  <c r="X57" i="13" s="1"/>
  <c r="X56" i="13" s="1"/>
  <c r="X55" i="13" s="1"/>
  <c r="X54" i="13" s="1"/>
  <c r="X53" i="13" s="1"/>
  <c r="X52" i="13" s="1"/>
  <c r="X51" i="13" s="1"/>
  <c r="X50" i="13" s="1"/>
  <c r="X49" i="13" s="1"/>
  <c r="X48" i="13" s="1"/>
  <c r="X47" i="13" s="1"/>
  <c r="X46" i="13" s="1"/>
  <c r="X45" i="13" s="1"/>
  <c r="X44" i="13" s="1"/>
  <c r="X43" i="13" s="1"/>
  <c r="X42" i="13" s="1"/>
  <c r="X41" i="13" s="1"/>
  <c r="X40" i="13" s="1"/>
  <c r="X39" i="13" s="1"/>
  <c r="X38" i="13" s="1"/>
  <c r="X37" i="13" s="1"/>
  <c r="X36" i="13" s="1"/>
  <c r="X35" i="13" s="1"/>
  <c r="X34" i="13" s="1"/>
  <c r="X33" i="13" s="1"/>
  <c r="X32" i="13" s="1"/>
  <c r="X31" i="13" s="1"/>
  <c r="X30" i="13" s="1"/>
  <c r="X29" i="13" s="1"/>
  <c r="X28" i="13" s="1"/>
  <c r="X27" i="13" s="1"/>
  <c r="X26" i="13" s="1"/>
  <c r="X25" i="13" s="1"/>
  <c r="X24" i="13" s="1"/>
  <c r="X23" i="13" s="1"/>
  <c r="X22" i="13" s="1"/>
  <c r="X21" i="13" s="1"/>
  <c r="X20" i="13" s="1"/>
  <c r="X19" i="13" s="1"/>
  <c r="X18" i="13" s="1"/>
  <c r="X17" i="13" s="1"/>
  <c r="X16" i="13" s="1"/>
  <c r="X15" i="13" s="1"/>
  <c r="X14" i="13" s="1"/>
  <c r="X13" i="13" s="1"/>
  <c r="X12" i="13" s="1"/>
  <c r="X11" i="13" s="1"/>
  <c r="X10" i="13" s="1"/>
  <c r="X9" i="13" s="1"/>
  <c r="X8" i="13" s="1"/>
  <c r="X7" i="13" s="1"/>
  <c r="AA108" i="16"/>
  <c r="X106" i="17"/>
  <c r="X105" i="17" s="1"/>
  <c r="X104" i="17" s="1"/>
  <c r="X103" i="17" s="1"/>
  <c r="X102" i="17" s="1"/>
  <c r="X101" i="17" s="1"/>
  <c r="X100" i="17" s="1"/>
  <c r="X99" i="17" s="1"/>
  <c r="X98" i="17" s="1"/>
  <c r="X97" i="17" s="1"/>
  <c r="X96" i="17" s="1"/>
  <c r="X95" i="17" s="1"/>
  <c r="X94" i="17" s="1"/>
  <c r="X93" i="17" s="1"/>
  <c r="X92" i="17" s="1"/>
  <c r="X91" i="17" s="1"/>
  <c r="X90" i="17" s="1"/>
  <c r="X89" i="17" s="1"/>
  <c r="X88" i="17" s="1"/>
  <c r="X87" i="17" s="1"/>
  <c r="X86" i="17" s="1"/>
  <c r="X85" i="17" s="1"/>
  <c r="X84" i="17" s="1"/>
  <c r="X83" i="17" s="1"/>
  <c r="X82" i="17" s="1"/>
  <c r="X81" i="17" s="1"/>
  <c r="X80" i="17" s="1"/>
  <c r="X79" i="17" s="1"/>
  <c r="X78" i="17" s="1"/>
  <c r="X77" i="17" s="1"/>
  <c r="X76" i="17" s="1"/>
  <c r="X75" i="17" s="1"/>
  <c r="X74" i="17" s="1"/>
  <c r="X73" i="17" s="1"/>
  <c r="X72" i="17" s="1"/>
  <c r="X71" i="17" s="1"/>
  <c r="X70" i="17" s="1"/>
  <c r="X69" i="17" s="1"/>
  <c r="X68" i="17" s="1"/>
  <c r="X67" i="17" s="1"/>
  <c r="X66" i="17" s="1"/>
  <c r="X65" i="17" s="1"/>
  <c r="X64" i="17" s="1"/>
  <c r="X63" i="17" s="1"/>
  <c r="X62" i="17" s="1"/>
  <c r="X61" i="17" s="1"/>
  <c r="X60" i="17" s="1"/>
  <c r="X59" i="17" s="1"/>
  <c r="X58" i="17" s="1"/>
  <c r="X57" i="17" s="1"/>
  <c r="X56" i="17" s="1"/>
  <c r="X55" i="17" s="1"/>
  <c r="X54" i="17" s="1"/>
  <c r="X53" i="17" s="1"/>
  <c r="X52" i="17" s="1"/>
  <c r="X51" i="17" s="1"/>
  <c r="X50" i="17" s="1"/>
  <c r="X49" i="17" s="1"/>
  <c r="X48" i="17" s="1"/>
  <c r="X47" i="17" s="1"/>
  <c r="X46" i="17" s="1"/>
  <c r="X45" i="17" s="1"/>
  <c r="X44" i="17" s="1"/>
  <c r="X43" i="17" s="1"/>
  <c r="X42" i="17" s="1"/>
  <c r="X41" i="17" s="1"/>
  <c r="X40" i="17" s="1"/>
  <c r="X39" i="17" s="1"/>
  <c r="X38" i="17" s="1"/>
  <c r="X37" i="17" s="1"/>
  <c r="X36" i="17" s="1"/>
  <c r="X35" i="17" s="1"/>
  <c r="X34" i="17" s="1"/>
  <c r="X33" i="17" s="1"/>
  <c r="X32" i="17" s="1"/>
  <c r="X31" i="17" s="1"/>
  <c r="X30" i="17" s="1"/>
  <c r="X29" i="17" s="1"/>
  <c r="X28" i="17" s="1"/>
  <c r="X27" i="17" s="1"/>
  <c r="X26" i="17" s="1"/>
  <c r="X25" i="17" s="1"/>
  <c r="X24" i="17" s="1"/>
  <c r="X23" i="17" s="1"/>
  <c r="X22" i="17" s="1"/>
  <c r="X21" i="17" s="1"/>
  <c r="X20" i="17" s="1"/>
  <c r="X19" i="17" s="1"/>
  <c r="X18" i="17" s="1"/>
  <c r="X17" i="17" s="1"/>
  <c r="X16" i="17" s="1"/>
  <c r="X15" i="17" s="1"/>
  <c r="X14" i="17" s="1"/>
  <c r="X13" i="17" s="1"/>
  <c r="X12" i="17" s="1"/>
  <c r="X11" i="17" s="1"/>
  <c r="X10" i="17" s="1"/>
  <c r="X9" i="17" s="1"/>
  <c r="X8" i="17" s="1"/>
  <c r="X7" i="17" s="1"/>
  <c r="W108" i="16"/>
  <c r="W108" i="14"/>
  <c r="X104" i="15"/>
  <c r="X103" i="15" s="1"/>
  <c r="X102" i="15" s="1"/>
  <c r="X101" i="15" s="1"/>
  <c r="X100" i="15" s="1"/>
  <c r="X99" i="15" s="1"/>
  <c r="X98" i="15" s="1"/>
  <c r="X97" i="15" s="1"/>
  <c r="X96" i="15" s="1"/>
  <c r="X95" i="15" s="1"/>
  <c r="X94" i="15" s="1"/>
  <c r="X93" i="15" s="1"/>
  <c r="X92" i="15" s="1"/>
  <c r="X91" i="15" s="1"/>
  <c r="X90" i="15" s="1"/>
  <c r="X89" i="15" s="1"/>
  <c r="X88" i="15" s="1"/>
  <c r="X87" i="15" s="1"/>
  <c r="X86" i="15" s="1"/>
  <c r="X85" i="15" s="1"/>
  <c r="X84" i="15" s="1"/>
  <c r="X83" i="15" s="1"/>
  <c r="X82" i="15" s="1"/>
  <c r="X81" i="15" s="1"/>
  <c r="X80" i="15" s="1"/>
  <c r="X79" i="15" s="1"/>
  <c r="X78" i="15" s="1"/>
  <c r="X77" i="15" s="1"/>
  <c r="X76" i="15" s="1"/>
  <c r="X75" i="15" s="1"/>
  <c r="X74" i="15" s="1"/>
  <c r="X73" i="15" s="1"/>
  <c r="X72" i="15" s="1"/>
  <c r="X71" i="15" s="1"/>
  <c r="X70" i="15" s="1"/>
  <c r="X69" i="15" s="1"/>
  <c r="X68" i="15" s="1"/>
  <c r="X67" i="15" s="1"/>
  <c r="X66" i="15" s="1"/>
  <c r="X65" i="15" s="1"/>
  <c r="X64" i="15" s="1"/>
  <c r="X63" i="15" s="1"/>
  <c r="X62" i="15" s="1"/>
  <c r="X61" i="15" s="1"/>
  <c r="X60" i="15" s="1"/>
  <c r="X59" i="15" s="1"/>
  <c r="X58" i="15" s="1"/>
  <c r="X57" i="15" s="1"/>
  <c r="X56" i="15" s="1"/>
  <c r="X55" i="15" s="1"/>
  <c r="X54" i="15" s="1"/>
  <c r="X53" i="15" s="1"/>
  <c r="X52" i="15" s="1"/>
  <c r="X51" i="15" s="1"/>
  <c r="X50" i="15" s="1"/>
  <c r="X49" i="15" s="1"/>
  <c r="X48" i="15" s="1"/>
  <c r="X47" i="15" s="1"/>
  <c r="X46" i="15" s="1"/>
  <c r="X45" i="15" s="1"/>
  <c r="X44" i="15" s="1"/>
  <c r="X43" i="15" s="1"/>
  <c r="X42" i="15" s="1"/>
  <c r="X41" i="15" s="1"/>
  <c r="X40" i="15" s="1"/>
  <c r="X39" i="15" s="1"/>
  <c r="X38" i="15" s="1"/>
  <c r="X37" i="15" s="1"/>
  <c r="X36" i="15" s="1"/>
  <c r="X35" i="15" s="1"/>
  <c r="X34" i="15" s="1"/>
  <c r="X33" i="15" s="1"/>
  <c r="X32" i="15" s="1"/>
  <c r="X31" i="15" s="1"/>
  <c r="X30" i="15" s="1"/>
  <c r="X29" i="15" s="1"/>
  <c r="X28" i="15" s="1"/>
  <c r="X27" i="15" s="1"/>
  <c r="X26" i="15" s="1"/>
  <c r="X25" i="15" s="1"/>
  <c r="X24" i="15" s="1"/>
  <c r="X23" i="15" s="1"/>
  <c r="X22" i="15" s="1"/>
  <c r="X21" i="15" s="1"/>
  <c r="X20" i="15" s="1"/>
  <c r="X19" i="15" s="1"/>
  <c r="X18" i="15" s="1"/>
  <c r="X17" i="15" s="1"/>
  <c r="X16" i="15" s="1"/>
  <c r="X15" i="15" s="1"/>
  <c r="X14" i="15" s="1"/>
  <c r="X13" i="15" s="1"/>
  <c r="X12" i="15" s="1"/>
  <c r="X11" i="15" s="1"/>
  <c r="X10" i="15" s="1"/>
  <c r="X9" i="15" s="1"/>
  <c r="X8" i="15" s="1"/>
  <c r="X7" i="15" s="1"/>
  <c r="Y11" i="11"/>
  <c r="Y10" i="11" s="1"/>
  <c r="Y9" i="11" s="1"/>
  <c r="Y8" i="11" s="1"/>
  <c r="X106" i="14"/>
  <c r="X105" i="14" s="1"/>
  <c r="X104" i="14" s="1"/>
  <c r="X103" i="14" s="1"/>
  <c r="X102" i="14" s="1"/>
  <c r="X101" i="14" s="1"/>
  <c r="X100" i="14" s="1"/>
  <c r="X99" i="14" s="1"/>
  <c r="X98" i="14" s="1"/>
  <c r="X97" i="14" s="1"/>
  <c r="X96" i="14" s="1"/>
  <c r="X95" i="14" s="1"/>
  <c r="X94" i="14" s="1"/>
  <c r="X93" i="14" s="1"/>
  <c r="X92" i="14" s="1"/>
  <c r="X91" i="14" s="1"/>
  <c r="X90" i="14" s="1"/>
  <c r="X89" i="14" s="1"/>
  <c r="X88" i="14" s="1"/>
  <c r="X87" i="14" s="1"/>
  <c r="X86" i="14" s="1"/>
  <c r="X85" i="14" s="1"/>
  <c r="X84" i="14" s="1"/>
  <c r="X83" i="14" s="1"/>
  <c r="X82" i="14" s="1"/>
  <c r="X81" i="14" s="1"/>
  <c r="X80" i="14" s="1"/>
  <c r="X79" i="14" s="1"/>
  <c r="X78" i="14" s="1"/>
  <c r="X77" i="14" s="1"/>
  <c r="X76" i="14" s="1"/>
  <c r="X75" i="14" s="1"/>
  <c r="X74" i="14" s="1"/>
  <c r="X73" i="14" s="1"/>
  <c r="X72" i="14" s="1"/>
  <c r="X71" i="14" s="1"/>
  <c r="X70" i="14" s="1"/>
  <c r="X69" i="14" s="1"/>
  <c r="X68" i="14" s="1"/>
  <c r="X67" i="14" s="1"/>
  <c r="X66" i="14" s="1"/>
  <c r="X65" i="14" s="1"/>
  <c r="X64" i="14" s="1"/>
  <c r="X63" i="14" s="1"/>
  <c r="X62" i="14" s="1"/>
  <c r="X61" i="14" s="1"/>
  <c r="X60" i="14" s="1"/>
  <c r="X59" i="14" s="1"/>
  <c r="X58" i="14" s="1"/>
  <c r="X57" i="14" s="1"/>
  <c r="X56" i="14" s="1"/>
  <c r="X55" i="14" s="1"/>
  <c r="X54" i="14" s="1"/>
  <c r="X53" i="14" s="1"/>
  <c r="X52" i="14" s="1"/>
  <c r="X51" i="14" s="1"/>
  <c r="X50" i="14" s="1"/>
  <c r="X49" i="14" s="1"/>
  <c r="X48" i="14" s="1"/>
  <c r="X47" i="14" s="1"/>
  <c r="X46" i="14" s="1"/>
  <c r="X45" i="14" s="1"/>
  <c r="X44" i="14" s="1"/>
  <c r="X43" i="14" s="1"/>
  <c r="X42" i="14" s="1"/>
  <c r="X41" i="14" s="1"/>
  <c r="X40" i="14" s="1"/>
  <c r="X39" i="14" s="1"/>
  <c r="X38" i="14" s="1"/>
  <c r="X37" i="14" s="1"/>
  <c r="X36" i="14" s="1"/>
  <c r="X35" i="14" s="1"/>
  <c r="X34" i="14" s="1"/>
  <c r="X33" i="14" s="1"/>
  <c r="X32" i="14" s="1"/>
  <c r="X31" i="14" s="1"/>
  <c r="X30" i="14" s="1"/>
  <c r="X29" i="14" s="1"/>
  <c r="X28" i="14" s="1"/>
  <c r="X27" i="14" s="1"/>
  <c r="X26" i="14" s="1"/>
  <c r="X25" i="14" s="1"/>
  <c r="X24" i="14" s="1"/>
  <c r="X23" i="14" s="1"/>
  <c r="X22" i="14" s="1"/>
  <c r="X21" i="14" s="1"/>
  <c r="X20" i="14" s="1"/>
  <c r="X19" i="14" s="1"/>
  <c r="X18" i="14" s="1"/>
  <c r="X17" i="14" s="1"/>
  <c r="X16" i="14" s="1"/>
  <c r="X15" i="14" s="1"/>
  <c r="X14" i="14" s="1"/>
  <c r="X13" i="14" s="1"/>
  <c r="X12" i="14" s="1"/>
  <c r="X11" i="14" s="1"/>
  <c r="X10" i="14" s="1"/>
  <c r="X9" i="14" s="1"/>
  <c r="X8" i="14" s="1"/>
  <c r="X7" i="14" s="1"/>
  <c r="W107" i="12"/>
  <c r="AA108" i="13"/>
  <c r="X106" i="11"/>
  <c r="X105" i="11" s="1"/>
  <c r="X104" i="11" s="1"/>
  <c r="X103" i="11" s="1"/>
  <c r="X102" i="11" s="1"/>
  <c r="X101" i="11" s="1"/>
  <c r="X100" i="11" s="1"/>
  <c r="X99" i="11" s="1"/>
  <c r="X98" i="11" s="1"/>
  <c r="X97" i="11" s="1"/>
  <c r="X96" i="11" s="1"/>
  <c r="X95" i="11" s="1"/>
  <c r="X94" i="11" s="1"/>
  <c r="X93" i="11" s="1"/>
  <c r="X92" i="11" s="1"/>
  <c r="X91" i="11" s="1"/>
  <c r="X90" i="11" s="1"/>
  <c r="X89" i="11" s="1"/>
  <c r="X88" i="11" s="1"/>
  <c r="X87" i="11" s="1"/>
  <c r="X86" i="11" s="1"/>
  <c r="X85" i="11" s="1"/>
  <c r="X84" i="11" s="1"/>
  <c r="X83" i="11" s="1"/>
  <c r="X82" i="11" s="1"/>
  <c r="X81" i="11" s="1"/>
  <c r="X80" i="11" s="1"/>
  <c r="X79" i="11" s="1"/>
  <c r="X78" i="11" s="1"/>
  <c r="X77" i="11" s="1"/>
  <c r="X76" i="11" s="1"/>
  <c r="X75" i="11" s="1"/>
  <c r="X74" i="11" s="1"/>
  <c r="X73" i="11" s="1"/>
  <c r="X72" i="11" s="1"/>
  <c r="X71" i="11" s="1"/>
  <c r="X70" i="11" s="1"/>
  <c r="X69" i="11" s="1"/>
  <c r="X68" i="11" s="1"/>
  <c r="X67" i="11" s="1"/>
  <c r="X66" i="11" s="1"/>
  <c r="X65" i="11" s="1"/>
  <c r="X64" i="11" s="1"/>
  <c r="X63" i="11" s="1"/>
  <c r="X62" i="11" s="1"/>
  <c r="X61" i="11" s="1"/>
  <c r="X60" i="11" s="1"/>
  <c r="X59" i="11" s="1"/>
  <c r="X58" i="11" s="1"/>
  <c r="X57" i="11" s="1"/>
  <c r="X56" i="11" s="1"/>
  <c r="X55" i="11" s="1"/>
  <c r="X54" i="11" s="1"/>
  <c r="X53" i="11" s="1"/>
  <c r="X52" i="11" s="1"/>
  <c r="X51" i="11" s="1"/>
  <c r="X50" i="11" s="1"/>
  <c r="X49" i="11" s="1"/>
  <c r="X48" i="11" s="1"/>
  <c r="X47" i="11" s="1"/>
  <c r="X46" i="11" s="1"/>
  <c r="X45" i="11" s="1"/>
  <c r="X44" i="11" s="1"/>
  <c r="X43" i="11" s="1"/>
  <c r="X42" i="11" s="1"/>
  <c r="X41" i="11" s="1"/>
  <c r="X40" i="11" s="1"/>
  <c r="X39" i="11" s="1"/>
  <c r="X38" i="11" s="1"/>
  <c r="X37" i="11" s="1"/>
  <c r="X36" i="11" s="1"/>
  <c r="X35" i="11" s="1"/>
  <c r="X34" i="11" s="1"/>
  <c r="X33" i="11" s="1"/>
  <c r="X32" i="11" s="1"/>
  <c r="X31" i="11" s="1"/>
  <c r="X30" i="11" s="1"/>
  <c r="X29" i="11" s="1"/>
  <c r="X28" i="11" s="1"/>
  <c r="X27" i="11" s="1"/>
  <c r="X26" i="11" s="1"/>
  <c r="X25" i="11" s="1"/>
  <c r="X24" i="11" s="1"/>
  <c r="X23" i="11" s="1"/>
  <c r="X22" i="11" s="1"/>
  <c r="X21" i="11" s="1"/>
  <c r="X20" i="11" s="1"/>
  <c r="X19" i="11" s="1"/>
  <c r="X18" i="11" s="1"/>
  <c r="X17" i="11" s="1"/>
  <c r="X16" i="11" s="1"/>
  <c r="X15" i="11" s="1"/>
  <c r="X14" i="11" s="1"/>
  <c r="X13" i="11" s="1"/>
  <c r="X12" i="11" s="1"/>
  <c r="X11" i="11" s="1"/>
  <c r="X10" i="11" s="1"/>
  <c r="X9" i="11" s="1"/>
  <c r="X8" i="11" s="1"/>
  <c r="X7" i="11" s="1"/>
  <c r="Y11" i="14"/>
  <c r="Y10" i="14" s="1"/>
  <c r="Y9" i="14" s="1"/>
  <c r="Y8" i="14" s="1"/>
  <c r="Y11" i="13"/>
  <c r="Y10" i="13" s="1"/>
  <c r="Y9" i="13" s="1"/>
  <c r="Y8" i="13" s="1"/>
  <c r="Y11" i="12"/>
  <c r="Y10" i="12" s="1"/>
  <c r="Y9" i="12" s="1"/>
  <c r="Y8" i="12" s="1"/>
  <c r="Y11" i="15"/>
  <c r="Y10" i="15" s="1"/>
  <c r="Y9" i="15" s="1"/>
  <c r="Y8" i="15" s="1"/>
  <c r="X104" i="12"/>
  <c r="X103" i="12" s="1"/>
  <c r="X102" i="12" s="1"/>
  <c r="X101" i="12" s="1"/>
  <c r="X100" i="12" s="1"/>
  <c r="X99" i="12" s="1"/>
  <c r="X98" i="12" s="1"/>
  <c r="X97" i="12" s="1"/>
  <c r="X96" i="12" s="1"/>
  <c r="X95" i="12" s="1"/>
  <c r="X94" i="12" s="1"/>
  <c r="X93" i="12" s="1"/>
  <c r="X92" i="12" s="1"/>
  <c r="X91" i="12" s="1"/>
  <c r="X90" i="12" s="1"/>
  <c r="X89" i="12" s="1"/>
  <c r="X88" i="12" s="1"/>
  <c r="X87" i="12" s="1"/>
  <c r="X86" i="12" s="1"/>
  <c r="X85" i="12" s="1"/>
  <c r="X84" i="12" s="1"/>
  <c r="X83" i="12" s="1"/>
  <c r="X82" i="12" s="1"/>
  <c r="X81" i="12" s="1"/>
  <c r="X80" i="12" s="1"/>
  <c r="X79" i="12" s="1"/>
  <c r="X78" i="12" s="1"/>
  <c r="X77" i="12" s="1"/>
  <c r="X76" i="12" s="1"/>
  <c r="X75" i="12" s="1"/>
  <c r="X74" i="12" s="1"/>
  <c r="X73" i="12" s="1"/>
  <c r="X72" i="12" s="1"/>
  <c r="X71" i="12" s="1"/>
  <c r="X70" i="12" s="1"/>
  <c r="X69" i="12" s="1"/>
  <c r="X68" i="12" s="1"/>
  <c r="X67" i="12" s="1"/>
  <c r="X66" i="12" s="1"/>
  <c r="X65" i="12" s="1"/>
  <c r="X64" i="12" s="1"/>
  <c r="X63" i="12" s="1"/>
  <c r="X62" i="12" s="1"/>
  <c r="X61" i="12" s="1"/>
  <c r="X60" i="12" s="1"/>
  <c r="X59" i="12" s="1"/>
  <c r="X58" i="12" s="1"/>
  <c r="X57" i="12" s="1"/>
  <c r="X56" i="12" s="1"/>
  <c r="X55" i="12" s="1"/>
  <c r="X54" i="12" s="1"/>
  <c r="X53" i="12" s="1"/>
  <c r="X52" i="12" s="1"/>
  <c r="X51" i="12" s="1"/>
  <c r="X50" i="12" s="1"/>
  <c r="X49" i="12" s="1"/>
  <c r="X48" i="12" s="1"/>
  <c r="X47" i="12" s="1"/>
  <c r="X46" i="12" s="1"/>
  <c r="X45" i="12" s="1"/>
  <c r="X44" i="12" s="1"/>
  <c r="X43" i="12" s="1"/>
  <c r="X42" i="12" s="1"/>
  <c r="X41" i="12" s="1"/>
  <c r="X40" i="12" s="1"/>
  <c r="X39" i="12" s="1"/>
  <c r="X38" i="12" s="1"/>
  <c r="X37" i="12" s="1"/>
  <c r="X36" i="12" s="1"/>
  <c r="X35" i="12" s="1"/>
  <c r="X34" i="12" s="1"/>
  <c r="X33" i="12" s="1"/>
  <c r="X32" i="12" s="1"/>
  <c r="X31" i="12" s="1"/>
  <c r="X30" i="12" s="1"/>
  <c r="X29" i="12" s="1"/>
  <c r="X28" i="12" s="1"/>
  <c r="X27" i="12" s="1"/>
  <c r="X26" i="12" s="1"/>
  <c r="X25" i="12" s="1"/>
  <c r="X24" i="12" s="1"/>
  <c r="X23" i="12" s="1"/>
  <c r="X22" i="12" s="1"/>
  <c r="X21" i="12" s="1"/>
  <c r="X20" i="12" s="1"/>
  <c r="X19" i="12" s="1"/>
  <c r="X18" i="12" s="1"/>
  <c r="X17" i="12" s="1"/>
  <c r="X16" i="12" s="1"/>
  <c r="X15" i="12" s="1"/>
  <c r="X14" i="12" s="1"/>
  <c r="X13" i="12" s="1"/>
  <c r="X12" i="12" s="1"/>
  <c r="X11" i="12" s="1"/>
  <c r="X10" i="12" s="1"/>
  <c r="X9" i="12" s="1"/>
  <c r="X8" i="12" s="1"/>
  <c r="X7" i="12" s="1"/>
  <c r="Y11" i="16"/>
  <c r="Y10" i="16" s="1"/>
  <c r="Y9" i="16" s="1"/>
  <c r="Y8" i="16" s="1"/>
  <c r="Y11" i="17"/>
  <c r="Y10" i="17" s="1"/>
  <c r="Y9" i="17" s="1"/>
  <c r="Y8" i="17" s="1"/>
  <c r="V7" i="16"/>
  <c r="V7" i="17"/>
  <c r="V7" i="12"/>
  <c r="V7" i="13"/>
  <c r="V7" i="15"/>
  <c r="V7" i="11"/>
  <c r="V7" i="14"/>
  <c r="Y7" i="14" l="1"/>
  <c r="W107" i="13"/>
  <c r="Z107" i="13" s="1"/>
  <c r="AA106" i="13" s="1"/>
  <c r="Y7" i="15"/>
  <c r="Y7" i="12"/>
  <c r="W106" i="13"/>
  <c r="Y7" i="16"/>
  <c r="Y7" i="11"/>
  <c r="Z108" i="15"/>
  <c r="AA107" i="15" s="1"/>
  <c r="W107" i="15"/>
  <c r="Z108" i="17"/>
  <c r="AA107" i="17" s="1"/>
  <c r="W107" i="17"/>
  <c r="Y7" i="13"/>
  <c r="Z108" i="14"/>
  <c r="AA107" i="14" s="1"/>
  <c r="W107" i="14"/>
  <c r="Z107" i="12"/>
  <c r="AA106" i="12" s="1"/>
  <c r="W106" i="12"/>
  <c r="Z108" i="16"/>
  <c r="AA107" i="16" s="1"/>
  <c r="W107" i="16"/>
  <c r="Z106" i="11"/>
  <c r="AA105" i="11" s="1"/>
  <c r="W105" i="11"/>
  <c r="Y7" i="17"/>
  <c r="Z107" i="17" l="1"/>
  <c r="AA106" i="17" s="1"/>
  <c r="W106" i="17"/>
  <c r="Z107" i="16"/>
  <c r="AA106" i="16" s="1"/>
  <c r="W106" i="16"/>
  <c r="Z107" i="15"/>
  <c r="AA106" i="15" s="1"/>
  <c r="W106" i="15"/>
  <c r="Z106" i="12"/>
  <c r="AA105" i="12" s="1"/>
  <c r="W105" i="12"/>
  <c r="Z107" i="14"/>
  <c r="AA106" i="14" s="1"/>
  <c r="W106" i="14"/>
  <c r="Z106" i="13"/>
  <c r="AA105" i="13" s="1"/>
  <c r="W105" i="13"/>
  <c r="Z105" i="11"/>
  <c r="AA104" i="11" s="1"/>
  <c r="W104" i="11"/>
  <c r="Z105" i="12" l="1"/>
  <c r="AA104" i="12" s="1"/>
  <c r="W104" i="12"/>
  <c r="Z104" i="11"/>
  <c r="AA103" i="11" s="1"/>
  <c r="W103" i="11"/>
  <c r="Z106" i="15"/>
  <c r="AA105" i="15" s="1"/>
  <c r="W105" i="15"/>
  <c r="Z105" i="13"/>
  <c r="AA104" i="13" s="1"/>
  <c r="W104" i="13"/>
  <c r="Z106" i="16"/>
  <c r="AA105" i="16" s="1"/>
  <c r="W105" i="16"/>
  <c r="Z106" i="14"/>
  <c r="AA105" i="14" s="1"/>
  <c r="W105" i="14"/>
  <c r="Z106" i="17"/>
  <c r="AA105" i="17" s="1"/>
  <c r="W105" i="17"/>
  <c r="Z104" i="13" l="1"/>
  <c r="AA103" i="13" s="1"/>
  <c r="W103" i="13"/>
  <c r="Z105" i="15"/>
  <c r="AA104" i="15" s="1"/>
  <c r="W104" i="15"/>
  <c r="Z105" i="16"/>
  <c r="AA104" i="16" s="1"/>
  <c r="W104" i="16"/>
  <c r="W103" i="12"/>
  <c r="Z104" i="12"/>
  <c r="AA103" i="12" s="1"/>
  <c r="Z105" i="17"/>
  <c r="AA104" i="17" s="1"/>
  <c r="W104" i="17"/>
  <c r="Z105" i="14"/>
  <c r="AA104" i="14" s="1"/>
  <c r="W104" i="14"/>
  <c r="Z103" i="11"/>
  <c r="AA102" i="11" s="1"/>
  <c r="W102" i="11"/>
  <c r="Z103" i="12" l="1"/>
  <c r="AA102" i="12" s="1"/>
  <c r="W102" i="12"/>
  <c r="Z102" i="11"/>
  <c r="AA101" i="11" s="1"/>
  <c r="W101" i="11"/>
  <c r="Z104" i="14"/>
  <c r="AA103" i="14" s="1"/>
  <c r="W103" i="14"/>
  <c r="Z104" i="16"/>
  <c r="AA103" i="16" s="1"/>
  <c r="W103" i="16"/>
  <c r="Z104" i="15"/>
  <c r="AA103" i="15" s="1"/>
  <c r="W103" i="15"/>
  <c r="Z103" i="13"/>
  <c r="AA102" i="13" s="1"/>
  <c r="W102" i="13"/>
  <c r="Z104" i="17"/>
  <c r="AA103" i="17" s="1"/>
  <c r="W103" i="17"/>
  <c r="Z103" i="16" l="1"/>
  <c r="AA102" i="16" s="1"/>
  <c r="W102" i="16"/>
  <c r="Z103" i="17"/>
  <c r="AA102" i="17" s="1"/>
  <c r="W102" i="17"/>
  <c r="Z103" i="14"/>
  <c r="AA102" i="14" s="1"/>
  <c r="W102" i="14"/>
  <c r="Z102" i="13"/>
  <c r="AA101" i="13" s="1"/>
  <c r="W101" i="13"/>
  <c r="Z101" i="11"/>
  <c r="AA100" i="11" s="1"/>
  <c r="W100" i="11"/>
  <c r="W102" i="15"/>
  <c r="Z103" i="15"/>
  <c r="AA102" i="15" s="1"/>
  <c r="Z102" i="12"/>
  <c r="AA101" i="12" s="1"/>
  <c r="W101" i="12"/>
  <c r="Z101" i="12" l="1"/>
  <c r="AA100" i="12" s="1"/>
  <c r="W100" i="12"/>
  <c r="Z100" i="11"/>
  <c r="AA99" i="11" s="1"/>
  <c r="W99" i="11"/>
  <c r="Z102" i="16"/>
  <c r="AA101" i="16" s="1"/>
  <c r="W101" i="16"/>
  <c r="Z101" i="13"/>
  <c r="AA100" i="13" s="1"/>
  <c r="W100" i="13"/>
  <c r="Z102" i="14"/>
  <c r="AA101" i="14" s="1"/>
  <c r="W101" i="14"/>
  <c r="Z102" i="17"/>
  <c r="AA101" i="17" s="1"/>
  <c r="W101" i="17"/>
  <c r="W101" i="15"/>
  <c r="Z102" i="15"/>
  <c r="AA101" i="15" s="1"/>
  <c r="W99" i="13" l="1"/>
  <c r="Z100" i="13"/>
  <c r="AA99" i="13" s="1"/>
  <c r="Z101" i="16"/>
  <c r="AA100" i="16" s="1"/>
  <c r="W100" i="16"/>
  <c r="Z101" i="15"/>
  <c r="AA100" i="15" s="1"/>
  <c r="W100" i="15"/>
  <c r="Z101" i="17"/>
  <c r="AA100" i="17" s="1"/>
  <c r="W100" i="17"/>
  <c r="W98" i="11"/>
  <c r="Z99" i="11"/>
  <c r="AA98" i="11" s="1"/>
  <c r="W100" i="14"/>
  <c r="Z101" i="14"/>
  <c r="AA100" i="14" s="1"/>
  <c r="Z100" i="12"/>
  <c r="AA99" i="12" s="1"/>
  <c r="W99" i="12"/>
  <c r="Z100" i="17" l="1"/>
  <c r="AA99" i="17" s="1"/>
  <c r="W99" i="17"/>
  <c r="Z99" i="12"/>
  <c r="AA98" i="12" s="1"/>
  <c r="W98" i="12"/>
  <c r="Z100" i="15"/>
  <c r="AA99" i="15" s="1"/>
  <c r="W99" i="15"/>
  <c r="Z100" i="16"/>
  <c r="AA99" i="16" s="1"/>
  <c r="W99" i="16"/>
  <c r="Z100" i="14"/>
  <c r="AA99" i="14" s="1"/>
  <c r="W99" i="14"/>
  <c r="Z98" i="11"/>
  <c r="AA97" i="11" s="1"/>
  <c r="W97" i="11"/>
  <c r="Z99" i="13"/>
  <c r="AA98" i="13" s="1"/>
  <c r="W98" i="13"/>
  <c r="Z99" i="16" l="1"/>
  <c r="AA98" i="16" s="1"/>
  <c r="W98" i="16"/>
  <c r="Z98" i="13"/>
  <c r="AA97" i="13" s="1"/>
  <c r="W97" i="13"/>
  <c r="Z99" i="15"/>
  <c r="AA98" i="15" s="1"/>
  <c r="W98" i="15"/>
  <c r="Z97" i="11"/>
  <c r="AA96" i="11" s="1"/>
  <c r="W96" i="11"/>
  <c r="Z98" i="12"/>
  <c r="AA97" i="12" s="1"/>
  <c r="W97" i="12"/>
  <c r="Z99" i="14"/>
  <c r="AA98" i="14" s="1"/>
  <c r="W98" i="14"/>
  <c r="Z99" i="17"/>
  <c r="AA98" i="17" s="1"/>
  <c r="W98" i="17"/>
  <c r="Z96" i="11" l="1"/>
  <c r="AA95" i="11" s="1"/>
  <c r="W95" i="11"/>
  <c r="Z98" i="17"/>
  <c r="AA97" i="17" s="1"/>
  <c r="W97" i="17"/>
  <c r="Z98" i="15"/>
  <c r="AA97" i="15" s="1"/>
  <c r="W97" i="15"/>
  <c r="Z98" i="14"/>
  <c r="AA97" i="14" s="1"/>
  <c r="W97" i="14"/>
  <c r="Z97" i="13"/>
  <c r="AA96" i="13" s="1"/>
  <c r="W96" i="13"/>
  <c r="Z97" i="12"/>
  <c r="AA96" i="12" s="1"/>
  <c r="W96" i="12"/>
  <c r="Z98" i="16"/>
  <c r="AA97" i="16" s="1"/>
  <c r="W97" i="16"/>
  <c r="Z97" i="14" l="1"/>
  <c r="AA96" i="14" s="1"/>
  <c r="W96" i="14"/>
  <c r="Z97" i="16"/>
  <c r="AA96" i="16" s="1"/>
  <c r="W96" i="16"/>
  <c r="Z97" i="15"/>
  <c r="AA96" i="15" s="1"/>
  <c r="W96" i="15"/>
  <c r="Z96" i="12"/>
  <c r="AA95" i="12" s="1"/>
  <c r="W95" i="12"/>
  <c r="Z97" i="17"/>
  <c r="AA96" i="17" s="1"/>
  <c r="W96" i="17"/>
  <c r="Z96" i="13"/>
  <c r="AA95" i="13" s="1"/>
  <c r="W95" i="13"/>
  <c r="Z95" i="11"/>
  <c r="AA94" i="11" s="1"/>
  <c r="W94" i="11"/>
  <c r="Z95" i="12" l="1"/>
  <c r="AA94" i="12" s="1"/>
  <c r="W94" i="12"/>
  <c r="Z94" i="11"/>
  <c r="AA93" i="11" s="1"/>
  <c r="W93" i="11"/>
  <c r="W95" i="15"/>
  <c r="Z96" i="15"/>
  <c r="AA95" i="15" s="1"/>
  <c r="Z95" i="13"/>
  <c r="AA94" i="13" s="1"/>
  <c r="W94" i="13"/>
  <c r="Z96" i="16"/>
  <c r="AA95" i="16" s="1"/>
  <c r="W95" i="16"/>
  <c r="Z96" i="17"/>
  <c r="AA95" i="17" s="1"/>
  <c r="W95" i="17"/>
  <c r="Z96" i="14"/>
  <c r="AA95" i="14" s="1"/>
  <c r="W95" i="14"/>
  <c r="Z94" i="13" l="1"/>
  <c r="AA93" i="13" s="1"/>
  <c r="W93" i="13"/>
  <c r="Z95" i="14"/>
  <c r="AA94" i="14" s="1"/>
  <c r="W94" i="14"/>
  <c r="Z95" i="15"/>
  <c r="AA94" i="15" s="1"/>
  <c r="W94" i="15"/>
  <c r="Z95" i="17"/>
  <c r="AA94" i="17" s="1"/>
  <c r="W94" i="17"/>
  <c r="Z93" i="11"/>
  <c r="AA92" i="11" s="1"/>
  <c r="W92" i="11"/>
  <c r="Z95" i="16"/>
  <c r="AA94" i="16" s="1"/>
  <c r="W94" i="16"/>
  <c r="Z94" i="12"/>
  <c r="AA93" i="12" s="1"/>
  <c r="W93" i="12"/>
  <c r="Z94" i="17" l="1"/>
  <c r="AA93" i="17" s="1"/>
  <c r="W93" i="17"/>
  <c r="Z93" i="12"/>
  <c r="AA92" i="12" s="1"/>
  <c r="W92" i="12"/>
  <c r="Z94" i="15"/>
  <c r="AA93" i="15" s="1"/>
  <c r="W93" i="15"/>
  <c r="Z94" i="16"/>
  <c r="AA93" i="16" s="1"/>
  <c r="W93" i="16"/>
  <c r="Z94" i="14"/>
  <c r="AA93" i="14" s="1"/>
  <c r="W93" i="14"/>
  <c r="Z92" i="11"/>
  <c r="AA91" i="11" s="1"/>
  <c r="W91" i="11"/>
  <c r="Z93" i="13"/>
  <c r="AA92" i="13" s="1"/>
  <c r="W92" i="13"/>
  <c r="Z93" i="16" l="1"/>
  <c r="AA92" i="16" s="1"/>
  <c r="W92" i="16"/>
  <c r="Z92" i="13"/>
  <c r="AA91" i="13" s="1"/>
  <c r="W91" i="13"/>
  <c r="Z93" i="15"/>
  <c r="AA92" i="15" s="1"/>
  <c r="W92" i="15"/>
  <c r="Z91" i="11"/>
  <c r="AA90" i="11" s="1"/>
  <c r="W90" i="11"/>
  <c r="Z92" i="12"/>
  <c r="AA91" i="12" s="1"/>
  <c r="W91" i="12"/>
  <c r="Z93" i="14"/>
  <c r="AA92" i="14" s="1"/>
  <c r="W92" i="14"/>
  <c r="Z93" i="17"/>
  <c r="AA92" i="17" s="1"/>
  <c r="W92" i="17"/>
  <c r="Z90" i="11" l="1"/>
  <c r="AA89" i="11" s="1"/>
  <c r="W89" i="11"/>
  <c r="Z92" i="17"/>
  <c r="AA91" i="17" s="1"/>
  <c r="W91" i="17"/>
  <c r="Z92" i="15"/>
  <c r="AA91" i="15" s="1"/>
  <c r="W91" i="15"/>
  <c r="Z92" i="14"/>
  <c r="AA91" i="14" s="1"/>
  <c r="W91" i="14"/>
  <c r="Z91" i="13"/>
  <c r="AA90" i="13" s="1"/>
  <c r="W90" i="13"/>
  <c r="Z91" i="12"/>
  <c r="AA90" i="12" s="1"/>
  <c r="W90" i="12"/>
  <c r="Z92" i="16"/>
  <c r="AA91" i="16" s="1"/>
  <c r="W91" i="16"/>
  <c r="Z91" i="14" l="1"/>
  <c r="AA90" i="14" s="1"/>
  <c r="W90" i="14"/>
  <c r="Z91" i="16"/>
  <c r="AA90" i="16" s="1"/>
  <c r="W90" i="16"/>
  <c r="Z91" i="15"/>
  <c r="AA90" i="15" s="1"/>
  <c r="W90" i="15"/>
  <c r="Z90" i="12"/>
  <c r="AA89" i="12" s="1"/>
  <c r="W89" i="12"/>
  <c r="Z91" i="17"/>
  <c r="AA90" i="17" s="1"/>
  <c r="W90" i="17"/>
  <c r="Z90" i="13"/>
  <c r="AA89" i="13" s="1"/>
  <c r="W89" i="13"/>
  <c r="Z89" i="11"/>
  <c r="AA88" i="11" s="1"/>
  <c r="W88" i="11"/>
  <c r="Z89" i="12" l="1"/>
  <c r="AA88" i="12" s="1"/>
  <c r="W88" i="12"/>
  <c r="Z88" i="11"/>
  <c r="AA87" i="11" s="1"/>
  <c r="W87" i="11"/>
  <c r="Z90" i="15"/>
  <c r="AA89" i="15" s="1"/>
  <c r="W89" i="15"/>
  <c r="Z89" i="13"/>
  <c r="AA88" i="13" s="1"/>
  <c r="W88" i="13"/>
  <c r="Z90" i="16"/>
  <c r="AA89" i="16" s="1"/>
  <c r="W89" i="16"/>
  <c r="Z90" i="17"/>
  <c r="AA89" i="17" s="1"/>
  <c r="W89" i="17"/>
  <c r="Z90" i="14"/>
  <c r="AA89" i="14" s="1"/>
  <c r="W89" i="14"/>
  <c r="Z88" i="13" l="1"/>
  <c r="AA87" i="13" s="1"/>
  <c r="W87" i="13"/>
  <c r="Z89" i="14"/>
  <c r="AA88" i="14" s="1"/>
  <c r="W88" i="14"/>
  <c r="Z87" i="11"/>
  <c r="AA86" i="11" s="1"/>
  <c r="W86" i="11"/>
  <c r="Z89" i="16"/>
  <c r="AA88" i="16" s="1"/>
  <c r="W88" i="16"/>
  <c r="Z88" i="12"/>
  <c r="AA87" i="12" s="1"/>
  <c r="W87" i="12"/>
  <c r="Z89" i="15"/>
  <c r="AA88" i="15" s="1"/>
  <c r="W88" i="15"/>
  <c r="Z89" i="17"/>
  <c r="AA88" i="17" s="1"/>
  <c r="W88" i="17"/>
  <c r="Z88" i="16" l="1"/>
  <c r="AA87" i="16" s="1"/>
  <c r="W87" i="16"/>
  <c r="Z88" i="17"/>
  <c r="AA87" i="17" s="1"/>
  <c r="W87" i="17"/>
  <c r="Z86" i="11"/>
  <c r="AA85" i="11" s="1"/>
  <c r="W85" i="11"/>
  <c r="Z88" i="15"/>
  <c r="AA87" i="15" s="1"/>
  <c r="W87" i="15"/>
  <c r="Z88" i="14"/>
  <c r="AA87" i="14" s="1"/>
  <c r="W87" i="14"/>
  <c r="Z87" i="12"/>
  <c r="AA86" i="12" s="1"/>
  <c r="W86" i="12"/>
  <c r="Z87" i="13"/>
  <c r="AA86" i="13" s="1"/>
  <c r="W86" i="13"/>
  <c r="Z87" i="15" l="1"/>
  <c r="AA86" i="15" s="1"/>
  <c r="W86" i="15"/>
  <c r="Z86" i="13"/>
  <c r="AA85" i="13" s="1"/>
  <c r="W85" i="13"/>
  <c r="Z85" i="11"/>
  <c r="AA84" i="11" s="1"/>
  <c r="W84" i="11"/>
  <c r="Z86" i="12"/>
  <c r="AA85" i="12" s="1"/>
  <c r="W85" i="12"/>
  <c r="Z87" i="17"/>
  <c r="AA86" i="17" s="1"/>
  <c r="W86" i="17"/>
  <c r="Z87" i="14"/>
  <c r="AA86" i="14" s="1"/>
  <c r="W86" i="14"/>
  <c r="Z87" i="16"/>
  <c r="AA86" i="16" s="1"/>
  <c r="W86" i="16"/>
  <c r="Z85" i="12" l="1"/>
  <c r="AA84" i="12" s="1"/>
  <c r="W84" i="12"/>
  <c r="Z86" i="16"/>
  <c r="AA85" i="16" s="1"/>
  <c r="W85" i="16"/>
  <c r="Z84" i="11"/>
  <c r="AA83" i="11" s="1"/>
  <c r="W83" i="11"/>
  <c r="Z86" i="14"/>
  <c r="AA85" i="14" s="1"/>
  <c r="W85" i="14"/>
  <c r="Z85" i="13"/>
  <c r="AA84" i="13" s="1"/>
  <c r="W84" i="13"/>
  <c r="Z86" i="17"/>
  <c r="AA85" i="17" s="1"/>
  <c r="W85" i="17"/>
  <c r="Z86" i="15"/>
  <c r="AA85" i="15" s="1"/>
  <c r="W85" i="15"/>
  <c r="Z85" i="14" l="1"/>
  <c r="AA84" i="14" s="1"/>
  <c r="W84" i="14"/>
  <c r="Z83" i="11"/>
  <c r="AA82" i="11" s="1"/>
  <c r="W82" i="11"/>
  <c r="Z85" i="16"/>
  <c r="AA84" i="16" s="1"/>
  <c r="W84" i="16"/>
  <c r="W83" i="13"/>
  <c r="Z84" i="13"/>
  <c r="AA83" i="13" s="1"/>
  <c r="Z84" i="12"/>
  <c r="AA83" i="12" s="1"/>
  <c r="W83" i="12"/>
  <c r="Z85" i="15"/>
  <c r="AA84" i="15" s="1"/>
  <c r="W84" i="15"/>
  <c r="Z85" i="17"/>
  <c r="AA84" i="17" s="1"/>
  <c r="W84" i="17"/>
  <c r="Z83" i="13" l="1"/>
  <c r="AA82" i="13" s="1"/>
  <c r="W82" i="13"/>
  <c r="Z84" i="15"/>
  <c r="AA83" i="15" s="1"/>
  <c r="W83" i="15"/>
  <c r="Z82" i="11"/>
  <c r="AA81" i="11" s="1"/>
  <c r="W81" i="11"/>
  <c r="Z84" i="16"/>
  <c r="AA83" i="16" s="1"/>
  <c r="W83" i="16"/>
  <c r="Z83" i="12"/>
  <c r="AA82" i="12" s="1"/>
  <c r="W82" i="12"/>
  <c r="Z84" i="14"/>
  <c r="AA83" i="14" s="1"/>
  <c r="W83" i="14"/>
  <c r="Z84" i="17"/>
  <c r="AA83" i="17" s="1"/>
  <c r="W83" i="17"/>
  <c r="Z83" i="16" l="1"/>
  <c r="AA82" i="16" s="1"/>
  <c r="W82" i="16"/>
  <c r="Z83" i="17"/>
  <c r="AA82" i="17" s="1"/>
  <c r="W82" i="17"/>
  <c r="Z81" i="11"/>
  <c r="AA80" i="11" s="1"/>
  <c r="W80" i="11"/>
  <c r="Z83" i="14"/>
  <c r="AA82" i="14" s="1"/>
  <c r="W82" i="14"/>
  <c r="Z83" i="15"/>
  <c r="AA82" i="15" s="1"/>
  <c r="W82" i="15"/>
  <c r="Z82" i="12"/>
  <c r="AA81" i="12" s="1"/>
  <c r="W81" i="12"/>
  <c r="Z82" i="13"/>
  <c r="AA81" i="13" s="1"/>
  <c r="W81" i="13"/>
  <c r="Z82" i="14" l="1"/>
  <c r="AA81" i="14" s="1"/>
  <c r="W81" i="14"/>
  <c r="Z81" i="13"/>
  <c r="AA80" i="13" s="1"/>
  <c r="W80" i="13"/>
  <c r="Z80" i="11"/>
  <c r="AA79" i="11" s="1"/>
  <c r="W79" i="11"/>
  <c r="Z81" i="12"/>
  <c r="AA80" i="12" s="1"/>
  <c r="W80" i="12"/>
  <c r="Z82" i="17"/>
  <c r="AA81" i="17" s="1"/>
  <c r="W81" i="17"/>
  <c r="Z82" i="15"/>
  <c r="AA81" i="15" s="1"/>
  <c r="W81" i="15"/>
  <c r="Z82" i="16"/>
  <c r="AA81" i="16" s="1"/>
  <c r="W81" i="16"/>
  <c r="Z81" i="16" l="1"/>
  <c r="AA80" i="16" s="1"/>
  <c r="W80" i="16"/>
  <c r="Z79" i="11"/>
  <c r="AA78" i="11" s="1"/>
  <c r="W78" i="11"/>
  <c r="Z81" i="15"/>
  <c r="AA80" i="15" s="1"/>
  <c r="W80" i="15"/>
  <c r="W79" i="13"/>
  <c r="Z80" i="13"/>
  <c r="AA79" i="13" s="1"/>
  <c r="Z81" i="17"/>
  <c r="AA80" i="17" s="1"/>
  <c r="W80" i="17"/>
  <c r="W80" i="14"/>
  <c r="Z81" i="14"/>
  <c r="AA80" i="14" s="1"/>
  <c r="Z80" i="12"/>
  <c r="AA79" i="12" s="1"/>
  <c r="W79" i="12"/>
  <c r="Z79" i="13" l="1"/>
  <c r="AA78" i="13" s="1"/>
  <c r="W78" i="13"/>
  <c r="Z79" i="12"/>
  <c r="AA78" i="12" s="1"/>
  <c r="W78" i="12"/>
  <c r="Z80" i="15"/>
  <c r="AA79" i="15" s="1"/>
  <c r="W79" i="15"/>
  <c r="Z78" i="11"/>
  <c r="AA77" i="11" s="1"/>
  <c r="W77" i="11"/>
  <c r="Z80" i="14"/>
  <c r="AA79" i="14" s="1"/>
  <c r="W79" i="14"/>
  <c r="Z80" i="17"/>
  <c r="AA79" i="17" s="1"/>
  <c r="W79" i="17"/>
  <c r="Z80" i="16"/>
  <c r="AA79" i="16" s="1"/>
  <c r="W79" i="16"/>
  <c r="Z79" i="16" l="1"/>
  <c r="AA78" i="16" s="1"/>
  <c r="W78" i="16"/>
  <c r="Z79" i="15"/>
  <c r="AA78" i="15" s="1"/>
  <c r="W78" i="15"/>
  <c r="Z79" i="17"/>
  <c r="AA78" i="17" s="1"/>
  <c r="W78" i="17"/>
  <c r="Z78" i="12"/>
  <c r="AA77" i="12" s="1"/>
  <c r="W77" i="12"/>
  <c r="Z79" i="14"/>
  <c r="AA78" i="14" s="1"/>
  <c r="W78" i="14"/>
  <c r="Z78" i="13"/>
  <c r="AA77" i="13" s="1"/>
  <c r="W77" i="13"/>
  <c r="W76" i="11"/>
  <c r="Z77" i="11"/>
  <c r="AA76" i="11" s="1"/>
  <c r="Z78" i="17" l="1"/>
  <c r="AA77" i="17" s="1"/>
  <c r="W77" i="17"/>
  <c r="Z76" i="11"/>
  <c r="AA75" i="11" s="1"/>
  <c r="W75" i="11"/>
  <c r="Z77" i="13"/>
  <c r="AA76" i="13" s="1"/>
  <c r="W76" i="13"/>
  <c r="Z78" i="15"/>
  <c r="AA77" i="15" s="1"/>
  <c r="W77" i="15"/>
  <c r="W77" i="14"/>
  <c r="Z78" i="14"/>
  <c r="AA77" i="14" s="1"/>
  <c r="Z78" i="16"/>
  <c r="AA77" i="16" s="1"/>
  <c r="W77" i="16"/>
  <c r="W76" i="12"/>
  <c r="Z77" i="12"/>
  <c r="AA76" i="12" s="1"/>
  <c r="Z77" i="15" l="1"/>
  <c r="AA76" i="15" s="1"/>
  <c r="W76" i="15"/>
  <c r="Z76" i="13"/>
  <c r="AA75" i="13" s="1"/>
  <c r="W75" i="13"/>
  <c r="Z76" i="12"/>
  <c r="AA75" i="12" s="1"/>
  <c r="W75" i="12"/>
  <c r="W76" i="16"/>
  <c r="Z77" i="16"/>
  <c r="AA76" i="16" s="1"/>
  <c r="Z75" i="11"/>
  <c r="AA74" i="11" s="1"/>
  <c r="W74" i="11"/>
  <c r="Z77" i="17"/>
  <c r="AA76" i="17" s="1"/>
  <c r="W76" i="17"/>
  <c r="Z77" i="14"/>
  <c r="AA76" i="14" s="1"/>
  <c r="W76" i="14"/>
  <c r="Z76" i="16" l="1"/>
  <c r="AA75" i="16" s="1"/>
  <c r="W75" i="16"/>
  <c r="W74" i="12"/>
  <c r="Z75" i="12"/>
  <c r="AA74" i="12" s="1"/>
  <c r="Z75" i="13"/>
  <c r="AA74" i="13" s="1"/>
  <c r="W74" i="13"/>
  <c r="Z76" i="14"/>
  <c r="AA75" i="14" s="1"/>
  <c r="W75" i="14"/>
  <c r="Z76" i="17"/>
  <c r="AA75" i="17" s="1"/>
  <c r="W75" i="17"/>
  <c r="Z74" i="11"/>
  <c r="AA73" i="11" s="1"/>
  <c r="W73" i="11"/>
  <c r="Z76" i="15"/>
  <c r="AA75" i="15" s="1"/>
  <c r="W75" i="15"/>
  <c r="W73" i="13" l="1"/>
  <c r="Z74" i="13"/>
  <c r="AA73" i="13" s="1"/>
  <c r="Z74" i="12"/>
  <c r="AA73" i="12" s="1"/>
  <c r="W73" i="12"/>
  <c r="Z75" i="17"/>
  <c r="AA74" i="17" s="1"/>
  <c r="W74" i="17"/>
  <c r="W74" i="16"/>
  <c r="Z75" i="16"/>
  <c r="AA74" i="16" s="1"/>
  <c r="Z75" i="14"/>
  <c r="AA74" i="14" s="1"/>
  <c r="W74" i="14"/>
  <c r="Z75" i="15"/>
  <c r="AA74" i="15" s="1"/>
  <c r="W74" i="15"/>
  <c r="Z73" i="11"/>
  <c r="AA72" i="11" s="1"/>
  <c r="W72" i="11"/>
  <c r="Z74" i="15" l="1"/>
  <c r="AA73" i="15" s="1"/>
  <c r="W73" i="15"/>
  <c r="Z73" i="12"/>
  <c r="AA72" i="12" s="1"/>
  <c r="W72" i="12"/>
  <c r="Z74" i="14"/>
  <c r="AA73" i="14" s="1"/>
  <c r="W73" i="14"/>
  <c r="W72" i="13"/>
  <c r="Z73" i="13"/>
  <c r="AA72" i="13" s="1"/>
  <c r="Z74" i="17"/>
  <c r="AA73" i="17" s="1"/>
  <c r="W73" i="17"/>
  <c r="Z74" i="16"/>
  <c r="AA73" i="16" s="1"/>
  <c r="W73" i="16"/>
  <c r="W71" i="11"/>
  <c r="Z72" i="11"/>
  <c r="AA71" i="11" s="1"/>
  <c r="Z72" i="13" l="1"/>
  <c r="AA71" i="13" s="1"/>
  <c r="W71" i="13"/>
  <c r="W72" i="14"/>
  <c r="Z73" i="14"/>
  <c r="AA72" i="14" s="1"/>
  <c r="Z71" i="11"/>
  <c r="AA70" i="11" s="1"/>
  <c r="W70" i="11"/>
  <c r="Z73" i="16"/>
  <c r="AA72" i="16" s="1"/>
  <c r="W72" i="16"/>
  <c r="Z72" i="12"/>
  <c r="AA71" i="12" s="1"/>
  <c r="W71" i="12"/>
  <c r="Z73" i="17"/>
  <c r="AA72" i="17" s="1"/>
  <c r="W72" i="17"/>
  <c r="Z73" i="15"/>
  <c r="AA72" i="15" s="1"/>
  <c r="W72" i="15"/>
  <c r="Z72" i="16" l="1"/>
  <c r="AA71" i="16" s="1"/>
  <c r="W71" i="16"/>
  <c r="Z72" i="15"/>
  <c r="AA71" i="15" s="1"/>
  <c r="W71" i="15"/>
  <c r="Z70" i="11"/>
  <c r="AA69" i="11" s="1"/>
  <c r="W69" i="11"/>
  <c r="Z72" i="17"/>
  <c r="AA71" i="17" s="1"/>
  <c r="W71" i="17"/>
  <c r="Z72" i="14"/>
  <c r="AA71" i="14" s="1"/>
  <c r="W71" i="14"/>
  <c r="Z71" i="12"/>
  <c r="AA70" i="12" s="1"/>
  <c r="W70" i="12"/>
  <c r="Z71" i="13"/>
  <c r="AA70" i="13" s="1"/>
  <c r="W70" i="13"/>
  <c r="Z69" i="11" l="1"/>
  <c r="AA68" i="11" s="1"/>
  <c r="W68" i="11"/>
  <c r="Z70" i="12"/>
  <c r="AA69" i="12" s="1"/>
  <c r="W69" i="12"/>
  <c r="Z71" i="15"/>
  <c r="AA70" i="15" s="1"/>
  <c r="W70" i="15"/>
  <c r="Z71" i="14"/>
  <c r="AA70" i="14" s="1"/>
  <c r="W70" i="14"/>
  <c r="Z71" i="16"/>
  <c r="AA70" i="16" s="1"/>
  <c r="W70" i="16"/>
  <c r="Z71" i="17"/>
  <c r="AA70" i="17" s="1"/>
  <c r="W70" i="17"/>
  <c r="Z70" i="13"/>
  <c r="AA69" i="13" s="1"/>
  <c r="W69" i="13"/>
  <c r="Z69" i="13" l="1"/>
  <c r="AA68" i="13" s="1"/>
  <c r="W68" i="13"/>
  <c r="W69" i="15"/>
  <c r="Z70" i="15"/>
  <c r="AA69" i="15" s="1"/>
  <c r="W69" i="17"/>
  <c r="Z70" i="17"/>
  <c r="AA69" i="17" s="1"/>
  <c r="Z69" i="12"/>
  <c r="AA68" i="12" s="1"/>
  <c r="W68" i="12"/>
  <c r="Z70" i="16"/>
  <c r="AA69" i="16" s="1"/>
  <c r="W69" i="16"/>
  <c r="Z68" i="11"/>
  <c r="AA67" i="11" s="1"/>
  <c r="W67" i="11"/>
  <c r="Z70" i="14"/>
  <c r="AA69" i="14" s="1"/>
  <c r="W69" i="14"/>
  <c r="Z69" i="14" l="1"/>
  <c r="AA68" i="14" s="1"/>
  <c r="W68" i="14"/>
  <c r="Z69" i="17"/>
  <c r="AA68" i="17" s="1"/>
  <c r="W68" i="17"/>
  <c r="Z67" i="11"/>
  <c r="AA66" i="11" s="1"/>
  <c r="W66" i="11"/>
  <c r="Z69" i="15"/>
  <c r="AA68" i="15" s="1"/>
  <c r="W68" i="15"/>
  <c r="Z69" i="16"/>
  <c r="AA68" i="16" s="1"/>
  <c r="W68" i="16"/>
  <c r="Z68" i="13"/>
  <c r="AA67" i="13" s="1"/>
  <c r="W67" i="13"/>
  <c r="Z68" i="12"/>
  <c r="AA67" i="12" s="1"/>
  <c r="W67" i="12"/>
  <c r="W66" i="12" l="1"/>
  <c r="Z67" i="12"/>
  <c r="AA66" i="12" s="1"/>
  <c r="W65" i="11"/>
  <c r="Z66" i="11"/>
  <c r="AA65" i="11" s="1"/>
  <c r="Z67" i="13"/>
  <c r="AA66" i="13" s="1"/>
  <c r="W66" i="13"/>
  <c r="Z68" i="17"/>
  <c r="AA67" i="17" s="1"/>
  <c r="W67" i="17"/>
  <c r="Z68" i="16"/>
  <c r="AA67" i="16" s="1"/>
  <c r="W67" i="16"/>
  <c r="Z68" i="14"/>
  <c r="AA67" i="14" s="1"/>
  <c r="W67" i="14"/>
  <c r="Z68" i="15"/>
  <c r="AA67" i="15" s="1"/>
  <c r="W67" i="15"/>
  <c r="W64" i="11" l="1"/>
  <c r="Z65" i="11"/>
  <c r="AA64" i="11" s="1"/>
  <c r="Z67" i="16"/>
  <c r="AA66" i="16" s="1"/>
  <c r="W66" i="16"/>
  <c r="Z66" i="12"/>
  <c r="AA65" i="12" s="1"/>
  <c r="W65" i="12"/>
  <c r="Z67" i="17"/>
  <c r="AA66" i="17" s="1"/>
  <c r="W66" i="17"/>
  <c r="W66" i="14"/>
  <c r="Z67" i="14"/>
  <c r="AA66" i="14" s="1"/>
  <c r="Z66" i="13"/>
  <c r="AA65" i="13" s="1"/>
  <c r="W65" i="13"/>
  <c r="Z67" i="15"/>
  <c r="AA66" i="15" s="1"/>
  <c r="W66" i="15"/>
  <c r="Z66" i="15" l="1"/>
  <c r="AA65" i="15" s="1"/>
  <c r="W65" i="15"/>
  <c r="W64" i="12"/>
  <c r="Z65" i="12"/>
  <c r="AA64" i="12" s="1"/>
  <c r="Z65" i="13"/>
  <c r="AA64" i="13" s="1"/>
  <c r="W64" i="13"/>
  <c r="Z66" i="16"/>
  <c r="AA65" i="16" s="1"/>
  <c r="W65" i="16"/>
  <c r="Z66" i="14"/>
  <c r="AA65" i="14" s="1"/>
  <c r="W65" i="14"/>
  <c r="Z64" i="11"/>
  <c r="AA63" i="11" s="1"/>
  <c r="W63" i="11"/>
  <c r="Z66" i="17"/>
  <c r="AA65" i="17" s="1"/>
  <c r="W65" i="17"/>
  <c r="Z65" i="17" l="1"/>
  <c r="AA64" i="17" s="1"/>
  <c r="W64" i="17"/>
  <c r="Z64" i="13"/>
  <c r="AA63" i="13" s="1"/>
  <c r="W63" i="13"/>
  <c r="Z63" i="11"/>
  <c r="AA62" i="11" s="1"/>
  <c r="W62" i="11"/>
  <c r="Z64" i="12"/>
  <c r="AA63" i="12" s="1"/>
  <c r="W63" i="12"/>
  <c r="Z65" i="14"/>
  <c r="AA64" i="14" s="1"/>
  <c r="W64" i="14"/>
  <c r="Z65" i="15"/>
  <c r="AA64" i="15" s="1"/>
  <c r="W64" i="15"/>
  <c r="Z65" i="16"/>
  <c r="AA64" i="16" s="1"/>
  <c r="W64" i="16"/>
  <c r="Z64" i="16" l="1"/>
  <c r="AA63" i="16" s="1"/>
  <c r="W63" i="16"/>
  <c r="Z62" i="11"/>
  <c r="AA61" i="11" s="1"/>
  <c r="W61" i="11"/>
  <c r="Z64" i="15"/>
  <c r="AA63" i="15" s="1"/>
  <c r="W63" i="15"/>
  <c r="Z63" i="13"/>
  <c r="AA62" i="13" s="1"/>
  <c r="W62" i="13"/>
  <c r="Z64" i="14"/>
  <c r="AA63" i="14" s="1"/>
  <c r="W63" i="14"/>
  <c r="Z64" i="17"/>
  <c r="AA63" i="17" s="1"/>
  <c r="W63" i="17"/>
  <c r="W62" i="12"/>
  <c r="Z63" i="12"/>
  <c r="AA62" i="12" s="1"/>
  <c r="W62" i="15" l="1"/>
  <c r="Z63" i="15"/>
  <c r="AA62" i="15" s="1"/>
  <c r="Z62" i="12"/>
  <c r="AA61" i="12" s="1"/>
  <c r="W61" i="12"/>
  <c r="Z63" i="17"/>
  <c r="AA62" i="17" s="1"/>
  <c r="W62" i="17"/>
  <c r="Z61" i="11"/>
  <c r="AA60" i="11" s="1"/>
  <c r="W60" i="11"/>
  <c r="Z63" i="14"/>
  <c r="AA62" i="14" s="1"/>
  <c r="W62" i="14"/>
  <c r="Z63" i="16"/>
  <c r="AA62" i="16" s="1"/>
  <c r="W62" i="16"/>
  <c r="Z62" i="13"/>
  <c r="AA61" i="13" s="1"/>
  <c r="W61" i="13"/>
  <c r="W60" i="13" l="1"/>
  <c r="Z61" i="13"/>
  <c r="AA60" i="13" s="1"/>
  <c r="Z62" i="17"/>
  <c r="AA61" i="17" s="1"/>
  <c r="W61" i="17"/>
  <c r="Z62" i="16"/>
  <c r="AA61" i="16" s="1"/>
  <c r="W61" i="16"/>
  <c r="W60" i="12"/>
  <c r="Z61" i="12"/>
  <c r="AA60" i="12" s="1"/>
  <c r="W61" i="14"/>
  <c r="Z62" i="14"/>
  <c r="AA61" i="14" s="1"/>
  <c r="Z62" i="15"/>
  <c r="AA61" i="15" s="1"/>
  <c r="W61" i="15"/>
  <c r="W59" i="11"/>
  <c r="Z60" i="11"/>
  <c r="AA59" i="11" s="1"/>
  <c r="Z60" i="12" l="1"/>
  <c r="AA59" i="12" s="1"/>
  <c r="W59" i="12"/>
  <c r="Z61" i="16"/>
  <c r="AA60" i="16" s="1"/>
  <c r="W60" i="16"/>
  <c r="W58" i="11"/>
  <c r="Z59" i="11"/>
  <c r="AA58" i="11" s="1"/>
  <c r="W60" i="15"/>
  <c r="Z61" i="15"/>
  <c r="AA60" i="15" s="1"/>
  <c r="W60" i="17"/>
  <c r="Z61" i="17"/>
  <c r="AA60" i="17" s="1"/>
  <c r="W60" i="14"/>
  <c r="Z61" i="14"/>
  <c r="AA60" i="14" s="1"/>
  <c r="Z60" i="13"/>
  <c r="AA59" i="13" s="1"/>
  <c r="W59" i="13"/>
  <c r="Z60" i="15" l="1"/>
  <c r="AA59" i="15" s="1"/>
  <c r="W59" i="15"/>
  <c r="Z59" i="13"/>
  <c r="AA58" i="13" s="1"/>
  <c r="W58" i="13"/>
  <c r="Z58" i="11"/>
  <c r="AA57" i="11" s="1"/>
  <c r="W57" i="11"/>
  <c r="Z60" i="16"/>
  <c r="AA59" i="16" s="1"/>
  <c r="W59" i="16"/>
  <c r="Z60" i="14"/>
  <c r="AA59" i="14" s="1"/>
  <c r="W59" i="14"/>
  <c r="W58" i="12"/>
  <c r="Z59" i="12"/>
  <c r="AA58" i="12" s="1"/>
  <c r="Z60" i="17"/>
  <c r="AA59" i="17" s="1"/>
  <c r="W59" i="17"/>
  <c r="Z59" i="16" l="1"/>
  <c r="AA58" i="16" s="1"/>
  <c r="W58" i="16"/>
  <c r="Z59" i="17"/>
  <c r="AA58" i="17" s="1"/>
  <c r="W58" i="17"/>
  <c r="Z57" i="11"/>
  <c r="AA56" i="11" s="1"/>
  <c r="W56" i="11"/>
  <c r="Z58" i="13"/>
  <c r="AA57" i="13" s="1"/>
  <c r="W57" i="13"/>
  <c r="Z58" i="12"/>
  <c r="AA57" i="12" s="1"/>
  <c r="W57" i="12"/>
  <c r="Z59" i="15"/>
  <c r="AA58" i="15" s="1"/>
  <c r="W58" i="15"/>
  <c r="Z59" i="14"/>
  <c r="AA58" i="14" s="1"/>
  <c r="W58" i="14"/>
  <c r="Z57" i="13" l="1"/>
  <c r="AA56" i="13" s="1"/>
  <c r="W56" i="13"/>
  <c r="Z58" i="14"/>
  <c r="AA57" i="14" s="1"/>
  <c r="W57" i="14"/>
  <c r="Z56" i="11"/>
  <c r="AA55" i="11" s="1"/>
  <c r="W55" i="11"/>
  <c r="Z58" i="15"/>
  <c r="AA57" i="15" s="1"/>
  <c r="W57" i="15"/>
  <c r="Z58" i="17"/>
  <c r="AA57" i="17" s="1"/>
  <c r="W57" i="17"/>
  <c r="W56" i="12"/>
  <c r="Z57" i="12"/>
  <c r="AA56" i="12" s="1"/>
  <c r="Z58" i="16"/>
  <c r="AA57" i="16" s="1"/>
  <c r="W57" i="16"/>
  <c r="W56" i="16" l="1"/>
  <c r="Z57" i="16"/>
  <c r="AA56" i="16" s="1"/>
  <c r="W56" i="15"/>
  <c r="Z57" i="15"/>
  <c r="AA56" i="15" s="1"/>
  <c r="Z57" i="14"/>
  <c r="AA56" i="14" s="1"/>
  <c r="W56" i="14"/>
  <c r="Z56" i="12"/>
  <c r="AA55" i="12" s="1"/>
  <c r="W55" i="12"/>
  <c r="Z57" i="17"/>
  <c r="AA56" i="17" s="1"/>
  <c r="W56" i="17"/>
  <c r="W55" i="13"/>
  <c r="Z56" i="13"/>
  <c r="AA55" i="13" s="1"/>
  <c r="Z55" i="11"/>
  <c r="AA54" i="11" s="1"/>
  <c r="W54" i="11"/>
  <c r="Z54" i="11" l="1"/>
  <c r="AA53" i="11" s="1"/>
  <c r="W53" i="11"/>
  <c r="Z56" i="14"/>
  <c r="AA55" i="14" s="1"/>
  <c r="W55" i="14"/>
  <c r="W54" i="13"/>
  <c r="Z55" i="13"/>
  <c r="AA54" i="13" s="1"/>
  <c r="Z56" i="15"/>
  <c r="AA55" i="15" s="1"/>
  <c r="W55" i="15"/>
  <c r="Z56" i="17"/>
  <c r="AA55" i="17" s="1"/>
  <c r="W55" i="17"/>
  <c r="Z56" i="16"/>
  <c r="AA55" i="16" s="1"/>
  <c r="W55" i="16"/>
  <c r="Z55" i="12"/>
  <c r="AA54" i="12" s="1"/>
  <c r="W54" i="12"/>
  <c r="W53" i="12" l="1"/>
  <c r="Z54" i="12"/>
  <c r="AA53" i="12" s="1"/>
  <c r="Z54" i="13"/>
  <c r="AA53" i="13" s="1"/>
  <c r="W53" i="13"/>
  <c r="Z55" i="16"/>
  <c r="AA54" i="16" s="1"/>
  <c r="W54" i="16"/>
  <c r="Z55" i="14"/>
  <c r="AA54" i="14" s="1"/>
  <c r="W54" i="14"/>
  <c r="W54" i="17"/>
  <c r="Z55" i="17"/>
  <c r="AA54" i="17" s="1"/>
  <c r="W52" i="11"/>
  <c r="Z53" i="11"/>
  <c r="AA52" i="11" s="1"/>
  <c r="Z55" i="15"/>
  <c r="AA54" i="15" s="1"/>
  <c r="W54" i="15"/>
  <c r="Z54" i="15" l="1"/>
  <c r="AA53" i="15" s="1"/>
  <c r="W53" i="15"/>
  <c r="Z54" i="16"/>
  <c r="AA53" i="16" s="1"/>
  <c r="W53" i="16"/>
  <c r="Z53" i="13"/>
  <c r="AA52" i="13" s="1"/>
  <c r="W52" i="13"/>
  <c r="Z52" i="11"/>
  <c r="AA51" i="11" s="1"/>
  <c r="W51" i="11"/>
  <c r="Z54" i="17"/>
  <c r="AA53" i="17" s="1"/>
  <c r="W53" i="17"/>
  <c r="W52" i="12"/>
  <c r="Z53" i="12"/>
  <c r="AA52" i="12" s="1"/>
  <c r="W53" i="14"/>
  <c r="Z54" i="14"/>
  <c r="AA53" i="14" s="1"/>
  <c r="Z52" i="13" l="1"/>
  <c r="AA51" i="13" s="1"/>
  <c r="W51" i="13"/>
  <c r="Z53" i="14"/>
  <c r="AA52" i="14" s="1"/>
  <c r="W52" i="14"/>
  <c r="Z53" i="16"/>
  <c r="AA52" i="16" s="1"/>
  <c r="W52" i="16"/>
  <c r="Z52" i="12"/>
  <c r="AA51" i="12" s="1"/>
  <c r="W51" i="12"/>
  <c r="W52" i="17"/>
  <c r="Z53" i="17"/>
  <c r="AA52" i="17" s="1"/>
  <c r="Z53" i="15"/>
  <c r="AA52" i="15" s="1"/>
  <c r="W52" i="15"/>
  <c r="Z51" i="11"/>
  <c r="AA50" i="11" s="1"/>
  <c r="W50" i="11"/>
  <c r="W50" i="12" l="1"/>
  <c r="Z51" i="12"/>
  <c r="AA50" i="12" s="1"/>
  <c r="Z52" i="16"/>
  <c r="AA51" i="16" s="1"/>
  <c r="W51" i="16"/>
  <c r="Z52" i="15"/>
  <c r="AA51" i="15" s="1"/>
  <c r="W51" i="15"/>
  <c r="Z51" i="13"/>
  <c r="AA50" i="13" s="1"/>
  <c r="W50" i="13"/>
  <c r="Z50" i="11"/>
  <c r="AA49" i="11" s="1"/>
  <c r="W49" i="11"/>
  <c r="Z52" i="14"/>
  <c r="AA51" i="14" s="1"/>
  <c r="W51" i="14"/>
  <c r="Z52" i="17"/>
  <c r="AA51" i="17" s="1"/>
  <c r="W51" i="17"/>
  <c r="Z51" i="17" l="1"/>
  <c r="AA50" i="17" s="1"/>
  <c r="W50" i="17"/>
  <c r="Z51" i="15"/>
  <c r="AA50" i="15" s="1"/>
  <c r="W50" i="15"/>
  <c r="Z51" i="14"/>
  <c r="AA50" i="14" s="1"/>
  <c r="W50" i="14"/>
  <c r="W50" i="16"/>
  <c r="Z51" i="16"/>
  <c r="AA50" i="16" s="1"/>
  <c r="Z49" i="11"/>
  <c r="AA48" i="11" s="1"/>
  <c r="W48" i="11"/>
  <c r="Z50" i="12"/>
  <c r="AA49" i="12" s="1"/>
  <c r="W49" i="12"/>
  <c r="W49" i="13"/>
  <c r="Z50" i="13"/>
  <c r="AA49" i="13" s="1"/>
  <c r="Z50" i="16" l="1"/>
  <c r="AA49" i="16" s="1"/>
  <c r="W49" i="16"/>
  <c r="W49" i="14"/>
  <c r="Z50" i="14"/>
  <c r="AA49" i="14" s="1"/>
  <c r="W48" i="13"/>
  <c r="Z49" i="13"/>
  <c r="AA48" i="13" s="1"/>
  <c r="Z49" i="12"/>
  <c r="AA48" i="12" s="1"/>
  <c r="W48" i="12"/>
  <c r="Z50" i="15"/>
  <c r="AA49" i="15" s="1"/>
  <c r="W49" i="15"/>
  <c r="Z48" i="11"/>
  <c r="AA47" i="11" s="1"/>
  <c r="W47" i="11"/>
  <c r="Z50" i="17"/>
  <c r="AA49" i="17" s="1"/>
  <c r="W49" i="17"/>
  <c r="W48" i="17" l="1"/>
  <c r="Z49" i="17"/>
  <c r="AA48" i="17" s="1"/>
  <c r="Z48" i="13"/>
  <c r="AA47" i="13" s="1"/>
  <c r="W47" i="13"/>
  <c r="Z47" i="11"/>
  <c r="AA46" i="11" s="1"/>
  <c r="W46" i="11"/>
  <c r="Z49" i="14"/>
  <c r="AA48" i="14" s="1"/>
  <c r="W48" i="14"/>
  <c r="Z49" i="15"/>
  <c r="AA48" i="15" s="1"/>
  <c r="W48" i="15"/>
  <c r="Z49" i="16"/>
  <c r="AA48" i="16" s="1"/>
  <c r="W48" i="16"/>
  <c r="W47" i="12"/>
  <c r="Z48" i="12"/>
  <c r="AA47" i="12" s="1"/>
  <c r="W45" i="11" l="1"/>
  <c r="Z46" i="11"/>
  <c r="AA45" i="11" s="1"/>
  <c r="Z47" i="12"/>
  <c r="AA46" i="12" s="1"/>
  <c r="W46" i="12"/>
  <c r="Z48" i="16"/>
  <c r="AA47" i="16" s="1"/>
  <c r="W47" i="16"/>
  <c r="Z47" i="13"/>
  <c r="AA46" i="13" s="1"/>
  <c r="W46" i="13"/>
  <c r="Z48" i="15"/>
  <c r="AA47" i="15" s="1"/>
  <c r="W47" i="15"/>
  <c r="Z48" i="17"/>
  <c r="AA47" i="17" s="1"/>
  <c r="W47" i="17"/>
  <c r="Z48" i="14"/>
  <c r="AA47" i="14" s="1"/>
  <c r="W47" i="14"/>
  <c r="Z46" i="13" l="1"/>
  <c r="AA45" i="13" s="1"/>
  <c r="W45" i="13"/>
  <c r="Z47" i="16"/>
  <c r="AA46" i="16" s="1"/>
  <c r="W46" i="16"/>
  <c r="Z47" i="17"/>
  <c r="AA46" i="17" s="1"/>
  <c r="W46" i="17"/>
  <c r="Z46" i="12"/>
  <c r="AA45" i="12" s="1"/>
  <c r="W45" i="12"/>
  <c r="Z47" i="15"/>
  <c r="AA46" i="15" s="1"/>
  <c r="W46" i="15"/>
  <c r="W46" i="14"/>
  <c r="Z47" i="14"/>
  <c r="AA46" i="14" s="1"/>
  <c r="W44" i="11"/>
  <c r="Z45" i="11"/>
  <c r="AA44" i="11" s="1"/>
  <c r="Z45" i="12" l="1"/>
  <c r="AA44" i="12" s="1"/>
  <c r="W44" i="12"/>
  <c r="Z46" i="17"/>
  <c r="AA45" i="17" s="1"/>
  <c r="W45" i="17"/>
  <c r="Z44" i="11"/>
  <c r="AA43" i="11" s="1"/>
  <c r="W43" i="11"/>
  <c r="W45" i="16"/>
  <c r="Z46" i="16"/>
  <c r="AA45" i="16" s="1"/>
  <c r="Z46" i="14"/>
  <c r="AA45" i="14" s="1"/>
  <c r="W45" i="14"/>
  <c r="Z46" i="15"/>
  <c r="AA45" i="15" s="1"/>
  <c r="W45" i="15"/>
  <c r="Z45" i="13"/>
  <c r="AA44" i="13" s="1"/>
  <c r="W44" i="13"/>
  <c r="Z45" i="16" l="1"/>
  <c r="AA44" i="16" s="1"/>
  <c r="W44" i="16"/>
  <c r="W43" i="13"/>
  <c r="Z44" i="13"/>
  <c r="AA43" i="13" s="1"/>
  <c r="Z43" i="11"/>
  <c r="AA42" i="11" s="1"/>
  <c r="W42" i="11"/>
  <c r="W44" i="15"/>
  <c r="Z45" i="15"/>
  <c r="AA44" i="15" s="1"/>
  <c r="Z45" i="17"/>
  <c r="AA44" i="17" s="1"/>
  <c r="W44" i="17"/>
  <c r="W44" i="14"/>
  <c r="Z45" i="14"/>
  <c r="AA44" i="14" s="1"/>
  <c r="Z44" i="12"/>
  <c r="AA43" i="12" s="1"/>
  <c r="W43" i="12"/>
  <c r="Z43" i="12" l="1"/>
  <c r="AA42" i="12" s="1"/>
  <c r="W42" i="12"/>
  <c r="Z44" i="14"/>
  <c r="AA43" i="14" s="1"/>
  <c r="W43" i="14"/>
  <c r="Z44" i="17"/>
  <c r="AA43" i="17" s="1"/>
  <c r="W43" i="17"/>
  <c r="Z44" i="16"/>
  <c r="AA43" i="16" s="1"/>
  <c r="W43" i="16"/>
  <c r="Z44" i="15"/>
  <c r="AA43" i="15" s="1"/>
  <c r="W43" i="15"/>
  <c r="Z42" i="11"/>
  <c r="AA41" i="11" s="1"/>
  <c r="W41" i="11"/>
  <c r="Z43" i="13"/>
  <c r="AA42" i="13" s="1"/>
  <c r="W42" i="13"/>
  <c r="Z43" i="16" l="1"/>
  <c r="AA42" i="16" s="1"/>
  <c r="W42" i="16"/>
  <c r="Z42" i="13"/>
  <c r="AA41" i="13" s="1"/>
  <c r="W41" i="13"/>
  <c r="Z43" i="17"/>
  <c r="AA42" i="17" s="1"/>
  <c r="W42" i="17"/>
  <c r="Z41" i="11"/>
  <c r="AA40" i="11" s="1"/>
  <c r="W40" i="11"/>
  <c r="Z43" i="14"/>
  <c r="AA42" i="14" s="1"/>
  <c r="W42" i="14"/>
  <c r="Z43" i="15"/>
  <c r="AA42" i="15" s="1"/>
  <c r="W42" i="15"/>
  <c r="Z42" i="12"/>
  <c r="AA41" i="12" s="1"/>
  <c r="W41" i="12"/>
  <c r="Z40" i="11" l="1"/>
  <c r="AA39" i="11" s="1"/>
  <c r="W39" i="11"/>
  <c r="Z41" i="12"/>
  <c r="AA40" i="12" s="1"/>
  <c r="W40" i="12"/>
  <c r="Z42" i="17"/>
  <c r="AA41" i="17" s="1"/>
  <c r="W41" i="17"/>
  <c r="Z42" i="15"/>
  <c r="AA41" i="15" s="1"/>
  <c r="W41" i="15"/>
  <c r="Z41" i="13"/>
  <c r="AA40" i="13" s="1"/>
  <c r="W40" i="13"/>
  <c r="Z42" i="14"/>
  <c r="AA41" i="14" s="1"/>
  <c r="W41" i="14"/>
  <c r="Z42" i="16"/>
  <c r="AA41" i="16" s="1"/>
  <c r="W41" i="16"/>
  <c r="Z41" i="16" l="1"/>
  <c r="AA40" i="16" s="1"/>
  <c r="W40" i="16"/>
  <c r="W40" i="14"/>
  <c r="Z41" i="14"/>
  <c r="AA40" i="14" s="1"/>
  <c r="Z40" i="13"/>
  <c r="AA39" i="13" s="1"/>
  <c r="W39" i="13"/>
  <c r="Z39" i="11"/>
  <c r="AA38" i="11" s="1"/>
  <c r="W38" i="11"/>
  <c r="W40" i="15"/>
  <c r="Z41" i="15"/>
  <c r="AA40" i="15" s="1"/>
  <c r="Z41" i="17"/>
  <c r="AA40" i="17" s="1"/>
  <c r="W40" i="17"/>
  <c r="Z40" i="12"/>
  <c r="AA39" i="12" s="1"/>
  <c r="W39" i="12"/>
  <c r="Z38" i="11" l="1"/>
  <c r="AA37" i="11" s="1"/>
  <c r="W37" i="11"/>
  <c r="Z39" i="12"/>
  <c r="AA38" i="12" s="1"/>
  <c r="W38" i="12"/>
  <c r="Z39" i="13"/>
  <c r="AA38" i="13" s="1"/>
  <c r="W38" i="13"/>
  <c r="Z40" i="17"/>
  <c r="AA39" i="17" s="1"/>
  <c r="W39" i="17"/>
  <c r="Z40" i="14"/>
  <c r="AA39" i="14" s="1"/>
  <c r="W39" i="14"/>
  <c r="Z40" i="16"/>
  <c r="AA39" i="16" s="1"/>
  <c r="W39" i="16"/>
  <c r="Z40" i="15"/>
  <c r="AA39" i="15" s="1"/>
  <c r="W39" i="15"/>
  <c r="Z39" i="17" l="1"/>
  <c r="AA38" i="17" s="1"/>
  <c r="W38" i="17"/>
  <c r="Z39" i="15"/>
  <c r="AA38" i="15" s="1"/>
  <c r="W38" i="15"/>
  <c r="Z38" i="13"/>
  <c r="AA37" i="13" s="1"/>
  <c r="W37" i="13"/>
  <c r="Z39" i="16"/>
  <c r="AA38" i="16" s="1"/>
  <c r="W38" i="16"/>
  <c r="Z38" i="12"/>
  <c r="AA37" i="12" s="1"/>
  <c r="W37" i="12"/>
  <c r="Z39" i="14"/>
  <c r="AA38" i="14" s="1"/>
  <c r="W38" i="14"/>
  <c r="Z37" i="11"/>
  <c r="AA36" i="11" s="1"/>
  <c r="W36" i="11"/>
  <c r="Z38" i="16" l="1"/>
  <c r="AA37" i="16" s="1"/>
  <c r="W37" i="16"/>
  <c r="Z36" i="11"/>
  <c r="AA35" i="11" s="1"/>
  <c r="W35" i="11"/>
  <c r="Z37" i="13"/>
  <c r="AA36" i="13" s="1"/>
  <c r="W36" i="13"/>
  <c r="Z38" i="14"/>
  <c r="AA37" i="14" s="1"/>
  <c r="W37" i="14"/>
  <c r="Z38" i="15"/>
  <c r="AA37" i="15" s="1"/>
  <c r="W37" i="15"/>
  <c r="Z37" i="12"/>
  <c r="AA36" i="12" s="1"/>
  <c r="W36" i="12"/>
  <c r="Z38" i="17"/>
  <c r="AA37" i="17" s="1"/>
  <c r="W37" i="17"/>
  <c r="Z36" i="13" l="1"/>
  <c r="AA35" i="13" s="1"/>
  <c r="W35" i="13"/>
  <c r="Z35" i="11"/>
  <c r="AA34" i="11" s="1"/>
  <c r="W34" i="11"/>
  <c r="Z37" i="15"/>
  <c r="AA36" i="15" s="1"/>
  <c r="W36" i="15"/>
  <c r="W36" i="16"/>
  <c r="Z37" i="16"/>
  <c r="AA36" i="16" s="1"/>
  <c r="Z37" i="14"/>
  <c r="AA36" i="14" s="1"/>
  <c r="W36" i="14"/>
  <c r="W36" i="17"/>
  <c r="Z37" i="17"/>
  <c r="AA36" i="17" s="1"/>
  <c r="Z36" i="12"/>
  <c r="AA35" i="12" s="1"/>
  <c r="W35" i="12"/>
  <c r="Z36" i="16" l="1"/>
  <c r="AA35" i="16" s="1"/>
  <c r="W35" i="16"/>
  <c r="Z36" i="15"/>
  <c r="AA35" i="15" s="1"/>
  <c r="W35" i="15"/>
  <c r="Z35" i="12"/>
  <c r="AA34" i="12" s="1"/>
  <c r="W34" i="12"/>
  <c r="W33" i="11"/>
  <c r="Z34" i="11"/>
  <c r="AA33" i="11" s="1"/>
  <c r="Z36" i="17"/>
  <c r="AA35" i="17" s="1"/>
  <c r="W35" i="17"/>
  <c r="Z36" i="14"/>
  <c r="AA35" i="14" s="1"/>
  <c r="W35" i="14"/>
  <c r="Z35" i="13"/>
  <c r="AA34" i="13" s="1"/>
  <c r="W34" i="13"/>
  <c r="Z33" i="11" l="1"/>
  <c r="AA32" i="11" s="1"/>
  <c r="W32" i="11"/>
  <c r="Z34" i="13"/>
  <c r="AA33" i="13" s="1"/>
  <c r="W33" i="13"/>
  <c r="Z34" i="12"/>
  <c r="AA33" i="12" s="1"/>
  <c r="W33" i="12"/>
  <c r="Z35" i="14"/>
  <c r="AA34" i="14" s="1"/>
  <c r="W34" i="14"/>
  <c r="Z35" i="15"/>
  <c r="AA34" i="15" s="1"/>
  <c r="W34" i="15"/>
  <c r="Z35" i="17"/>
  <c r="AA34" i="17" s="1"/>
  <c r="W34" i="17"/>
  <c r="Z35" i="16"/>
  <c r="AA34" i="16" s="1"/>
  <c r="W34" i="16"/>
  <c r="Z34" i="16" l="1"/>
  <c r="AA33" i="16" s="1"/>
  <c r="W33" i="16"/>
  <c r="Z33" i="12"/>
  <c r="AA32" i="12" s="1"/>
  <c r="W32" i="12"/>
  <c r="Z34" i="17"/>
  <c r="AA33" i="17" s="1"/>
  <c r="W33" i="17"/>
  <c r="Z33" i="13"/>
  <c r="AA32" i="13" s="1"/>
  <c r="W32" i="13"/>
  <c r="Z34" i="15"/>
  <c r="AA33" i="15" s="1"/>
  <c r="W33" i="15"/>
  <c r="Z32" i="11"/>
  <c r="AA31" i="11" s="1"/>
  <c r="W31" i="11"/>
  <c r="Z34" i="14"/>
  <c r="AA33" i="14" s="1"/>
  <c r="W33" i="14"/>
  <c r="Z33" i="14" l="1"/>
  <c r="AA32" i="14" s="1"/>
  <c r="W32" i="14"/>
  <c r="Z33" i="17"/>
  <c r="AA32" i="17" s="1"/>
  <c r="W32" i="17"/>
  <c r="Z31" i="11"/>
  <c r="AA30" i="11" s="1"/>
  <c r="W30" i="11"/>
  <c r="Z32" i="12"/>
  <c r="AA31" i="12" s="1"/>
  <c r="W31" i="12"/>
  <c r="Z33" i="15"/>
  <c r="AA32" i="15" s="1"/>
  <c r="W32" i="15"/>
  <c r="Z33" i="16"/>
  <c r="AA32" i="16" s="1"/>
  <c r="W32" i="16"/>
  <c r="Z32" i="13"/>
  <c r="AA31" i="13" s="1"/>
  <c r="W31" i="13"/>
  <c r="Z31" i="13" l="1"/>
  <c r="AA30" i="13" s="1"/>
  <c r="W30" i="13"/>
  <c r="Z30" i="11"/>
  <c r="AA29" i="11" s="1"/>
  <c r="W29" i="11"/>
  <c r="Z32" i="16"/>
  <c r="AA31" i="16" s="1"/>
  <c r="W31" i="16"/>
  <c r="Z32" i="17"/>
  <c r="AA31" i="17" s="1"/>
  <c r="W31" i="17"/>
  <c r="Z32" i="15"/>
  <c r="AA31" i="15" s="1"/>
  <c r="W31" i="15"/>
  <c r="Z32" i="14"/>
  <c r="AA31" i="14" s="1"/>
  <c r="W31" i="14"/>
  <c r="Z31" i="12"/>
  <c r="AA30" i="12" s="1"/>
  <c r="W30" i="12"/>
  <c r="W29" i="12" l="1"/>
  <c r="Z30" i="12"/>
  <c r="AA29" i="12" s="1"/>
  <c r="Z31" i="16"/>
  <c r="AA30" i="16" s="1"/>
  <c r="W30" i="16"/>
  <c r="W30" i="14"/>
  <c r="Z31" i="14"/>
  <c r="AA30" i="14" s="1"/>
  <c r="Z29" i="11"/>
  <c r="AA28" i="11" s="1"/>
  <c r="W28" i="11"/>
  <c r="Z31" i="15"/>
  <c r="AA30" i="15" s="1"/>
  <c r="W30" i="15"/>
  <c r="Z30" i="13"/>
  <c r="AA29" i="13" s="1"/>
  <c r="W29" i="13"/>
  <c r="W30" i="17"/>
  <c r="Z31" i="17"/>
  <c r="AA30" i="17" s="1"/>
  <c r="W29" i="17" l="1"/>
  <c r="Z30" i="17"/>
  <c r="AA29" i="17" s="1"/>
  <c r="Z30" i="14"/>
  <c r="AA29" i="14" s="1"/>
  <c r="W29" i="14"/>
  <c r="Z29" i="13"/>
  <c r="AA28" i="13" s="1"/>
  <c r="W28" i="13"/>
  <c r="Z30" i="16"/>
  <c r="AA29" i="16" s="1"/>
  <c r="W29" i="16"/>
  <c r="Z30" i="15"/>
  <c r="AA29" i="15" s="1"/>
  <c r="W29" i="15"/>
  <c r="Z29" i="12"/>
  <c r="AA28" i="12" s="1"/>
  <c r="W28" i="12"/>
  <c r="W27" i="11"/>
  <c r="Z28" i="11"/>
  <c r="AA27" i="11" s="1"/>
  <c r="W28" i="16" l="1"/>
  <c r="Z29" i="16"/>
  <c r="AA28" i="16" s="1"/>
  <c r="Z28" i="13"/>
  <c r="AA27" i="13" s="1"/>
  <c r="W27" i="13"/>
  <c r="W26" i="11"/>
  <c r="Z27" i="11"/>
  <c r="AA26" i="11" s="1"/>
  <c r="Z28" i="12"/>
  <c r="AA27" i="12" s="1"/>
  <c r="W27" i="12"/>
  <c r="W28" i="14"/>
  <c r="Z29" i="14"/>
  <c r="AA28" i="14" s="1"/>
  <c r="W28" i="15"/>
  <c r="Z29" i="15"/>
  <c r="AA28" i="15" s="1"/>
  <c r="Z29" i="17"/>
  <c r="AA28" i="17" s="1"/>
  <c r="W28" i="17"/>
  <c r="Z28" i="17" l="1"/>
  <c r="AA27" i="17" s="1"/>
  <c r="W27" i="17"/>
  <c r="Z26" i="11"/>
  <c r="AA25" i="11" s="1"/>
  <c r="W25" i="11"/>
  <c r="Z27" i="13"/>
  <c r="AA26" i="13" s="1"/>
  <c r="W26" i="13"/>
  <c r="Z28" i="15"/>
  <c r="AA27" i="15" s="1"/>
  <c r="W27" i="15"/>
  <c r="Z28" i="14"/>
  <c r="AA27" i="14" s="1"/>
  <c r="W27" i="14"/>
  <c r="W27" i="16"/>
  <c r="Z28" i="16"/>
  <c r="AA27" i="16" s="1"/>
  <c r="Z27" i="12"/>
  <c r="AA26" i="12" s="1"/>
  <c r="W26" i="12"/>
  <c r="Z27" i="15" l="1"/>
  <c r="AA26" i="15" s="1"/>
  <c r="W26" i="15"/>
  <c r="Z26" i="12"/>
  <c r="AA25" i="12" s="1"/>
  <c r="W25" i="12"/>
  <c r="W25" i="13"/>
  <c r="Z26" i="13"/>
  <c r="AA25" i="13" s="1"/>
  <c r="Z25" i="11"/>
  <c r="AA24" i="11" s="1"/>
  <c r="W24" i="11"/>
  <c r="Z27" i="16"/>
  <c r="AA26" i="16" s="1"/>
  <c r="W26" i="16"/>
  <c r="W26" i="14"/>
  <c r="Z27" i="14"/>
  <c r="AA26" i="14" s="1"/>
  <c r="Z27" i="17"/>
  <c r="AA26" i="17" s="1"/>
  <c r="W26" i="17"/>
  <c r="Z24" i="11" l="1"/>
  <c r="AA23" i="11" s="1"/>
  <c r="W23" i="11"/>
  <c r="Z26" i="17"/>
  <c r="AA25" i="17" s="1"/>
  <c r="W25" i="17"/>
  <c r="Z25" i="13"/>
  <c r="AA24" i="13" s="1"/>
  <c r="W24" i="13"/>
  <c r="Z25" i="12"/>
  <c r="AA24" i="12" s="1"/>
  <c r="W24" i="12"/>
  <c r="Z26" i="14"/>
  <c r="AA25" i="14" s="1"/>
  <c r="W25" i="14"/>
  <c r="Z26" i="16"/>
  <c r="AA25" i="16" s="1"/>
  <c r="W25" i="16"/>
  <c r="Z26" i="15"/>
  <c r="AA25" i="15" s="1"/>
  <c r="W25" i="15"/>
  <c r="Z25" i="15" l="1"/>
  <c r="AA24" i="15" s="1"/>
  <c r="W24" i="15"/>
  <c r="Z24" i="13"/>
  <c r="AA23" i="13" s="1"/>
  <c r="W23" i="13"/>
  <c r="Z25" i="16"/>
  <c r="AA24" i="16" s="1"/>
  <c r="W24" i="16"/>
  <c r="Z25" i="17"/>
  <c r="AA24" i="17" s="1"/>
  <c r="W24" i="17"/>
  <c r="W24" i="14"/>
  <c r="Z25" i="14"/>
  <c r="AA24" i="14" s="1"/>
  <c r="Z23" i="11"/>
  <c r="AA22" i="11" s="1"/>
  <c r="W22" i="11"/>
  <c r="Z24" i="12"/>
  <c r="AA23" i="12" s="1"/>
  <c r="W23" i="12"/>
  <c r="Z23" i="12" l="1"/>
  <c r="AA22" i="12" s="1"/>
  <c r="W22" i="12"/>
  <c r="Z24" i="16"/>
  <c r="AA23" i="16" s="1"/>
  <c r="W23" i="16"/>
  <c r="Z22" i="11"/>
  <c r="AA21" i="11" s="1"/>
  <c r="W21" i="11"/>
  <c r="Z23" i="13"/>
  <c r="AA22" i="13" s="1"/>
  <c r="W22" i="13"/>
  <c r="Z24" i="15"/>
  <c r="AA23" i="15" s="1"/>
  <c r="W23" i="15"/>
  <c r="Z24" i="14"/>
  <c r="AA23" i="14" s="1"/>
  <c r="W23" i="14"/>
  <c r="W23" i="17"/>
  <c r="Z24" i="17"/>
  <c r="AA23" i="17" s="1"/>
  <c r="Z21" i="11" l="1"/>
  <c r="AA20" i="11" s="1"/>
  <c r="W20" i="11"/>
  <c r="Z23" i="17"/>
  <c r="AA22" i="17" s="1"/>
  <c r="W22" i="17"/>
  <c r="Z23" i="14"/>
  <c r="AA22" i="14" s="1"/>
  <c r="W22" i="14"/>
  <c r="Z23" i="16"/>
  <c r="AA22" i="16" s="1"/>
  <c r="W22" i="16"/>
  <c r="Z23" i="15"/>
  <c r="AA22" i="15" s="1"/>
  <c r="W22" i="15"/>
  <c r="Z22" i="12"/>
  <c r="AA21" i="12" s="1"/>
  <c r="W21" i="12"/>
  <c r="Z22" i="13"/>
  <c r="AA21" i="13" s="1"/>
  <c r="W21" i="13"/>
  <c r="Z21" i="13" l="1"/>
  <c r="AA20" i="13" s="1"/>
  <c r="W20" i="13"/>
  <c r="W21" i="14"/>
  <c r="Z22" i="14"/>
  <c r="AA21" i="14" s="1"/>
  <c r="Z21" i="12"/>
  <c r="AA20" i="12" s="1"/>
  <c r="W20" i="12"/>
  <c r="Z22" i="17"/>
  <c r="AA21" i="17" s="1"/>
  <c r="W21" i="17"/>
  <c r="Z22" i="15"/>
  <c r="AA21" i="15" s="1"/>
  <c r="W21" i="15"/>
  <c r="W19" i="11"/>
  <c r="Z20" i="11"/>
  <c r="AA19" i="11" s="1"/>
  <c r="Z22" i="16"/>
  <c r="AA21" i="16" s="1"/>
  <c r="W21" i="16"/>
  <c r="W20" i="17" l="1"/>
  <c r="Z21" i="17"/>
  <c r="AA20" i="17" s="1"/>
  <c r="Z21" i="16"/>
  <c r="AA20" i="16" s="1"/>
  <c r="W20" i="16"/>
  <c r="Z20" i="12"/>
  <c r="AA19" i="12" s="1"/>
  <c r="W19" i="12"/>
  <c r="W18" i="11"/>
  <c r="Z19" i="11"/>
  <c r="AA18" i="11" s="1"/>
  <c r="W20" i="14"/>
  <c r="Z21" i="14"/>
  <c r="AA20" i="14" s="1"/>
  <c r="W20" i="15"/>
  <c r="Z21" i="15"/>
  <c r="AA20" i="15" s="1"/>
  <c r="Z20" i="13"/>
  <c r="AA19" i="13" s="1"/>
  <c r="W19" i="13"/>
  <c r="Z18" i="11" l="1"/>
  <c r="AA17" i="11" s="1"/>
  <c r="W17" i="11"/>
  <c r="Z19" i="13"/>
  <c r="AA18" i="13" s="1"/>
  <c r="W18" i="13"/>
  <c r="Z19" i="12"/>
  <c r="AA18" i="12" s="1"/>
  <c r="W18" i="12"/>
  <c r="Z20" i="16"/>
  <c r="AA19" i="16" s="1"/>
  <c r="W19" i="16"/>
  <c r="Z20" i="15"/>
  <c r="AA19" i="15" s="1"/>
  <c r="W19" i="15"/>
  <c r="Z20" i="14"/>
  <c r="AA19" i="14" s="1"/>
  <c r="W19" i="14"/>
  <c r="Z20" i="17"/>
  <c r="AA19" i="17" s="1"/>
  <c r="W19" i="17"/>
  <c r="Z19" i="17" l="1"/>
  <c r="AA18" i="17" s="1"/>
  <c r="W18" i="17"/>
  <c r="Z18" i="12"/>
  <c r="AA17" i="12" s="1"/>
  <c r="W17" i="12"/>
  <c r="Z19" i="14"/>
  <c r="AA18" i="14" s="1"/>
  <c r="W18" i="14"/>
  <c r="Z18" i="13"/>
  <c r="AA17" i="13" s="1"/>
  <c r="W17" i="13"/>
  <c r="Z19" i="15"/>
  <c r="AA18" i="15" s="1"/>
  <c r="W18" i="15"/>
  <c r="Z17" i="11"/>
  <c r="AA16" i="11" s="1"/>
  <c r="W16" i="11"/>
  <c r="Z19" i="16"/>
  <c r="AA18" i="16" s="1"/>
  <c r="W18" i="16"/>
  <c r="Z17" i="13" l="1"/>
  <c r="AA16" i="13" s="1"/>
  <c r="W16" i="13"/>
  <c r="Z18" i="16"/>
  <c r="AA17" i="16" s="1"/>
  <c r="W17" i="16"/>
  <c r="Z18" i="14"/>
  <c r="AA17" i="14" s="1"/>
  <c r="W17" i="14"/>
  <c r="Z16" i="11"/>
  <c r="AA15" i="11" s="1"/>
  <c r="W15" i="11"/>
  <c r="Z17" i="12"/>
  <c r="AA16" i="12" s="1"/>
  <c r="W16" i="12"/>
  <c r="W17" i="15"/>
  <c r="Z18" i="15"/>
  <c r="AA17" i="15" s="1"/>
  <c r="Z18" i="17"/>
  <c r="AA17" i="17" s="1"/>
  <c r="W17" i="17"/>
  <c r="Z15" i="11" l="1"/>
  <c r="AA14" i="11" s="1"/>
  <c r="W14" i="11"/>
  <c r="Z17" i="17"/>
  <c r="AA16" i="17" s="1"/>
  <c r="W16" i="17"/>
  <c r="Z17" i="14"/>
  <c r="AA16" i="14" s="1"/>
  <c r="W16" i="14"/>
  <c r="W16" i="16"/>
  <c r="Z17" i="16"/>
  <c r="AA16" i="16" s="1"/>
  <c r="Z17" i="15"/>
  <c r="AA16" i="15" s="1"/>
  <c r="W16" i="15"/>
  <c r="Z16" i="12"/>
  <c r="AA15" i="12" s="1"/>
  <c r="W15" i="12"/>
  <c r="Z16" i="13"/>
  <c r="AA15" i="13" s="1"/>
  <c r="W15" i="13"/>
  <c r="Z16" i="16" l="1"/>
  <c r="AA15" i="16" s="1"/>
  <c r="W15" i="16"/>
  <c r="W14" i="13"/>
  <c r="Z15" i="13"/>
  <c r="AA14" i="13" s="1"/>
  <c r="W15" i="14"/>
  <c r="Z16" i="14"/>
  <c r="AA15" i="14" s="1"/>
  <c r="Z15" i="12"/>
  <c r="AA14" i="12" s="1"/>
  <c r="W14" i="12"/>
  <c r="Z16" i="17"/>
  <c r="AA15" i="17" s="1"/>
  <c r="W15" i="17"/>
  <c r="W15" i="15"/>
  <c r="Z16" i="15"/>
  <c r="AA15" i="15" s="1"/>
  <c r="Z14" i="11"/>
  <c r="AA13" i="11" s="1"/>
  <c r="W13" i="11"/>
  <c r="Z14" i="12" l="1"/>
  <c r="AA13" i="12" s="1"/>
  <c r="W13" i="12"/>
  <c r="Z15" i="14"/>
  <c r="AA14" i="14" s="1"/>
  <c r="W14" i="14"/>
  <c r="Z15" i="15"/>
  <c r="AA14" i="15" s="1"/>
  <c r="W14" i="15"/>
  <c r="W14" i="17"/>
  <c r="Z15" i="17"/>
  <c r="AA14" i="17" s="1"/>
  <c r="Z15" i="16"/>
  <c r="AA14" i="16" s="1"/>
  <c r="W14" i="16"/>
  <c r="Z13" i="11"/>
  <c r="AA12" i="11" s="1"/>
  <c r="W12" i="11"/>
  <c r="Z14" i="13"/>
  <c r="AA13" i="13" s="1"/>
  <c r="W13" i="13"/>
  <c r="Z14" i="17" l="1"/>
  <c r="AA13" i="17" s="1"/>
  <c r="W13" i="17"/>
  <c r="Z13" i="13"/>
  <c r="AA12" i="13" s="1"/>
  <c r="W12" i="13"/>
  <c r="W13" i="15"/>
  <c r="Z14" i="15"/>
  <c r="AA13" i="15" s="1"/>
  <c r="Z12" i="11"/>
  <c r="AA11" i="11" s="1"/>
  <c r="W11" i="11"/>
  <c r="Z14" i="14"/>
  <c r="AA13" i="14" s="1"/>
  <c r="W13" i="14"/>
  <c r="Z14" i="16"/>
  <c r="AA13" i="16" s="1"/>
  <c r="W13" i="16"/>
  <c r="Z13" i="12"/>
  <c r="AA12" i="12" s="1"/>
  <c r="W12" i="12"/>
  <c r="Z11" i="11" l="1"/>
  <c r="AA10" i="11" s="1"/>
  <c r="W10" i="11"/>
  <c r="W11" i="12"/>
  <c r="Z12" i="12"/>
  <c r="AA11" i="12" s="1"/>
  <c r="Z13" i="15"/>
  <c r="AA12" i="15" s="1"/>
  <c r="W12" i="15"/>
  <c r="Z13" i="16"/>
  <c r="AA12" i="16" s="1"/>
  <c r="W12" i="16"/>
  <c r="Z12" i="13"/>
  <c r="AA11" i="13" s="1"/>
  <c r="W11" i="13"/>
  <c r="Z13" i="14"/>
  <c r="AA12" i="14" s="1"/>
  <c r="W12" i="14"/>
  <c r="Z13" i="17"/>
  <c r="AA12" i="17" s="1"/>
  <c r="W12" i="17"/>
  <c r="Z12" i="16" l="1"/>
  <c r="AA11" i="16" s="1"/>
  <c r="W11" i="16"/>
  <c r="Z12" i="17"/>
  <c r="AA11" i="17" s="1"/>
  <c r="W11" i="17"/>
  <c r="Z12" i="14"/>
  <c r="AA11" i="14" s="1"/>
  <c r="W11" i="14"/>
  <c r="Z11" i="13"/>
  <c r="AA10" i="13" s="1"/>
  <c r="W10" i="13"/>
  <c r="Z10" i="11"/>
  <c r="AA9" i="11" s="1"/>
  <c r="W9" i="11"/>
  <c r="Z12" i="15"/>
  <c r="AA11" i="15" s="1"/>
  <c r="W11" i="15"/>
  <c r="Z11" i="12"/>
  <c r="AA10" i="12" s="1"/>
  <c r="W10" i="12"/>
  <c r="Z10" i="13" l="1"/>
  <c r="AA9" i="13" s="1"/>
  <c r="W9" i="13"/>
  <c r="Z10" i="12"/>
  <c r="AA9" i="12" s="1"/>
  <c r="W9" i="12"/>
  <c r="Z11" i="14"/>
  <c r="AA10" i="14" s="1"/>
  <c r="W10" i="14"/>
  <c r="Z11" i="15"/>
  <c r="AA10" i="15" s="1"/>
  <c r="W10" i="15"/>
  <c r="Z11" i="17"/>
  <c r="AA10" i="17" s="1"/>
  <c r="W10" i="17"/>
  <c r="Z9" i="11"/>
  <c r="AA8" i="11" s="1"/>
  <c r="W8" i="11"/>
  <c r="Z11" i="16"/>
  <c r="AA10" i="16" s="1"/>
  <c r="W10" i="16"/>
  <c r="Z10" i="15" l="1"/>
  <c r="AA9" i="15" s="1"/>
  <c r="W9" i="15"/>
  <c r="Z10" i="16"/>
  <c r="AA9" i="16" s="1"/>
  <c r="W9" i="16"/>
  <c r="Z10" i="14"/>
  <c r="AA9" i="14" s="1"/>
  <c r="W9" i="14"/>
  <c r="Z8" i="11"/>
  <c r="AA7" i="11" s="1"/>
  <c r="W7" i="11"/>
  <c r="Z7" i="11" s="1"/>
  <c r="Z9" i="12"/>
  <c r="AA8" i="12" s="1"/>
  <c r="W8" i="12"/>
  <c r="Z10" i="17"/>
  <c r="AA9" i="17" s="1"/>
  <c r="W9" i="17"/>
  <c r="Z9" i="13"/>
  <c r="AA8" i="13" s="1"/>
  <c r="W8" i="13"/>
  <c r="C5" i="18" l="1"/>
  <c r="C4" i="20"/>
  <c r="Z8" i="13"/>
  <c r="AA7" i="13" s="1"/>
  <c r="W7" i="13"/>
  <c r="Z7" i="13" s="1"/>
  <c r="W8" i="14"/>
  <c r="Z9" i="14"/>
  <c r="AA8" i="14" s="1"/>
  <c r="Z9" i="17"/>
  <c r="AA8" i="17" s="1"/>
  <c r="W8" i="17"/>
  <c r="Z9" i="16"/>
  <c r="AA8" i="16" s="1"/>
  <c r="W8" i="16"/>
  <c r="Z8" i="12"/>
  <c r="AA7" i="12" s="1"/>
  <c r="W7" i="12"/>
  <c r="Z7" i="12" s="1"/>
  <c r="W8" i="15"/>
  <c r="Z9" i="15"/>
  <c r="AA8" i="15" s="1"/>
  <c r="Z8" i="17" l="1"/>
  <c r="AA7" i="17" s="1"/>
  <c r="W7" i="17"/>
  <c r="Z7" i="17" s="1"/>
  <c r="C5" i="20"/>
  <c r="C6" i="18"/>
  <c r="C21" i="18" s="1"/>
  <c r="C7" i="18"/>
  <c r="C22" i="18" s="1"/>
  <c r="C6" i="20"/>
  <c r="Z8" i="14"/>
  <c r="AA7" i="14" s="1"/>
  <c r="W7" i="14"/>
  <c r="Z7" i="14" s="1"/>
  <c r="Z8" i="15"/>
  <c r="AA7" i="15" s="1"/>
  <c r="W7" i="15"/>
  <c r="Z7" i="15" s="1"/>
  <c r="Z8" i="16"/>
  <c r="AA7" i="16" s="1"/>
  <c r="W7" i="16"/>
  <c r="Z7" i="16" s="1"/>
  <c r="C18" i="19"/>
  <c r="G44" i="18" l="1"/>
  <c r="C49" i="18"/>
  <c r="D44" i="18"/>
  <c r="C44" i="18"/>
  <c r="H44" i="18"/>
  <c r="C45" i="18"/>
  <c r="C48" i="18"/>
  <c r="B44" i="18"/>
  <c r="C13" i="19"/>
  <c r="B43" i="18"/>
  <c r="B49" i="18"/>
  <c r="H43" i="18"/>
  <c r="D43" i="18"/>
  <c r="C12" i="19"/>
  <c r="G43" i="18"/>
  <c r="B45" i="18"/>
  <c r="B48" i="18"/>
  <c r="C43" i="18"/>
  <c r="C9" i="20"/>
  <c r="C10" i="18"/>
  <c r="C16" i="18" s="1"/>
  <c r="C8" i="20"/>
  <c r="C9" i="18"/>
  <c r="C15" i="18" s="1"/>
  <c r="C11" i="18"/>
  <c r="C17" i="18" s="1"/>
  <c r="C10" i="20"/>
  <c r="C8" i="18"/>
  <c r="C25" i="18" s="1"/>
  <c r="F44" i="18" s="1"/>
  <c r="C7" i="20"/>
  <c r="F43" i="18" l="1"/>
  <c r="C24" i="18"/>
  <c r="E47" i="18" s="1"/>
  <c r="D47" i="18"/>
  <c r="C47" i="18"/>
  <c r="F47" i="18"/>
  <c r="C15" i="19"/>
  <c r="B47" i="18"/>
  <c r="G47" i="18"/>
  <c r="H47" i="18"/>
  <c r="F49" i="18"/>
  <c r="F45" i="18"/>
  <c r="F48" i="18"/>
  <c r="E46" i="18" l="1"/>
  <c r="H46" i="18"/>
  <c r="G46" i="18"/>
  <c r="F46" i="18"/>
  <c r="E49" i="18"/>
  <c r="B46" i="18"/>
  <c r="C46" i="18"/>
  <c r="C14" i="19"/>
  <c r="E45" i="18"/>
  <c r="E48" i="18"/>
  <c r="D46" i="18"/>
  <c r="C16" i="19"/>
  <c r="E44" i="18"/>
  <c r="C22" i="20"/>
  <c r="E43" i="18"/>
  <c r="C24" i="20" l="1" a="1"/>
  <c r="C24" i="20" s="1"/>
  <c r="C51" i="18"/>
  <c r="C23" i="20" l="1"/>
  <c r="C27" i="20" s="1"/>
  <c r="C11" i="19"/>
  <c r="C17" i="19"/>
</calcChain>
</file>

<file path=xl/sharedStrings.xml><?xml version="1.0" encoding="utf-8"?>
<sst xmlns="http://schemas.openxmlformats.org/spreadsheetml/2006/main" count="1797" uniqueCount="531">
  <si>
    <t>Solvency2 — Life Underwriting Risk SCR (Standard Formula)</t>
  </si>
  <si>
    <t>Life SCR for a selected policy: base and stressed liability projections aggregated through the standard-formula correlation matrix</t>
  </si>
  <si>
    <t>Purpose</t>
  </si>
  <si>
    <t>Calculates the Solvency II life underwriting risk SCR for the policy selected on the Control sheet. The annual liability cashflow engine is projected on seven scenario sheets — the base basis plus mortality, longevity, expense and three lapse stresses — and the SCR sheet aggregates the resulting risk charges with the standard-formula correlation matrix. The workbook is a formula-for-formula replication of the open-source lifelib model 'solvency2' (MIT licence), verified cell-by-cell against it.</t>
  </si>
  <si>
    <t>Method</t>
  </si>
  <si>
    <t>SCR_life = sqrt( sum_ij Corr(i,j) * Life_i * Life_j ). Each Life charge is max(NAV_base − NAV_stressed, 0), where NAV is the present value of net liability cashflows at time t0 (assets assumed insensitive to life stresses, as in lifelib). Lapse risk takes the worst of the up / down / mass shocks.</t>
  </si>
  <si>
    <t>Engine</t>
  </si>
  <si>
    <t>Net level premium engine: gross premium rates and reserves from PREM-basis commutation functions (Commutation sheet); decrements from the base mortality table, mortality factor and surrender rate tables; expense and commission assumptions resolved per product via the Basis_Lookup cascade.</t>
  </si>
  <si>
    <t>Stresses</t>
  </si>
  <si>
    <t>Scenario sheets share one engine layout; each carries a parameter block (risk, shock, factors from the Factors table) that reproduces the lifelib Override spaces: mortality/longevity rate factors from t0, lapse up/down rate shocks with limits, one-off mass lapse at t0, expense level and inflation shocks. Disability, revision and catastrophe risks have no lifelib override (stressed projection would equal base), so their charges are zero.</t>
  </si>
  <si>
    <t>Scope</t>
  </si>
  <si>
    <t>Only the cells lifelib evaluates for SCR_life() are replicated. Statutory reserve roll-forward and profit cells (ChangeRsrv, ProfitBefTax, InvstIncome, AccumCF) and the VAL rate basis lie outside that subgraph.</t>
  </si>
  <si>
    <t>Reconciliation</t>
  </si>
  <si>
    <t>The RunAllPolicies macro (Batch_Results) computes the SCR and its risk decomposition for every one of the 300 policies and reconciles them against the lifelib values on Lifelib_Reference.</t>
  </si>
  <si>
    <t>Source model</t>
  </si>
  <si>
    <t>lifelib solvency2 — https://lifelib.io (MIT licence)</t>
  </si>
  <si>
    <t>Verification</t>
  </si>
  <si>
    <t>verification/verify_solvency2.py compares every mapped cell against the Python model for deep profiles across products, sexes, t0 and scenarios; see the Checks sheet for in-workbook consistency tests.</t>
  </si>
  <si>
    <t>Version control</t>
  </si>
  <si>
    <t>Version</t>
  </si>
  <si>
    <t>0.2.0</t>
  </si>
  <si>
    <t>Date</t>
  </si>
  <si>
    <t>2026-07-14</t>
  </si>
  <si>
    <t>Prepared by</t>
  </si>
  <si>
    <t>XL Marinade project</t>
  </si>
  <si>
    <t>Review status</t>
  </si>
  <si>
    <t>Verified against lifelib; adversarial actuarial audit remediated (see verification/reports)</t>
  </si>
  <si>
    <t>Sheet index</t>
  </si>
  <si>
    <t>Control</t>
  </si>
  <si>
    <t>Run selection (policy, scenario, t0) and batch settings</t>
  </si>
  <si>
    <t>Policy_Basis</t>
  </si>
  <si>
    <t>Selected policy, resolved lookups, premium/reserve rates</t>
  </si>
  <si>
    <t>Policy_Data</t>
  </si>
  <si>
    <t>Policy file — 300 policies (input data)</t>
  </si>
  <si>
    <t>Basis_Lookup</t>
  </si>
  <si>
    <t>Assumption and product-spec lookup tables (input data)</t>
  </si>
  <si>
    <t>Basis_Tables</t>
  </si>
  <si>
    <t>Year-indexed assumption tables and shock factors (input data)</t>
  </si>
  <si>
    <t>Mortality</t>
  </si>
  <si>
    <t>Mortality tables qx by age, 6 tables x M/F (input data)</t>
  </si>
  <si>
    <t>Scenarios</t>
  </si>
  <si>
    <t>Discount rate paths by scenario (input data)</t>
  </si>
  <si>
    <t>Commutation</t>
  </si>
  <si>
    <t>PREM-basis commutation functions lx/Dx/Cx/Nx/Mx</t>
  </si>
  <si>
    <t>Policy_Sched</t>
  </si>
  <si>
    <t>Per-policy schedule shared by all stress projections</t>
  </si>
  <si>
    <t>Proj_Base … Proj_LapseMass</t>
  </si>
  <si>
    <t>Liability projections — base + 6 life stresses</t>
  </si>
  <si>
    <t>SCR</t>
  </si>
  <si>
    <t>NAVs, risk charges, correlation matrix, SCR aggregation</t>
  </si>
  <si>
    <t>Summary</t>
  </si>
  <si>
    <t>Run details, SCR decomposition, risk radar</t>
  </si>
  <si>
    <t>Checks</t>
  </si>
  <si>
    <t>Internal consistency checks (all must be TRUE)</t>
  </si>
  <si>
    <t>Lifelib_Reference</t>
  </si>
  <si>
    <t>lifelib results for all policies (reconciliation target)</t>
  </si>
  <si>
    <t>Batch_Results</t>
  </si>
  <si>
    <t>All-policies batch reconciliation vs lifelib (macro)</t>
  </si>
  <si>
    <t>Conventions</t>
  </si>
  <si>
    <t>Blue — hardcoded input</t>
  </si>
  <si>
    <t>Black — calculated on this sheet</t>
  </si>
  <si>
    <t>Green — link from another sheet</t>
  </si>
  <si>
    <t>Run selection</t>
  </si>
  <si>
    <t>Item</t>
  </si>
  <si>
    <t>Value</t>
  </si>
  <si>
    <t>Notes / lifelib parameter</t>
  </si>
  <si>
    <t>Policy ID</t>
  </si>
  <si>
    <t>PolicyID — choose 1 to 300</t>
  </si>
  <si>
    <t>Economic scenario</t>
  </si>
  <si>
    <t>ScenID — discount rate path, choose 1 to 10</t>
  </si>
  <si>
    <t>Valuation time t0 (years)</t>
  </si>
  <si>
    <t>t0 — stresses apply from t0; NAV is PV of net cashflows at t0</t>
  </si>
  <si>
    <t>Batch run (RunAllPolicies macro)</t>
  </si>
  <si>
    <t>Notes</t>
  </si>
  <si>
    <t>Policies to run (blank = all)</t>
  </si>
  <si>
    <t>Cap for quick test runs; leave blank to run all 300 policies</t>
  </si>
  <si>
    <t>Reconciliation tolerance (relative)</t>
  </si>
  <si>
    <t>A value reconciles when |workbook − lifelib| ≤ tol × max(1, |lifelib|)</t>
  </si>
  <si>
    <t>The batch runs at t0 = 0, scenario 1 (the Lifelib_Reference basis) and restores the run selection afterwards.</t>
  </si>
  <si>
    <t>Policy data — 300 policies (lifelib Input.PolicyData; unused attributes Channel/Duration/PaymentMode/MaxPolicyTerm omitted)</t>
  </si>
  <si>
    <t>policy_id</t>
  </si>
  <si>
    <t>Product</t>
  </si>
  <si>
    <t>PolicyType</t>
  </si>
  <si>
    <t>Gen</t>
  </si>
  <si>
    <t>Sex</t>
  </si>
  <si>
    <t>IssueAge</t>
  </si>
  <si>
    <t>PremFreq</t>
  </si>
  <si>
    <t>PolicyTerm</t>
  </si>
  <si>
    <t>PolicyCount</t>
  </si>
  <si>
    <t>SumAssured</t>
  </si>
  <si>
    <t>PolicyID</t>
  </si>
  <si>
    <t>TERM</t>
  </si>
  <si>
    <t>M</t>
  </si>
  <si>
    <t>F</t>
  </si>
  <si>
    <t>WL</t>
  </si>
  <si>
    <t>ENDW</t>
  </si>
  <si>
    <t>Assumption and product-spec lookup tables (rows with empty values omitted — modelx match() skips them). Lookup key = item|product|policy_type|generation; the Policy_Basis cascade tries masks from most to least specific.</t>
  </si>
  <si>
    <t>item</t>
  </si>
  <si>
    <t>prod</t>
  </si>
  <si>
    <t>polt</t>
  </si>
  <si>
    <t>gen</t>
  </si>
  <si>
    <t>value</t>
  </si>
  <si>
    <t>lookup key</t>
  </si>
  <si>
    <t>Assumption</t>
  </si>
  <si>
    <t>ProductSpec</t>
  </si>
  <si>
    <t>BaseMort</t>
  </si>
  <si>
    <t>LoadAcqSAParam1</t>
  </si>
  <si>
    <t>LoadAcqSAParam2</t>
  </si>
  <si>
    <t>MortFactor</t>
  </si>
  <si>
    <t>MortAsmp2</t>
  </si>
  <si>
    <t>LoadMaintSA</t>
  </si>
  <si>
    <t>Surrender</t>
  </si>
  <si>
    <t>LapseRate1</t>
  </si>
  <si>
    <t>Renewal</t>
  </si>
  <si>
    <t>InvstRet</t>
  </si>
  <si>
    <t>LoadMaintSA2</t>
  </si>
  <si>
    <t>CommInitPrem</t>
  </si>
  <si>
    <t>CommRenPrem</t>
  </si>
  <si>
    <t>CommRenTerm</t>
  </si>
  <si>
    <t>LoadMaintPremParam1</t>
  </si>
  <si>
    <t>ExpsAcqSA</t>
  </si>
  <si>
    <t>LoadMaintPremParam2</t>
  </si>
  <si>
    <t>ExpsAcqAnnPrem</t>
  </si>
  <si>
    <t>SurrChargeParam1</t>
  </si>
  <si>
    <t>ExpsAcqPol</t>
  </si>
  <si>
    <t>SurrChargeParam2</t>
  </si>
  <si>
    <t>ExpsMaintSA</t>
  </si>
  <si>
    <t>MortTablePrem</t>
  </si>
  <si>
    <t>ExpsMaintPrem</t>
  </si>
  <si>
    <t>ExpsMaintPol</t>
  </si>
  <si>
    <t>InflRate</t>
  </si>
  <si>
    <t>CnsmpTax</t>
  </si>
  <si>
    <t>MortTableVal</t>
  </si>
  <si>
    <t>IntRatePrem</t>
  </si>
  <si>
    <t>IntRateVal</t>
  </si>
  <si>
    <t>LapseRatePrem</t>
  </si>
  <si>
    <t>LapseRateVal</t>
  </si>
  <si>
    <t>Hsx</t>
  </si>
  <si>
    <t>Tsx</t>
  </si>
  <si>
    <t>Hax</t>
  </si>
  <si>
    <t>Tax</t>
  </si>
  <si>
    <t>Assumption tables by policy year (values carry forward beyond year 19, as in lifelib), and the standard-formula shock factors</t>
  </si>
  <si>
    <t>year</t>
  </si>
  <si>
    <t>Morb1</t>
  </si>
  <si>
    <t>Morb2</t>
  </si>
  <si>
    <t>Morb3</t>
  </si>
  <si>
    <t>Morb4</t>
  </si>
  <si>
    <t>Morb5</t>
  </si>
  <si>
    <t>MortAsmp1</t>
  </si>
  <si>
    <t>shock factor key</t>
  </si>
  <si>
    <t>y</t>
  </si>
  <si>
    <t>AssumptionTables</t>
  </si>
  <si>
    <t>FactorData</t>
  </si>
  <si>
    <t>cat|||</t>
  </si>
  <si>
    <t>disab|||first</t>
  </si>
  <si>
    <t>disab|||recovery</t>
  </si>
  <si>
    <t>disab|||second</t>
  </si>
  <si>
    <t>exps|||inflation</t>
  </si>
  <si>
    <t>exps|||</t>
  </si>
  <si>
    <t>lapse|down||limit</t>
  </si>
  <si>
    <t>lapse|down||</t>
  </si>
  <si>
    <t>lapse|mass|nonretail|</t>
  </si>
  <si>
    <t>lapse|mass||</t>
  </si>
  <si>
    <t>lapse|up||limit</t>
  </si>
  <si>
    <t>lapse|up||</t>
  </si>
  <si>
    <t>longev|||</t>
  </si>
  <si>
    <t>mort|||</t>
  </si>
  <si>
    <t>rev|||</t>
  </si>
  <si>
    <t>Mortality tables qx by age — 6 tables x M/F (lifelib Input.MortalityTables). Tables 5 and 6 are empty in the lifelib data set (never referenced by any policy's basis); the blank columns are kept so table ids map 1:1 to grid columns.</t>
  </si>
  <si>
    <t>age</t>
  </si>
  <si>
    <t>T1 M</t>
  </si>
  <si>
    <t>T1 F</t>
  </si>
  <si>
    <t>T2 M</t>
  </si>
  <si>
    <t>T2 F</t>
  </si>
  <si>
    <t>T3 M</t>
  </si>
  <si>
    <t>T3 F</t>
  </si>
  <si>
    <t>T4 M</t>
  </si>
  <si>
    <t>T4 F</t>
  </si>
  <si>
    <t>T5 M</t>
  </si>
  <si>
    <t>T5 F</t>
  </si>
  <si>
    <t>T6 M</t>
  </si>
  <si>
    <t>T6 F</t>
  </si>
  <si>
    <t>x</t>
  </si>
  <si>
    <t>MortalityTables</t>
  </si>
  <si>
    <t>Economic scenarios — flat annual discount/earned rate paths by year (lifelib Input.Scenarios, IntRate)</t>
  </si>
  <si>
    <t>t</t>
  </si>
  <si>
    <t>Scen 1</t>
  </si>
  <si>
    <t>Scen 2</t>
  </si>
  <si>
    <t>Scen 3</t>
  </si>
  <si>
    <t>Scen 4</t>
  </si>
  <si>
    <t>Scen 5</t>
  </si>
  <si>
    <t>Scen 6</t>
  </si>
  <si>
    <t>Scen 7</t>
  </si>
  <si>
    <t>Scen 8</t>
  </si>
  <si>
    <t>Scen 9</t>
  </si>
  <si>
    <t>Scen 10</t>
  </si>
  <si>
    <t>DiscRate</t>
  </si>
  <si>
    <t>Selected policy (from Policy_Data)</t>
  </si>
  <si>
    <t>Notes / lifelib cell</t>
  </si>
  <si>
    <t>Product() — TERM / WL / ENDW</t>
  </si>
  <si>
    <t>Policy type</t>
  </si>
  <si>
    <t>PolicyType()</t>
  </si>
  <si>
    <t>Generation</t>
  </si>
  <si>
    <t>Gen()</t>
  </si>
  <si>
    <t>Sex()</t>
  </si>
  <si>
    <t>Issue age</t>
  </si>
  <si>
    <t>IssueAge() — x</t>
  </si>
  <si>
    <t>Premium frequency p.a.</t>
  </si>
  <si>
    <t>PremFreq()</t>
  </si>
  <si>
    <t>Policy term (years)</t>
  </si>
  <si>
    <t>PolicyTerm() — n = m (premium term alias)</t>
  </si>
  <si>
    <t>Policy count</t>
  </si>
  <si>
    <t>PolicyCount()</t>
  </si>
  <si>
    <t>Sum assured</t>
  </si>
  <si>
    <t>SumAssured()</t>
  </si>
  <si>
    <t>Resolved lookups (modelx match cascade)</t>
  </si>
  <si>
    <t>BaseMortTable</t>
  </si>
  <si>
    <t>asmp.BaseMortRate — base mortality table id</t>
  </si>
  <si>
    <t>MortFactorTable</t>
  </si>
  <si>
    <t>asmp.MortFactor — factor table name</t>
  </si>
  <si>
    <t>SurrTable</t>
  </si>
  <si>
    <t>asmp.SurrRate — surrender table name</t>
  </si>
  <si>
    <t>asmp.CnsmpTax() — direct global lookup in lifelib, no cascade</t>
  </si>
  <si>
    <t>asmp.CommInitPrem()</t>
  </si>
  <si>
    <t>asmp.CommRenPrem()</t>
  </si>
  <si>
    <t>asmp.CommRenTerm()</t>
  </si>
  <si>
    <t>asmp.ExpsAcqAnnPrem()</t>
  </si>
  <si>
    <t>asmp.ExpsAcqPol()</t>
  </si>
  <si>
    <t>asmp.ExpsAcqSA()</t>
  </si>
  <si>
    <t>ExpsMaintAnnPrem</t>
  </si>
  <si>
    <t>asmp.ExpsMaintAnnPrem()</t>
  </si>
  <si>
    <t>asmp.ExpsMaintPol()</t>
  </si>
  <si>
    <t>asmp.ExpsMaintSA()</t>
  </si>
  <si>
    <t>asmp.InflRate() — direct global lookup in lifelib, no cascade</t>
  </si>
  <si>
    <t>pol.IntRate('PREM')</t>
  </si>
  <si>
    <t>TableIDPrem</t>
  </si>
  <si>
    <t>pol.TableID('PREM')</t>
  </si>
  <si>
    <t>LoadAcqP1</t>
  </si>
  <si>
    <t>pol.LoadAcqSA — param 1; direct (item, product) lookup in lifelib</t>
  </si>
  <si>
    <t>LoadAcqP2</t>
  </si>
  <si>
    <t>pol.LoadAcqSA — param 2; direct (item, product) lookup</t>
  </si>
  <si>
    <t>LoadMaintPremP1</t>
  </si>
  <si>
    <t>pol.LoadMaintPrem — param 1; direct (item, product) lookup</t>
  </si>
  <si>
    <t>LoadMaintPremP2</t>
  </si>
  <si>
    <t>pol.LoadMaintPrem — param 2; direct lookup — NA when absent, as in lifelib</t>
  </si>
  <si>
    <t>pol.LoadMaintSA() — gamma</t>
  </si>
  <si>
    <t>pol.LoadMaintSA2() — gamma2</t>
  </si>
  <si>
    <t>SurrP1</t>
  </si>
  <si>
    <t>pol.InitSurrCharge — param 1</t>
  </si>
  <si>
    <t>SurrP2</t>
  </si>
  <si>
    <t>pol.InitSurrCharge — param 2</t>
  </si>
  <si>
    <t>Derived policy quantities</t>
  </si>
  <si>
    <t>BaseMortCol</t>
  </si>
  <si>
    <t>column of the base mortality table in the Mortality grid</t>
  </si>
  <si>
    <t>PremMortCol</t>
  </si>
  <si>
    <t>column of the PREM-basis mortality table</t>
  </si>
  <si>
    <t>MortFactorCol</t>
  </si>
  <si>
    <t>SurrCol</t>
  </si>
  <si>
    <t>LastAge</t>
  </si>
  <si>
    <t>asmp.LastAge() — first age with qx = 1 in the base table</t>
  </si>
  <si>
    <t>LastT</t>
  </si>
  <si>
    <t>last_t() = min(LastAge − IssueAge, PolicyTerm)</t>
  </si>
  <si>
    <t>DxX</t>
  </si>
  <si>
    <t>Dx(x)</t>
  </si>
  <si>
    <t>MxX</t>
  </si>
  <si>
    <t>Mx(x)</t>
  </si>
  <si>
    <t>NxX</t>
  </si>
  <si>
    <t>Nx(x)</t>
  </si>
  <si>
    <t>Dx_xn</t>
  </si>
  <si>
    <t>Dx(x+n)</t>
  </si>
  <si>
    <t>Mx_xn</t>
  </si>
  <si>
    <t>Mx(x+n)</t>
  </si>
  <si>
    <t>Nx_xn</t>
  </si>
  <si>
    <t>Nx(x+n) = Nx(x+m), premium term m = n</t>
  </si>
  <si>
    <t>Axn</t>
  </si>
  <si>
    <t>lt.Axn(x, n)</t>
  </si>
  <si>
    <t>Exn</t>
  </si>
  <si>
    <t>lt.Exn(x, n) — endowment pure survival factor</t>
  </si>
  <si>
    <t>AnnDue_xm_k</t>
  </si>
  <si>
    <t>lt.AnnDuenx(x, m, PremFreq) = AnnDuenx(x, n, PremFreq) since m = n</t>
  </si>
  <si>
    <t>AnnDue_xn_1</t>
  </si>
  <si>
    <t>lt.AnnDuenx(x, n)</t>
  </si>
  <si>
    <t>AnnDue_gamma2</t>
  </si>
  <si>
    <t>lt.AnnDuenx(x, n−m, 1, m) — identically 0 while m = n</t>
  </si>
  <si>
    <t>LoadAcqSA</t>
  </si>
  <si>
    <t>pol.LoadAcqSA() — alpha</t>
  </si>
  <si>
    <t>LoadMaintPrem</t>
  </si>
  <si>
    <t>pol.LoadMaintPrem() — beta; param 1 takes priority, as in lifelib</t>
  </si>
  <si>
    <t>LoadWaiver</t>
  </si>
  <si>
    <t>pol.LoadMaintPremWaiverPrem() — delta</t>
  </si>
  <si>
    <t>InitSurrCharge</t>
  </si>
  <si>
    <t>pol.InitSurrCharge()</t>
  </si>
  <si>
    <t>GrossPremRate</t>
  </si>
  <si>
    <t>pol.GrossPremRate() — per sum assured per payment</t>
  </si>
  <si>
    <t>NetPremRatePrem</t>
  </si>
  <si>
    <t>pol.NetPremRate('PREM')</t>
  </si>
  <si>
    <t>AnnPremRate</t>
  </si>
  <si>
    <t>pol.AnnPremRate()</t>
  </si>
  <si>
    <t>SizePremium</t>
  </si>
  <si>
    <t>SizePremium(t) — constant over t</t>
  </si>
  <si>
    <t>SizeAnnPrem</t>
  </si>
  <si>
    <t>SizeAnnPrem(t)</t>
  </si>
  <si>
    <t>SizeExpsAcq0</t>
  </si>
  <si>
    <t>SizeExpsAcq(0) — InflFactor(0)/InflFactor(0) = 1</t>
  </si>
  <si>
    <t>SizeExpsCommInit0</t>
  </si>
  <si>
    <t>SizeExpsCommInit(0)</t>
  </si>
  <si>
    <t>Commutation functions, PREM basis (the only basis in the SCR subgraph): qx from the PREM mortality table, i = IntRatePrem. Nx/Mx recursion floors at age 110, as in lifelib (LifeTable.Nx/Mx).</t>
  </si>
  <si>
    <t>qx</t>
  </si>
  <si>
    <t>lx</t>
  </si>
  <si>
    <t>dx</t>
  </si>
  <si>
    <t>Dx</t>
  </si>
  <si>
    <t>Cx</t>
  </si>
  <si>
    <t>Nx</t>
  </si>
  <si>
    <t>Mx</t>
  </si>
  <si>
    <t>Per-policy schedule shared by all stress projections (lifelib pol/asmp/scen cells are policy-level and common to every Projection[risk, shock])</t>
  </si>
  <si>
    <t>Attained age</t>
  </si>
  <si>
    <t>Base mortality qx</t>
  </si>
  <si>
    <t>Mortality factor</t>
  </si>
  <si>
    <t>Surrender rate (base)</t>
  </si>
  <si>
    <t>NLP reserve rate (PREM)</t>
  </si>
  <si>
    <t>Surrender charge rate</t>
  </si>
  <si>
    <t>Cash value rate</t>
  </si>
  <si>
    <t>Surrender benefit pp</t>
  </si>
  <si>
    <t>Renewal commission pp</t>
  </si>
  <si>
    <t>Discount rate</t>
  </si>
  <si>
    <t>AttAge</t>
  </si>
  <si>
    <t>BaseMortRate</t>
  </si>
  <si>
    <t>SurrRate</t>
  </si>
  <si>
    <t>ReserveNLP_Rate</t>
  </si>
  <si>
    <t>SurrCharge</t>
  </si>
  <si>
    <t>CashValueRate</t>
  </si>
  <si>
    <t>SizeBenefitSurr</t>
  </si>
  <si>
    <t>SizeExpsCommRen</t>
  </si>
  <si>
    <t>Liability projection — base basis (no shock). lifelib SCR_life.Projection['base', None, None]</t>
  </si>
  <si>
    <t>Risk</t>
  </si>
  <si>
    <t>Shock</t>
  </si>
  <si>
    <t>Risk sign</t>
  </si>
  <si>
    <t>Shock factor</t>
  </si>
  <si>
    <t>Shock limit</t>
  </si>
  <si>
    <t>Inflation shock</t>
  </si>
  <si>
    <t>base</t>
  </si>
  <si>
    <t>Factor</t>
  </si>
  <si>
    <t>Inflation factor</t>
  </si>
  <si>
    <t>Mortality shock factor</t>
  </si>
  <si>
    <t>Surrender rate</t>
  </si>
  <si>
    <t>In force: end</t>
  </si>
  <si>
    <t>Maturities</t>
  </si>
  <si>
    <t>In force: after maturity</t>
  </si>
  <si>
    <t>New business</t>
  </si>
  <si>
    <t>Mass lapse</t>
  </si>
  <si>
    <t>In force: beginning</t>
  </si>
  <si>
    <t>Deaths</t>
  </si>
  <si>
    <t>Surrenders</t>
  </si>
  <si>
    <t>Maint expense pp</t>
  </si>
  <si>
    <t>Premium income</t>
  </si>
  <si>
    <t>Death benefits</t>
  </si>
  <si>
    <t>Surrender benefits</t>
  </si>
  <si>
    <t>Total benefits</t>
  </si>
  <si>
    <t>Acquisition expenses</t>
  </si>
  <si>
    <t>Initial commission</t>
  </si>
  <si>
    <t>Renewal commission</t>
  </si>
  <si>
    <t>Maintenance expenses</t>
  </si>
  <si>
    <t>Total expenses</t>
  </si>
  <si>
    <t>PV premiums</t>
  </si>
  <si>
    <t>PV benefits</t>
  </si>
  <si>
    <t>PV expenses</t>
  </si>
  <si>
    <t>PV net cashflow</t>
  </si>
  <si>
    <t>PV net cf (fwd check)</t>
  </si>
  <si>
    <t>InflFactor</t>
  </si>
  <si>
    <t>MortRateFactor</t>
  </si>
  <si>
    <t>PolsIF_End</t>
  </si>
  <si>
    <t>PolsMaturity</t>
  </si>
  <si>
    <t>PolsIF_Beg</t>
  </si>
  <si>
    <t>PolsNewBiz</t>
  </si>
  <si>
    <t>PolsSurrMass</t>
  </si>
  <si>
    <t>PolsIF_Beg1</t>
  </si>
  <si>
    <t>PolsDeath</t>
  </si>
  <si>
    <t>PolsSurr</t>
  </si>
  <si>
    <t>SizeExpsMaint</t>
  </si>
  <si>
    <t>PremIncome</t>
  </si>
  <si>
    <t>BenefitDeath</t>
  </si>
  <si>
    <t>BenefitSurr</t>
  </si>
  <si>
    <t>BenefitTotal</t>
  </si>
  <si>
    <t>ExpsAcq</t>
  </si>
  <si>
    <t>ExpsCommInit</t>
  </si>
  <si>
    <t>ExpsCommRen</t>
  </si>
  <si>
    <t>ExpsMaint</t>
  </si>
  <si>
    <t>ExpsTotal</t>
  </si>
  <si>
    <t>PV_PremIncome</t>
  </si>
  <si>
    <t>PV_BenefitTotal</t>
  </si>
  <si>
    <t>PV_ExpsTotal</t>
  </si>
  <si>
    <t>PV_NetCashflow</t>
  </si>
  <si>
    <t>PV_NetCashflowForCheck</t>
  </si>
  <si>
    <t>Liability projection — mortality stress (+15% rates from t0). lifelib SCR_life.Projection['mort', None, None]</t>
  </si>
  <si>
    <t>mort</t>
  </si>
  <si>
    <t>Liability projection — longevity stress (−25% rates from t0). lifelib SCR_life.Projection['longev', None, None]</t>
  </si>
  <si>
    <t>longev</t>
  </si>
  <si>
    <t>Liability projection — expense stress (+10% level, +1% inflation from t0). lifelib SCR_life.Projection['exps', None, None]</t>
  </si>
  <si>
    <t>exps</t>
  </si>
  <si>
    <t>Liability projection — lapse up stress. lifelib SCR_life.Projection['lapse', 'up', None]</t>
  </si>
  <si>
    <t>lapse</t>
  </si>
  <si>
    <t>up</t>
  </si>
  <si>
    <t>Liability projection — lapse down stress. lifelib SCR_life.Projection['lapse', 'down', None]</t>
  </si>
  <si>
    <t>down</t>
  </si>
  <si>
    <t>Liability projection — mass lapse stress (one-off at t0). lifelib SCR_life.Projection['lapse', 'mass', None]</t>
  </si>
  <si>
    <t>mass</t>
  </si>
  <si>
    <t>Net asset value by scenario — PV of net liability cashflows at t0</t>
  </si>
  <si>
    <t>Scenario</t>
  </si>
  <si>
    <t>NAV</t>
  </si>
  <si>
    <t>NetAstValue</t>
  </si>
  <si>
    <t>Base</t>
  </si>
  <si>
    <t>NetAstValue() — Projection['base'].PV_NetCashflow(t0)</t>
  </si>
  <si>
    <t>Mortality stress</t>
  </si>
  <si>
    <t>NetAstValue('mort')</t>
  </si>
  <si>
    <t>Longevity stress</t>
  </si>
  <si>
    <t>NetAstValue('longev')</t>
  </si>
  <si>
    <t>Expense stress</t>
  </si>
  <si>
    <t>NetAstValue('exps')</t>
  </si>
  <si>
    <t>Lapse up</t>
  </si>
  <si>
    <t>NetAstValue('lapse','up')</t>
  </si>
  <si>
    <t>Lapse down</t>
  </si>
  <si>
    <t>NetAstValue('lapse','down')</t>
  </si>
  <si>
    <t>NetAstValue('lapse','mass')</t>
  </si>
  <si>
    <t>Lapse risk by shock</t>
  </si>
  <si>
    <t>Charge</t>
  </si>
  <si>
    <t>Up</t>
  </si>
  <si>
    <t>LapseRisk(shock)</t>
  </si>
  <si>
    <t>Down</t>
  </si>
  <si>
    <t>Mass</t>
  </si>
  <si>
    <t>LapseRisk(shock); mass: retail_share = 1 in lifelib, so the non-retail leg vanishes</t>
  </si>
  <si>
    <t>Life underwriting risk charges</t>
  </si>
  <si>
    <t>Life(risk)</t>
  </si>
  <si>
    <t>Life('mort')</t>
  </si>
  <si>
    <t>Life('longev')</t>
  </si>
  <si>
    <t>disab</t>
  </si>
  <si>
    <t>Life('disab') = 0 — no lifelib override: the stressed projection is identical to base by construction</t>
  </si>
  <si>
    <t>Life('lapse')</t>
  </si>
  <si>
    <t>Life('exps')</t>
  </si>
  <si>
    <t>rev</t>
  </si>
  <si>
    <t>Life('rev') = 0 — no lifelib override</t>
  </si>
  <si>
    <t>cat</t>
  </si>
  <si>
    <t>Life('cat') = 0 — no lifelib override</t>
  </si>
  <si>
    <t>Correlation matrix (standard formula, lifelib CorrData)</t>
  </si>
  <si>
    <t>Corr</t>
  </si>
  <si>
    <t>Correlated products Life(i)·Life(j)·Corr(i,j)</t>
  </si>
  <si>
    <t>SCR_life</t>
  </si>
  <si>
    <t>SCR life underwriting risk</t>
  </si>
  <si>
    <t>SCR_life() = sqrt( sum_ij Corr(i,j)·Life(i)·Life(j) )</t>
  </si>
  <si>
    <t>Run</t>
  </si>
  <si>
    <t>calculation sentinel for the batch macro</t>
  </si>
  <si>
    <t>Valuation time t0</t>
  </si>
  <si>
    <t>Product / sex / age / term</t>
  </si>
  <si>
    <t>SCR results</t>
  </si>
  <si>
    <t>Mortality risk</t>
  </si>
  <si>
    <t>Longevity risk</t>
  </si>
  <si>
    <t>Lapse risk</t>
  </si>
  <si>
    <t>Expense risk</t>
  </si>
  <si>
    <t>Sum of undiversified charges</t>
  </si>
  <si>
    <t>Diversification benefit</t>
  </si>
  <si>
    <t>Base net asset value</t>
  </si>
  <si>
    <t>PV net liability cashflows at t0</t>
  </si>
  <si>
    <t>Internal consistency checks</t>
  </si>
  <si>
    <t>Check</t>
  </si>
  <si>
    <t>Result</t>
  </si>
  <si>
    <t>Description</t>
  </si>
  <si>
    <t>PV identity — Proj_Base</t>
  </si>
  <si>
    <t>lifelib PV_Check: the backward PV recursion equals the forward check recursion at t0.</t>
  </si>
  <si>
    <t>PV identity — Proj_Mort</t>
  </si>
  <si>
    <t>PV identity — Proj_Longev</t>
  </si>
  <si>
    <t>PV identity — Proj_Exps</t>
  </si>
  <si>
    <t>PV identity — Proj_LapseUp</t>
  </si>
  <si>
    <t>PV identity — Proj_LapseDown</t>
  </si>
  <si>
    <t>PV identity — Proj_LapseMass</t>
  </si>
  <si>
    <t>In-force non-negative — Proj_Base</t>
  </si>
  <si>
    <t>Policies in force never go negative.</t>
  </si>
  <si>
    <t>In-force non-negative — Proj_Mort</t>
  </si>
  <si>
    <t>In-force non-negative — Proj_Longev</t>
  </si>
  <si>
    <t>In-force non-negative — Proj_Exps</t>
  </si>
  <si>
    <t>In-force non-negative — Proj_LapseUp</t>
  </si>
  <si>
    <t>In-force non-negative — Proj_LapseDown</t>
  </si>
  <si>
    <t>In-force non-negative — Proj_LapseMass</t>
  </si>
  <si>
    <t>Decrements exhaust in-force — base</t>
  </si>
  <si>
    <t>New business equals deaths + surrenders + maturities + mass lapses + survivors at the end of the projection.</t>
  </si>
  <si>
    <t>Decrements exhaust in-force — mass lapse</t>
  </si>
  <si>
    <t>Same identity under the mass-lapse stress (exercises PolsSurrMass).</t>
  </si>
  <si>
    <t>Net level premium reserve zero at issue</t>
  </si>
  <si>
    <t>ReserveNLP_Rate(PREM, 0) = 0 by the equivalence principle when the premium term equals the policy term.</t>
  </si>
  <si>
    <t>Radix and survivorship</t>
  </si>
  <si>
    <t>Commutation lx starts at the 100,000 radix and never goes negative.</t>
  </si>
  <si>
    <t>Risk charges non-negative</t>
  </si>
  <si>
    <t>Life(risk) = max(·, 0) for every risk.</t>
  </si>
  <si>
    <t>Diversification</t>
  </si>
  <si>
    <t>The correlated SCR never exceeds the sum of standalone charges.</t>
  </si>
  <si>
    <t>Correlated product grid symmetric</t>
  </si>
  <si>
    <t>Life(i)·Life(j)·Corr(i,j) grid is symmetric (the correlation matrix is).</t>
  </si>
  <si>
    <t>Shock factors resolved</t>
  </si>
  <si>
    <t>Every stress sheet found its factor in the FactorData table — the IFERROR default of 0 would silently degrade a stress to base.</t>
  </si>
  <si>
    <t>ALL CHECKS PASS</t>
  </si>
  <si>
    <t>lifelib solvency2 results for all policies (t0 = 0, scenario 1). Generated by verification/generate_reference_solvency2.py.</t>
  </si>
  <si>
    <t>scr_life</t>
  </si>
  <si>
    <t>life_mort</t>
  </si>
  <si>
    <t>life_longev</t>
  </si>
  <si>
    <t>life_lapse</t>
  </si>
  <si>
    <t>life_exps</t>
  </si>
  <si>
    <t>lapse_up</t>
  </si>
  <si>
    <t>lapse_down</t>
  </si>
  <si>
    <t>lapse_mass</t>
  </si>
  <si>
    <t>nav_base</t>
  </si>
  <si>
    <t>All policies — SCR batch run and reconciliation vs lifelib</t>
  </si>
  <si>
    <t>Filled by the RunAllPolicies macro (t0 = 0, scenario 1; see Control for settings).</t>
  </si>
  <si>
    <t>Policies run</t>
  </si>
  <si>
    <t>Reconciled within tolerance</t>
  </si>
  <si>
    <t>Mismatches</t>
  </si>
  <si>
    <t>Max rel diff SCR</t>
  </si>
  <si>
    <t>Max rel diff Life charges</t>
  </si>
  <si>
    <t>Max rel diff NAV</t>
  </si>
  <si>
    <t>Run time (seconds)</t>
  </si>
  <si>
    <t>RECONCILIATION RESULT</t>
  </si>
  <si>
    <t>SCR (wb)</t>
  </si>
  <si>
    <t>SCR (lifelib)</t>
  </si>
  <si>
    <t>rel diff SCR</t>
  </si>
  <si>
    <t>rel mort</t>
  </si>
  <si>
    <t>rel longev</t>
  </si>
  <si>
    <t>rel lapse</t>
  </si>
  <si>
    <t>rel lapse up</t>
  </si>
  <si>
    <t>rel lapse down</t>
  </si>
  <si>
    <t>rel lapse mass</t>
  </si>
  <si>
    <t>rel exps</t>
  </si>
  <si>
    <t>rel NAV</t>
  </si>
  <si>
    <t>reconciles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</si>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</sst>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000"/>
    <numFmt numFmtId="165" formatCode="0.000000"/>
    <numFmt numFmtId="166" formatCode="0.0000"/>
    <numFmt numFmtId="167" formatCode="0.0000%"/>
    <numFmt numFmtId="168" formatCode="0.00000000"/>
    <numFmt numFmtId="169" formatCode="0.000"/>
  </numFmts>
  <fonts count="18" x14ac:knownFonts="1">
    <font>
      <sz val="11"/>
      <color theme="1"/>
      <name val="Calibri"/>
      <family val="2"/>
      <scheme val="minor"/>
    </font>
    <font>
      <b/>
      <sz val="16"/>
      <color rgb="FF1F3864"/>
      <name val="Calibri"/>
      <family val="2"/>
    </font>
    <font>
      <i/>
      <sz val="11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sz val="10"/>
      <name val="Calibri"/>
      <family val="2"/>
    </font>
    <font>
      <sz val="10"/>
      <color rgb="FF0000FF"/>
      <name val="Calibri"/>
      <family val="2"/>
    </font>
    <font>
      <sz val="10"/>
      <color rgb="FF000000"/>
      <name val="Calibri"/>
      <family val="2"/>
    </font>
    <font>
      <sz val="10"/>
      <color rgb="FF006100"/>
      <name val="Calibri"/>
      <family val="2"/>
    </font>
    <font>
      <b/>
      <sz val="10"/>
      <color rgb="FFFFFFFF"/>
      <name val="Calibri"/>
      <family val="2"/>
    </font>
    <font>
      <i/>
      <sz val="9"/>
      <color rgb="FF7F7F7F"/>
      <name val="Calibri"/>
      <family val="2"/>
    </font>
    <font>
      <i/>
      <sz val="8"/>
      <color rgb="FF7F7F7F"/>
      <name val="Calibri"/>
      <family val="2"/>
    </font>
    <font>
      <b/>
      <sz val="10"/>
      <name val="Calibri"/>
      <family val="2"/>
    </font>
    <font>
      <b/>
      <sz val="9"/>
      <name val="Calibri"/>
      <family val="2"/>
    </font>
    <font>
      <b/>
      <sz val="11"/>
      <color rgb="FF006100"/>
      <name val="Calibri"/>
      <family val="2"/>
    </font>
    <font>
      <sz val="9"/>
      <color rgb="FF7F7F7F"/>
      <name val="Calibri"/>
      <family val="2"/>
    </font>
    <font>
      <b/>
      <sz val="10"/>
      <color rgb="FF0061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1F3864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vertical="top" wrapText="1"/>
    </xf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2" borderId="1" xfId="0" applyFont="1" applyFill="1" applyBorder="1" applyAlignment="1">
      <alignment horizontal="center"/>
    </xf>
    <xf numFmtId="1" fontId="6" fillId="0" borderId="1" xfId="0" applyNumberFormat="1" applyFont="1" applyBorder="1"/>
    <xf numFmtId="0" fontId="10" fillId="0" borderId="0" xfId="0" applyFont="1"/>
    <xf numFmtId="164" fontId="6" fillId="0" borderId="1" xfId="0" applyNumberFormat="1" applyFont="1" applyBorder="1"/>
    <xf numFmtId="0" fontId="11" fillId="0" borderId="0" xfId="0" applyFont="1"/>
    <xf numFmtId="0" fontId="12" fillId="0" borderId="0" xfId="0" applyFont="1"/>
    <xf numFmtId="165" fontId="6" fillId="0" borderId="0" xfId="0" applyNumberFormat="1" applyFont="1"/>
    <xf numFmtId="166" fontId="6" fillId="0" borderId="0" xfId="0" applyNumberFormat="1" applyFont="1"/>
    <xf numFmtId="167" fontId="6" fillId="0" borderId="0" xfId="0" applyNumberFormat="1" applyFont="1"/>
    <xf numFmtId="0" fontId="8" fillId="0" borderId="1" xfId="0" applyFont="1" applyBorder="1"/>
    <xf numFmtId="1" fontId="8" fillId="0" borderId="1" xfId="0" applyNumberFormat="1" applyFont="1" applyBorder="1"/>
    <xf numFmtId="4" fontId="8" fillId="0" borderId="1" xfId="0" applyNumberFormat="1" applyFont="1" applyBorder="1"/>
    <xf numFmtId="167" fontId="8" fillId="0" borderId="1" xfId="0" applyNumberFormat="1" applyFont="1" applyBorder="1"/>
    <xf numFmtId="166" fontId="8" fillId="0" borderId="1" xfId="0" applyNumberFormat="1" applyFont="1" applyBorder="1"/>
    <xf numFmtId="165" fontId="8" fillId="0" borderId="1" xfId="0" applyNumberFormat="1" applyFont="1" applyBorder="1"/>
    <xf numFmtId="1" fontId="7" fillId="0" borderId="1" xfId="0" applyNumberFormat="1" applyFont="1" applyBorder="1"/>
    <xf numFmtId="2" fontId="8" fillId="0" borderId="1" xfId="0" applyNumberFormat="1" applyFont="1" applyBorder="1"/>
    <xf numFmtId="168" fontId="7" fillId="0" borderId="1" xfId="0" applyNumberFormat="1" applyFont="1" applyBorder="1"/>
    <xf numFmtId="165" fontId="7" fillId="0" borderId="1" xfId="0" applyNumberFormat="1" applyFont="1" applyBorder="1"/>
    <xf numFmtId="4" fontId="7" fillId="0" borderId="1" xfId="0" applyNumberFormat="1" applyFont="1" applyBorder="1"/>
    <xf numFmtId="1" fontId="7" fillId="0" borderId="0" xfId="0" applyNumberFormat="1" applyFont="1"/>
    <xf numFmtId="165" fontId="8" fillId="0" borderId="0" xfId="0" applyNumberFormat="1" applyFont="1"/>
    <xf numFmtId="169" fontId="7" fillId="0" borderId="0" xfId="0" applyNumberFormat="1" applyFont="1"/>
    <xf numFmtId="169" fontId="8" fillId="0" borderId="0" xfId="0" applyNumberFormat="1" applyFont="1"/>
    <xf numFmtId="166" fontId="8" fillId="0" borderId="0" xfId="0" applyNumberFormat="1" applyFont="1"/>
    <xf numFmtId="166" fontId="7" fillId="0" borderId="0" xfId="0" applyNumberFormat="1" applyFont="1"/>
    <xf numFmtId="167" fontId="8" fillId="0" borderId="0" xfId="0" applyNumberFormat="1" applyFont="1"/>
    <xf numFmtId="168" fontId="8" fillId="0" borderId="0" xfId="0" applyNumberFormat="1" applyFont="1"/>
    <xf numFmtId="4" fontId="8" fillId="0" borderId="0" xfId="0" applyNumberFormat="1" applyFont="1"/>
    <xf numFmtId="0" fontId="13" fillId="0" borderId="0" xfId="0" applyFont="1"/>
    <xf numFmtId="165" fontId="7" fillId="0" borderId="0" xfId="0" applyNumberFormat="1" applyFont="1"/>
    <xf numFmtId="168" fontId="7" fillId="0" borderId="0" xfId="0" applyNumberFormat="1" applyFont="1"/>
    <xf numFmtId="4" fontId="7" fillId="0" borderId="0" xfId="0" applyNumberFormat="1" applyFont="1"/>
    <xf numFmtId="4" fontId="6" fillId="0" borderId="1" xfId="0" applyNumberFormat="1" applyFont="1" applyBorder="1"/>
    <xf numFmtId="2" fontId="6" fillId="0" borderId="1" xfId="0" applyNumberFormat="1" applyFont="1" applyBorder="1"/>
    <xf numFmtId="3" fontId="7" fillId="0" borderId="1" xfId="0" applyNumberFormat="1" applyFont="1" applyBorder="1"/>
    <xf numFmtId="4" fontId="14" fillId="0" borderId="1" xfId="0" applyNumberFormat="1" applyFont="1" applyBorder="1"/>
    <xf numFmtId="0" fontId="8" fillId="0" borderId="1" xfId="0" applyFont="1" applyBorder="1" applyAlignment="1">
      <alignment horizontal="center"/>
    </xf>
    <xf numFmtId="0" fontId="15" fillId="0" borderId="0" xfId="0" applyFont="1"/>
    <xf numFmtId="0" fontId="16" fillId="0" borderId="0" xfId="0" applyFont="1" applyAlignment="1">
      <alignment horizontal="center"/>
    </xf>
    <xf numFmtId="4" fontId="6" fillId="0" borderId="0" xfId="0" applyNumberFormat="1" applyFont="1"/>
    <xf numFmtId="0" fontId="0" fillId="0" borderId="1" xfId="0" applyBorder="1"/>
    <xf numFmtId="0" fontId="17" fillId="0" borderId="1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t>Life SCR risk profile</a:t>
            </a:r>
          </a:p>
        </c:rich>
      </c:tx>
      <c:overlay val="1"/>
    </c:title>
    <c:autoTitleDeleted val="0"/>
    <c:plotArea>
      <c:layout/>
      <c:radarChart>
        <c:radarStyle val="filled"/>
        <c:varyColors val="1"/>
        <c:ser>
          <c:idx val="0"/>
          <c:order val="0"/>
          <c:spPr>
            <a:ln>
              <a:prstDash val="solid"/>
            </a:ln>
          </c:spPr>
          <c:cat>
            <c:strRef>
              <c:f>SCR!$B$21:$B$27</c:f>
              <c:strCache>
                <c:ptCount val="7"/>
                <c:pt idx="0">
                  <c:v>mort</c:v>
                </c:pt>
                <c:pt idx="1">
                  <c:v>longev</c:v>
                </c:pt>
                <c:pt idx="2">
                  <c:v>disab</c:v>
                </c:pt>
                <c:pt idx="3">
                  <c:v>lapse</c:v>
                </c:pt>
                <c:pt idx="4">
                  <c:v>exps</c:v>
                </c:pt>
                <c:pt idx="5">
                  <c:v>rev</c:v>
                </c:pt>
                <c:pt idx="6">
                  <c:v>cat</c:v>
                </c:pt>
              </c:strCache>
            </c:strRef>
          </c:cat>
          <c:val>
            <c:numRef>
              <c:f>SCR!$C$21:$C$27</c:f>
              <c:numCache>
                <c:formatCode>#,##0.00</c:formatCode>
                <c:ptCount val="7"/>
                <c:pt idx="0">
                  <c:v>946.39402335539307</c:v>
                </c:pt>
                <c:pt idx="1">
                  <c:v>0</c:v>
                </c:pt>
                <c:pt idx="2">
                  <c:v>0</c:v>
                </c:pt>
                <c:pt idx="3">
                  <c:v>5012.7454307480311</c:v>
                </c:pt>
                <c:pt idx="4">
                  <c:v>1338.553480494983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B4-9948-A769-A01D7FBDD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100"/>
      </c:radar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numFmt formatCode="#,##0.0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2</xdr:row>
      <xdr:rowOff>0</xdr:rowOff>
    </xdr:from>
    <xdr:ext cx="4320000" cy="324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C40"/>
  <sheetViews>
    <sheetView showGridLines="0" tabSelected="1" workbookViewId="0"/>
  </sheetViews>
  <sheetFormatPr baseColWidth="10" defaultColWidth="8.83203125" defaultRowHeight="15" x14ac:dyDescent="0.2"/>
  <cols>
    <col min="2" max="2" width="28" customWidth="1"/>
    <col min="3" max="3" width="80" customWidth="1"/>
  </cols>
  <sheetData>
    <row r="2" spans="2:3" ht="21" x14ac:dyDescent="0.25">
      <c r="B2" s="1" t="s">
        <v>0</v>
      </c>
    </row>
    <row r="3" spans="2:3" x14ac:dyDescent="0.2">
      <c r="B3" s="2" t="s">
        <v>1</v>
      </c>
    </row>
    <row r="5" spans="2:3" ht="54" customHeight="1" x14ac:dyDescent="0.2">
      <c r="B5" s="3" t="s">
        <v>2</v>
      </c>
      <c r="C5" s="4" t="s">
        <v>3</v>
      </c>
    </row>
    <row r="6" spans="2:3" ht="54" customHeight="1" x14ac:dyDescent="0.2">
      <c r="B6" s="3" t="s">
        <v>4</v>
      </c>
      <c r="C6" s="4" t="s">
        <v>5</v>
      </c>
    </row>
    <row r="7" spans="2:3" ht="54" customHeight="1" x14ac:dyDescent="0.2">
      <c r="B7" s="3" t="s">
        <v>6</v>
      </c>
      <c r="C7" s="4" t="s">
        <v>7</v>
      </c>
    </row>
    <row r="8" spans="2:3" ht="54" customHeight="1" x14ac:dyDescent="0.2">
      <c r="B8" s="3" t="s">
        <v>8</v>
      </c>
      <c r="C8" s="4" t="s">
        <v>9</v>
      </c>
    </row>
    <row r="9" spans="2:3" ht="54" customHeight="1" x14ac:dyDescent="0.2">
      <c r="B9" s="3" t="s">
        <v>10</v>
      </c>
      <c r="C9" s="4" t="s">
        <v>11</v>
      </c>
    </row>
    <row r="10" spans="2:3" ht="54" customHeight="1" x14ac:dyDescent="0.2">
      <c r="B10" s="3" t="s">
        <v>12</v>
      </c>
      <c r="C10" s="4" t="s">
        <v>13</v>
      </c>
    </row>
    <row r="11" spans="2:3" ht="54" customHeight="1" x14ac:dyDescent="0.2">
      <c r="B11" s="3" t="s">
        <v>14</v>
      </c>
      <c r="C11" s="4" t="s">
        <v>15</v>
      </c>
    </row>
    <row r="12" spans="2:3" ht="54" customHeight="1" x14ac:dyDescent="0.2">
      <c r="B12" s="3" t="s">
        <v>16</v>
      </c>
      <c r="C12" s="4" t="s">
        <v>17</v>
      </c>
    </row>
    <row r="14" spans="2:3" x14ac:dyDescent="0.2">
      <c r="B14" s="3" t="s">
        <v>18</v>
      </c>
    </row>
    <row r="15" spans="2:3" x14ac:dyDescent="0.2">
      <c r="B15" s="5" t="s">
        <v>19</v>
      </c>
      <c r="C15" s="6" t="s">
        <v>20</v>
      </c>
    </row>
    <row r="16" spans="2:3" x14ac:dyDescent="0.2">
      <c r="B16" s="5" t="s">
        <v>21</v>
      </c>
      <c r="C16" s="6" t="s">
        <v>22</v>
      </c>
    </row>
    <row r="17" spans="2:3" x14ac:dyDescent="0.2">
      <c r="B17" s="5" t="s">
        <v>23</v>
      </c>
      <c r="C17" s="6" t="s">
        <v>24</v>
      </c>
    </row>
    <row r="18" spans="2:3" x14ac:dyDescent="0.2">
      <c r="B18" s="5" t="s">
        <v>25</v>
      </c>
      <c r="C18" s="6" t="s">
        <v>26</v>
      </c>
    </row>
    <row r="20" spans="2:3" x14ac:dyDescent="0.2">
      <c r="B20" s="3" t="s">
        <v>27</v>
      </c>
    </row>
    <row r="21" spans="2:3" x14ac:dyDescent="0.2">
      <c r="B21" s="5" t="s">
        <v>28</v>
      </c>
      <c r="C21" s="6" t="s">
        <v>29</v>
      </c>
    </row>
    <row r="22" spans="2:3" x14ac:dyDescent="0.2">
      <c r="B22" s="5" t="s">
        <v>30</v>
      </c>
      <c r="C22" s="6" t="s">
        <v>31</v>
      </c>
    </row>
    <row r="23" spans="2:3" x14ac:dyDescent="0.2">
      <c r="B23" s="5" t="s">
        <v>32</v>
      </c>
      <c r="C23" s="6" t="s">
        <v>33</v>
      </c>
    </row>
    <row r="24" spans="2:3" x14ac:dyDescent="0.2">
      <c r="B24" s="5" t="s">
        <v>34</v>
      </c>
      <c r="C24" s="6" t="s">
        <v>35</v>
      </c>
    </row>
    <row r="25" spans="2:3" x14ac:dyDescent="0.2">
      <c r="B25" s="5" t="s">
        <v>36</v>
      </c>
      <c r="C25" s="6" t="s">
        <v>37</v>
      </c>
    </row>
    <row r="26" spans="2:3" x14ac:dyDescent="0.2">
      <c r="B26" s="5" t="s">
        <v>38</v>
      </c>
      <c r="C26" s="6" t="s">
        <v>39</v>
      </c>
    </row>
    <row r="27" spans="2:3" x14ac:dyDescent="0.2">
      <c r="B27" s="5" t="s">
        <v>40</v>
      </c>
      <c r="C27" s="6" t="s">
        <v>41</v>
      </c>
    </row>
    <row r="28" spans="2:3" x14ac:dyDescent="0.2">
      <c r="B28" s="5" t="s">
        <v>42</v>
      </c>
      <c r="C28" s="6" t="s">
        <v>43</v>
      </c>
    </row>
    <row r="29" spans="2:3" x14ac:dyDescent="0.2">
      <c r="B29" s="5" t="s">
        <v>44</v>
      </c>
      <c r="C29" s="6" t="s">
        <v>45</v>
      </c>
    </row>
    <row r="30" spans="2:3" x14ac:dyDescent="0.2">
      <c r="B30" s="5" t="s">
        <v>46</v>
      </c>
      <c r="C30" s="6" t="s">
        <v>47</v>
      </c>
    </row>
    <row r="31" spans="2:3" x14ac:dyDescent="0.2">
      <c r="B31" s="5" t="s">
        <v>48</v>
      </c>
      <c r="C31" s="6" t="s">
        <v>49</v>
      </c>
    </row>
    <row r="32" spans="2:3" x14ac:dyDescent="0.2">
      <c r="B32" s="5" t="s">
        <v>50</v>
      </c>
      <c r="C32" s="6" t="s">
        <v>51</v>
      </c>
    </row>
    <row r="33" spans="2:3" x14ac:dyDescent="0.2">
      <c r="B33" s="5" t="s">
        <v>52</v>
      </c>
      <c r="C33" s="6" t="s">
        <v>53</v>
      </c>
    </row>
    <row r="34" spans="2:3" x14ac:dyDescent="0.2">
      <c r="B34" s="5" t="s">
        <v>54</v>
      </c>
      <c r="C34" s="6" t="s">
        <v>55</v>
      </c>
    </row>
    <row r="35" spans="2:3" x14ac:dyDescent="0.2">
      <c r="B35" s="5" t="s">
        <v>56</v>
      </c>
      <c r="C35" s="6" t="s">
        <v>57</v>
      </c>
    </row>
    <row r="37" spans="2:3" x14ac:dyDescent="0.2">
      <c r="B37" s="3" t="s">
        <v>58</v>
      </c>
    </row>
    <row r="38" spans="2:3" x14ac:dyDescent="0.2">
      <c r="B38" s="7" t="s">
        <v>59</v>
      </c>
    </row>
    <row r="39" spans="2:3" x14ac:dyDescent="0.2">
      <c r="B39" s="8" t="s">
        <v>60</v>
      </c>
    </row>
    <row r="40" spans="2:3" x14ac:dyDescent="0.2">
      <c r="B40" s="9" t="s">
        <v>61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D13"/>
  <sheetViews>
    <sheetView showGridLines="0" workbookViewId="0"/>
  </sheetViews>
  <sheetFormatPr baseColWidth="10" defaultColWidth="8.83203125" defaultRowHeight="15" x14ac:dyDescent="0.2"/>
  <cols>
    <col min="2" max="2" width="34" customWidth="1"/>
    <col min="3" max="3" width="14" customWidth="1"/>
    <col min="4" max="4" width="64" customWidth="1"/>
  </cols>
  <sheetData>
    <row r="2" spans="2:4" x14ac:dyDescent="0.2">
      <c r="B2" s="3" t="s">
        <v>62</v>
      </c>
    </row>
    <row r="3" spans="2:4" x14ac:dyDescent="0.2">
      <c r="B3" s="10" t="s">
        <v>63</v>
      </c>
      <c r="C3" s="10" t="s">
        <v>64</v>
      </c>
      <c r="D3" s="10" t="s">
        <v>65</v>
      </c>
    </row>
    <row r="4" spans="2:4" x14ac:dyDescent="0.2">
      <c r="B4" s="5" t="s">
        <v>66</v>
      </c>
      <c r="C4" s="11">
        <v>1</v>
      </c>
      <c r="D4" s="12" t="s">
        <v>67</v>
      </c>
    </row>
    <row r="5" spans="2:4" x14ac:dyDescent="0.2">
      <c r="B5" s="5" t="s">
        <v>68</v>
      </c>
      <c r="C5" s="11">
        <v>1</v>
      </c>
      <c r="D5" s="12" t="s">
        <v>69</v>
      </c>
    </row>
    <row r="6" spans="2:4" x14ac:dyDescent="0.2">
      <c r="B6" s="5" t="s">
        <v>70</v>
      </c>
      <c r="C6" s="11">
        <v>0</v>
      </c>
      <c r="D6" s="12" t="s">
        <v>71</v>
      </c>
    </row>
    <row r="8" spans="2:4" x14ac:dyDescent="0.2">
      <c r="B8" s="3" t="s">
        <v>72</v>
      </c>
    </row>
    <row r="9" spans="2:4" x14ac:dyDescent="0.2">
      <c r="B9" s="10" t="s">
        <v>63</v>
      </c>
      <c r="C9" s="10" t="s">
        <v>64</v>
      </c>
      <c r="D9" s="10" t="s">
        <v>73</v>
      </c>
    </row>
    <row r="10" spans="2:4" x14ac:dyDescent="0.2">
      <c r="B10" s="5" t="s">
        <v>74</v>
      </c>
      <c r="C10" s="11"/>
      <c r="D10" s="12" t="s">
        <v>75</v>
      </c>
    </row>
    <row r="11" spans="2:4" x14ac:dyDescent="0.2">
      <c r="B11" s="5" t="s">
        <v>76</v>
      </c>
      <c r="C11" s="13">
        <v>9.9999999999999995E-7</v>
      </c>
      <c r="D11" s="12" t="s">
        <v>77</v>
      </c>
    </row>
    <row r="13" spans="2:4" x14ac:dyDescent="0.2">
      <c r="B13" s="12" t="s">
        <v>78</v>
      </c>
    </row>
  </sheetData>
  <dataValidations count="3">
    <dataValidation type="whole" error="Value must be between 1 and 300" sqref="C4" xr:uid="{00000000-0002-0000-0100-000000000000}">
      <formula1>1</formula1>
      <formula2>300</formula2>
    </dataValidation>
    <dataValidation type="whole" error="Value must be between 1 and 10" sqref="C5" xr:uid="{00000000-0002-0000-0100-000001000000}">
      <formula1>1</formula1>
      <formula2>10</formula2>
    </dataValidation>
    <dataValidation type="whole" error="Value must be between 0 and 102" sqref="C6" xr:uid="{00000000-0002-0000-0100-000002000000}">
      <formula1>0</formula1>
      <formula2>102</formula2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303"/>
  <sheetViews>
    <sheetView workbookViewId="0">
      <pane ySplit="3" topLeftCell="A4" activePane="bottomLeft" state="frozen"/>
      <selection pane="bottomLeft"/>
    </sheetView>
  </sheetViews>
  <sheetFormatPr baseColWidth="10" defaultColWidth="8.83203125" defaultRowHeight="15" x14ac:dyDescent="0.2"/>
  <cols>
    <col min="1" max="2" width="9" customWidth="1"/>
    <col min="3" max="3" width="10" customWidth="1"/>
    <col min="4" max="5" width="6" customWidth="1"/>
    <col min="6" max="7" width="9" customWidth="1"/>
    <col min="8" max="8" width="10" customWidth="1"/>
    <col min="9" max="9" width="11" customWidth="1"/>
    <col min="10" max="10" width="12" customWidth="1"/>
  </cols>
  <sheetData>
    <row r="1" spans="1:10" x14ac:dyDescent="0.2">
      <c r="A1" s="3" t="s">
        <v>79</v>
      </c>
    </row>
    <row r="2" spans="1:10" x14ac:dyDescent="0.2">
      <c r="A2" s="10" t="s">
        <v>80</v>
      </c>
      <c r="B2" s="10" t="s">
        <v>81</v>
      </c>
      <c r="C2" s="10" t="s">
        <v>82</v>
      </c>
      <c r="D2" s="10" t="s">
        <v>83</v>
      </c>
      <c r="E2" s="10" t="s">
        <v>84</v>
      </c>
      <c r="F2" s="10" t="s">
        <v>85</v>
      </c>
      <c r="G2" s="10" t="s">
        <v>86</v>
      </c>
      <c r="H2" s="10" t="s">
        <v>87</v>
      </c>
      <c r="I2" s="10" t="s">
        <v>88</v>
      </c>
      <c r="J2" s="10" t="s">
        <v>89</v>
      </c>
    </row>
    <row r="3" spans="1:10" x14ac:dyDescent="0.2">
      <c r="A3" s="14" t="s">
        <v>90</v>
      </c>
      <c r="B3" s="14" t="s">
        <v>81</v>
      </c>
      <c r="C3" s="14" t="s">
        <v>82</v>
      </c>
      <c r="D3" s="14" t="s">
        <v>83</v>
      </c>
      <c r="E3" s="14" t="s">
        <v>84</v>
      </c>
      <c r="F3" s="14" t="s">
        <v>85</v>
      </c>
      <c r="G3" s="14" t="s">
        <v>86</v>
      </c>
      <c r="H3" s="14" t="s">
        <v>87</v>
      </c>
      <c r="I3" s="14" t="s">
        <v>88</v>
      </c>
      <c r="J3" s="14" t="s">
        <v>89</v>
      </c>
    </row>
    <row r="4" spans="1:10" x14ac:dyDescent="0.2">
      <c r="A4" s="7">
        <v>1</v>
      </c>
      <c r="B4" s="7" t="s">
        <v>91</v>
      </c>
      <c r="C4" s="7">
        <v>1</v>
      </c>
      <c r="D4" s="7">
        <v>1</v>
      </c>
      <c r="E4" s="7" t="s">
        <v>92</v>
      </c>
      <c r="F4" s="7">
        <v>30</v>
      </c>
      <c r="G4" s="7">
        <v>12</v>
      </c>
      <c r="H4" s="7">
        <v>15</v>
      </c>
      <c r="I4" s="7">
        <v>1</v>
      </c>
      <c r="J4" s="7">
        <v>1000000</v>
      </c>
    </row>
    <row r="5" spans="1:10" x14ac:dyDescent="0.2">
      <c r="A5" s="7">
        <v>2</v>
      </c>
      <c r="B5" s="7" t="s">
        <v>91</v>
      </c>
      <c r="C5" s="7">
        <v>1</v>
      </c>
      <c r="D5" s="7">
        <v>1</v>
      </c>
      <c r="E5" s="7" t="s">
        <v>93</v>
      </c>
      <c r="F5" s="7">
        <v>30</v>
      </c>
      <c r="G5" s="7">
        <v>12</v>
      </c>
      <c r="H5" s="7">
        <v>15</v>
      </c>
      <c r="I5" s="7">
        <v>1</v>
      </c>
      <c r="J5" s="7">
        <v>1000000</v>
      </c>
    </row>
    <row r="6" spans="1:10" x14ac:dyDescent="0.2">
      <c r="A6" s="7">
        <v>3</v>
      </c>
      <c r="B6" s="7" t="s">
        <v>91</v>
      </c>
      <c r="C6" s="7">
        <v>1</v>
      </c>
      <c r="D6" s="7">
        <v>1</v>
      </c>
      <c r="E6" s="7" t="s">
        <v>92</v>
      </c>
      <c r="F6" s="7">
        <v>31</v>
      </c>
      <c r="G6" s="7">
        <v>12</v>
      </c>
      <c r="H6" s="7">
        <v>15</v>
      </c>
      <c r="I6" s="7">
        <v>1</v>
      </c>
      <c r="J6" s="7">
        <v>1000000</v>
      </c>
    </row>
    <row r="7" spans="1:10" x14ac:dyDescent="0.2">
      <c r="A7" s="7">
        <v>4</v>
      </c>
      <c r="B7" s="7" t="s">
        <v>91</v>
      </c>
      <c r="C7" s="7">
        <v>1</v>
      </c>
      <c r="D7" s="7">
        <v>1</v>
      </c>
      <c r="E7" s="7" t="s">
        <v>93</v>
      </c>
      <c r="F7" s="7">
        <v>31</v>
      </c>
      <c r="G7" s="7">
        <v>12</v>
      </c>
      <c r="H7" s="7">
        <v>15</v>
      </c>
      <c r="I7" s="7">
        <v>1</v>
      </c>
      <c r="J7" s="7">
        <v>1000000</v>
      </c>
    </row>
    <row r="8" spans="1:10" x14ac:dyDescent="0.2">
      <c r="A8" s="7">
        <v>5</v>
      </c>
      <c r="B8" s="7" t="s">
        <v>91</v>
      </c>
      <c r="C8" s="7">
        <v>1</v>
      </c>
      <c r="D8" s="7">
        <v>1</v>
      </c>
      <c r="E8" s="7" t="s">
        <v>92</v>
      </c>
      <c r="F8" s="7">
        <v>32</v>
      </c>
      <c r="G8" s="7">
        <v>12</v>
      </c>
      <c r="H8" s="7">
        <v>15</v>
      </c>
      <c r="I8" s="7">
        <v>1</v>
      </c>
      <c r="J8" s="7">
        <v>1000000</v>
      </c>
    </row>
    <row r="9" spans="1:10" x14ac:dyDescent="0.2">
      <c r="A9" s="7">
        <v>6</v>
      </c>
      <c r="B9" s="7" t="s">
        <v>91</v>
      </c>
      <c r="C9" s="7">
        <v>1</v>
      </c>
      <c r="D9" s="7">
        <v>1</v>
      </c>
      <c r="E9" s="7" t="s">
        <v>93</v>
      </c>
      <c r="F9" s="7">
        <v>32</v>
      </c>
      <c r="G9" s="7">
        <v>12</v>
      </c>
      <c r="H9" s="7">
        <v>15</v>
      </c>
      <c r="I9" s="7">
        <v>1</v>
      </c>
      <c r="J9" s="7">
        <v>1000000</v>
      </c>
    </row>
    <row r="10" spans="1:10" x14ac:dyDescent="0.2">
      <c r="A10" s="7">
        <v>7</v>
      </c>
      <c r="B10" s="7" t="s">
        <v>91</v>
      </c>
      <c r="C10" s="7">
        <v>1</v>
      </c>
      <c r="D10" s="7">
        <v>1</v>
      </c>
      <c r="E10" s="7" t="s">
        <v>92</v>
      </c>
      <c r="F10" s="7">
        <v>33</v>
      </c>
      <c r="G10" s="7">
        <v>12</v>
      </c>
      <c r="H10" s="7">
        <v>15</v>
      </c>
      <c r="I10" s="7">
        <v>1</v>
      </c>
      <c r="J10" s="7">
        <v>1000000</v>
      </c>
    </row>
    <row r="11" spans="1:10" x14ac:dyDescent="0.2">
      <c r="A11" s="7">
        <v>8</v>
      </c>
      <c r="B11" s="7" t="s">
        <v>91</v>
      </c>
      <c r="C11" s="7">
        <v>1</v>
      </c>
      <c r="D11" s="7">
        <v>1</v>
      </c>
      <c r="E11" s="7" t="s">
        <v>93</v>
      </c>
      <c r="F11" s="7">
        <v>33</v>
      </c>
      <c r="G11" s="7">
        <v>12</v>
      </c>
      <c r="H11" s="7">
        <v>15</v>
      </c>
      <c r="I11" s="7">
        <v>1</v>
      </c>
      <c r="J11" s="7">
        <v>1000000</v>
      </c>
    </row>
    <row r="12" spans="1:10" x14ac:dyDescent="0.2">
      <c r="A12" s="7">
        <v>9</v>
      </c>
      <c r="B12" s="7" t="s">
        <v>91</v>
      </c>
      <c r="C12" s="7">
        <v>1</v>
      </c>
      <c r="D12" s="7">
        <v>1</v>
      </c>
      <c r="E12" s="7" t="s">
        <v>92</v>
      </c>
      <c r="F12" s="7">
        <v>34</v>
      </c>
      <c r="G12" s="7">
        <v>12</v>
      </c>
      <c r="H12" s="7">
        <v>15</v>
      </c>
      <c r="I12" s="7">
        <v>1</v>
      </c>
      <c r="J12" s="7">
        <v>1000000</v>
      </c>
    </row>
    <row r="13" spans="1:10" x14ac:dyDescent="0.2">
      <c r="A13" s="7">
        <v>10</v>
      </c>
      <c r="B13" s="7" t="s">
        <v>91</v>
      </c>
      <c r="C13" s="7">
        <v>1</v>
      </c>
      <c r="D13" s="7">
        <v>1</v>
      </c>
      <c r="E13" s="7" t="s">
        <v>93</v>
      </c>
      <c r="F13" s="7">
        <v>34</v>
      </c>
      <c r="G13" s="7">
        <v>12</v>
      </c>
      <c r="H13" s="7">
        <v>15</v>
      </c>
      <c r="I13" s="7">
        <v>1</v>
      </c>
      <c r="J13" s="7">
        <v>1000000</v>
      </c>
    </row>
    <row r="14" spans="1:10" x14ac:dyDescent="0.2">
      <c r="A14" s="7">
        <v>11</v>
      </c>
      <c r="B14" s="7" t="s">
        <v>91</v>
      </c>
      <c r="C14" s="7">
        <v>1</v>
      </c>
      <c r="D14" s="7">
        <v>1</v>
      </c>
      <c r="E14" s="7" t="s">
        <v>92</v>
      </c>
      <c r="F14" s="7">
        <v>35</v>
      </c>
      <c r="G14" s="7">
        <v>12</v>
      </c>
      <c r="H14" s="7">
        <v>15</v>
      </c>
      <c r="I14" s="7">
        <v>1</v>
      </c>
      <c r="J14" s="7">
        <v>1000000</v>
      </c>
    </row>
    <row r="15" spans="1:10" x14ac:dyDescent="0.2">
      <c r="A15" s="7">
        <v>12</v>
      </c>
      <c r="B15" s="7" t="s">
        <v>91</v>
      </c>
      <c r="C15" s="7">
        <v>1</v>
      </c>
      <c r="D15" s="7">
        <v>1</v>
      </c>
      <c r="E15" s="7" t="s">
        <v>93</v>
      </c>
      <c r="F15" s="7">
        <v>35</v>
      </c>
      <c r="G15" s="7">
        <v>12</v>
      </c>
      <c r="H15" s="7">
        <v>15</v>
      </c>
      <c r="I15" s="7">
        <v>1</v>
      </c>
      <c r="J15" s="7">
        <v>1000000</v>
      </c>
    </row>
    <row r="16" spans="1:10" x14ac:dyDescent="0.2">
      <c r="A16" s="7">
        <v>13</v>
      </c>
      <c r="B16" s="7" t="s">
        <v>91</v>
      </c>
      <c r="C16" s="7">
        <v>1</v>
      </c>
      <c r="D16" s="7">
        <v>1</v>
      </c>
      <c r="E16" s="7" t="s">
        <v>92</v>
      </c>
      <c r="F16" s="7">
        <v>36</v>
      </c>
      <c r="G16" s="7">
        <v>12</v>
      </c>
      <c r="H16" s="7">
        <v>15</v>
      </c>
      <c r="I16" s="7">
        <v>1</v>
      </c>
      <c r="J16" s="7">
        <v>1000000</v>
      </c>
    </row>
    <row r="17" spans="1:10" x14ac:dyDescent="0.2">
      <c r="A17" s="7">
        <v>14</v>
      </c>
      <c r="B17" s="7" t="s">
        <v>91</v>
      </c>
      <c r="C17" s="7">
        <v>1</v>
      </c>
      <c r="D17" s="7">
        <v>1</v>
      </c>
      <c r="E17" s="7" t="s">
        <v>93</v>
      </c>
      <c r="F17" s="7">
        <v>36</v>
      </c>
      <c r="G17" s="7">
        <v>12</v>
      </c>
      <c r="H17" s="7">
        <v>15</v>
      </c>
      <c r="I17" s="7">
        <v>1</v>
      </c>
      <c r="J17" s="7">
        <v>1000000</v>
      </c>
    </row>
    <row r="18" spans="1:10" x14ac:dyDescent="0.2">
      <c r="A18" s="7">
        <v>15</v>
      </c>
      <c r="B18" s="7" t="s">
        <v>91</v>
      </c>
      <c r="C18" s="7">
        <v>1</v>
      </c>
      <c r="D18" s="7">
        <v>1</v>
      </c>
      <c r="E18" s="7" t="s">
        <v>92</v>
      </c>
      <c r="F18" s="7">
        <v>37</v>
      </c>
      <c r="G18" s="7">
        <v>12</v>
      </c>
      <c r="H18" s="7">
        <v>15</v>
      </c>
      <c r="I18" s="7">
        <v>1</v>
      </c>
      <c r="J18" s="7">
        <v>1000000</v>
      </c>
    </row>
    <row r="19" spans="1:10" x14ac:dyDescent="0.2">
      <c r="A19" s="7">
        <v>16</v>
      </c>
      <c r="B19" s="7" t="s">
        <v>91</v>
      </c>
      <c r="C19" s="7">
        <v>1</v>
      </c>
      <c r="D19" s="7">
        <v>1</v>
      </c>
      <c r="E19" s="7" t="s">
        <v>93</v>
      </c>
      <c r="F19" s="7">
        <v>37</v>
      </c>
      <c r="G19" s="7">
        <v>12</v>
      </c>
      <c r="H19" s="7">
        <v>15</v>
      </c>
      <c r="I19" s="7">
        <v>1</v>
      </c>
      <c r="J19" s="7">
        <v>1000000</v>
      </c>
    </row>
    <row r="20" spans="1:10" x14ac:dyDescent="0.2">
      <c r="A20" s="7">
        <v>17</v>
      </c>
      <c r="B20" s="7" t="s">
        <v>91</v>
      </c>
      <c r="C20" s="7">
        <v>1</v>
      </c>
      <c r="D20" s="7">
        <v>1</v>
      </c>
      <c r="E20" s="7" t="s">
        <v>92</v>
      </c>
      <c r="F20" s="7">
        <v>38</v>
      </c>
      <c r="G20" s="7">
        <v>12</v>
      </c>
      <c r="H20" s="7">
        <v>15</v>
      </c>
      <c r="I20" s="7">
        <v>1</v>
      </c>
      <c r="J20" s="7">
        <v>1000000</v>
      </c>
    </row>
    <row r="21" spans="1:10" x14ac:dyDescent="0.2">
      <c r="A21" s="7">
        <v>18</v>
      </c>
      <c r="B21" s="7" t="s">
        <v>91</v>
      </c>
      <c r="C21" s="7">
        <v>1</v>
      </c>
      <c r="D21" s="7">
        <v>1</v>
      </c>
      <c r="E21" s="7" t="s">
        <v>93</v>
      </c>
      <c r="F21" s="7">
        <v>38</v>
      </c>
      <c r="G21" s="7">
        <v>12</v>
      </c>
      <c r="H21" s="7">
        <v>15</v>
      </c>
      <c r="I21" s="7">
        <v>1</v>
      </c>
      <c r="J21" s="7">
        <v>1000000</v>
      </c>
    </row>
    <row r="22" spans="1:10" x14ac:dyDescent="0.2">
      <c r="A22" s="7">
        <v>19</v>
      </c>
      <c r="B22" s="7" t="s">
        <v>91</v>
      </c>
      <c r="C22" s="7">
        <v>1</v>
      </c>
      <c r="D22" s="7">
        <v>1</v>
      </c>
      <c r="E22" s="7" t="s">
        <v>92</v>
      </c>
      <c r="F22" s="7">
        <v>39</v>
      </c>
      <c r="G22" s="7">
        <v>12</v>
      </c>
      <c r="H22" s="7">
        <v>15</v>
      </c>
      <c r="I22" s="7">
        <v>1</v>
      </c>
      <c r="J22" s="7">
        <v>1000000</v>
      </c>
    </row>
    <row r="23" spans="1:10" x14ac:dyDescent="0.2">
      <c r="A23" s="7">
        <v>20</v>
      </c>
      <c r="B23" s="7" t="s">
        <v>91</v>
      </c>
      <c r="C23" s="7">
        <v>1</v>
      </c>
      <c r="D23" s="7">
        <v>1</v>
      </c>
      <c r="E23" s="7" t="s">
        <v>93</v>
      </c>
      <c r="F23" s="7">
        <v>39</v>
      </c>
      <c r="G23" s="7">
        <v>12</v>
      </c>
      <c r="H23" s="7">
        <v>15</v>
      </c>
      <c r="I23" s="7">
        <v>1</v>
      </c>
      <c r="J23" s="7">
        <v>1000000</v>
      </c>
    </row>
    <row r="24" spans="1:10" x14ac:dyDescent="0.2">
      <c r="A24" s="7">
        <v>21</v>
      </c>
      <c r="B24" s="7" t="s">
        <v>91</v>
      </c>
      <c r="C24" s="7">
        <v>1</v>
      </c>
      <c r="D24" s="7">
        <v>1</v>
      </c>
      <c r="E24" s="7" t="s">
        <v>92</v>
      </c>
      <c r="F24" s="7">
        <v>40</v>
      </c>
      <c r="G24" s="7">
        <v>12</v>
      </c>
      <c r="H24" s="7">
        <v>15</v>
      </c>
      <c r="I24" s="7">
        <v>1</v>
      </c>
      <c r="J24" s="7">
        <v>1000000</v>
      </c>
    </row>
    <row r="25" spans="1:10" x14ac:dyDescent="0.2">
      <c r="A25" s="7">
        <v>22</v>
      </c>
      <c r="B25" s="7" t="s">
        <v>91</v>
      </c>
      <c r="C25" s="7">
        <v>1</v>
      </c>
      <c r="D25" s="7">
        <v>1</v>
      </c>
      <c r="E25" s="7" t="s">
        <v>93</v>
      </c>
      <c r="F25" s="7">
        <v>40</v>
      </c>
      <c r="G25" s="7">
        <v>12</v>
      </c>
      <c r="H25" s="7">
        <v>15</v>
      </c>
      <c r="I25" s="7">
        <v>1</v>
      </c>
      <c r="J25" s="7">
        <v>1000000</v>
      </c>
    </row>
    <row r="26" spans="1:10" x14ac:dyDescent="0.2">
      <c r="A26" s="7">
        <v>23</v>
      </c>
      <c r="B26" s="7" t="s">
        <v>91</v>
      </c>
      <c r="C26" s="7">
        <v>1</v>
      </c>
      <c r="D26" s="7">
        <v>1</v>
      </c>
      <c r="E26" s="7" t="s">
        <v>92</v>
      </c>
      <c r="F26" s="7">
        <v>41</v>
      </c>
      <c r="G26" s="7">
        <v>12</v>
      </c>
      <c r="H26" s="7">
        <v>15</v>
      </c>
      <c r="I26" s="7">
        <v>1</v>
      </c>
      <c r="J26" s="7">
        <v>1000000</v>
      </c>
    </row>
    <row r="27" spans="1:10" x14ac:dyDescent="0.2">
      <c r="A27" s="7">
        <v>24</v>
      </c>
      <c r="B27" s="7" t="s">
        <v>91</v>
      </c>
      <c r="C27" s="7">
        <v>1</v>
      </c>
      <c r="D27" s="7">
        <v>1</v>
      </c>
      <c r="E27" s="7" t="s">
        <v>93</v>
      </c>
      <c r="F27" s="7">
        <v>41</v>
      </c>
      <c r="G27" s="7">
        <v>12</v>
      </c>
      <c r="H27" s="7">
        <v>15</v>
      </c>
      <c r="I27" s="7">
        <v>1</v>
      </c>
      <c r="J27" s="7">
        <v>1000000</v>
      </c>
    </row>
    <row r="28" spans="1:10" x14ac:dyDescent="0.2">
      <c r="A28" s="7">
        <v>25</v>
      </c>
      <c r="B28" s="7" t="s">
        <v>91</v>
      </c>
      <c r="C28" s="7">
        <v>1</v>
      </c>
      <c r="D28" s="7">
        <v>1</v>
      </c>
      <c r="E28" s="7" t="s">
        <v>92</v>
      </c>
      <c r="F28" s="7">
        <v>42</v>
      </c>
      <c r="G28" s="7">
        <v>12</v>
      </c>
      <c r="H28" s="7">
        <v>15</v>
      </c>
      <c r="I28" s="7">
        <v>1</v>
      </c>
      <c r="J28" s="7">
        <v>1000000</v>
      </c>
    </row>
    <row r="29" spans="1:10" x14ac:dyDescent="0.2">
      <c r="A29" s="7">
        <v>26</v>
      </c>
      <c r="B29" s="7" t="s">
        <v>91</v>
      </c>
      <c r="C29" s="7">
        <v>1</v>
      </c>
      <c r="D29" s="7">
        <v>1</v>
      </c>
      <c r="E29" s="7" t="s">
        <v>93</v>
      </c>
      <c r="F29" s="7">
        <v>42</v>
      </c>
      <c r="G29" s="7">
        <v>12</v>
      </c>
      <c r="H29" s="7">
        <v>15</v>
      </c>
      <c r="I29" s="7">
        <v>1</v>
      </c>
      <c r="J29" s="7">
        <v>1000000</v>
      </c>
    </row>
    <row r="30" spans="1:10" x14ac:dyDescent="0.2">
      <c r="A30" s="7">
        <v>27</v>
      </c>
      <c r="B30" s="7" t="s">
        <v>91</v>
      </c>
      <c r="C30" s="7">
        <v>1</v>
      </c>
      <c r="D30" s="7">
        <v>1</v>
      </c>
      <c r="E30" s="7" t="s">
        <v>92</v>
      </c>
      <c r="F30" s="7">
        <v>43</v>
      </c>
      <c r="G30" s="7">
        <v>12</v>
      </c>
      <c r="H30" s="7">
        <v>15</v>
      </c>
      <c r="I30" s="7">
        <v>1</v>
      </c>
      <c r="J30" s="7">
        <v>1000000</v>
      </c>
    </row>
    <row r="31" spans="1:10" x14ac:dyDescent="0.2">
      <c r="A31" s="7">
        <v>28</v>
      </c>
      <c r="B31" s="7" t="s">
        <v>91</v>
      </c>
      <c r="C31" s="7">
        <v>1</v>
      </c>
      <c r="D31" s="7">
        <v>1</v>
      </c>
      <c r="E31" s="7" t="s">
        <v>93</v>
      </c>
      <c r="F31" s="7">
        <v>43</v>
      </c>
      <c r="G31" s="7">
        <v>12</v>
      </c>
      <c r="H31" s="7">
        <v>15</v>
      </c>
      <c r="I31" s="7">
        <v>1</v>
      </c>
      <c r="J31" s="7">
        <v>1000000</v>
      </c>
    </row>
    <row r="32" spans="1:10" x14ac:dyDescent="0.2">
      <c r="A32" s="7">
        <v>29</v>
      </c>
      <c r="B32" s="7" t="s">
        <v>91</v>
      </c>
      <c r="C32" s="7">
        <v>1</v>
      </c>
      <c r="D32" s="7">
        <v>1</v>
      </c>
      <c r="E32" s="7" t="s">
        <v>92</v>
      </c>
      <c r="F32" s="7">
        <v>44</v>
      </c>
      <c r="G32" s="7">
        <v>12</v>
      </c>
      <c r="H32" s="7">
        <v>15</v>
      </c>
      <c r="I32" s="7">
        <v>1</v>
      </c>
      <c r="J32" s="7">
        <v>1000000</v>
      </c>
    </row>
    <row r="33" spans="1:10" x14ac:dyDescent="0.2">
      <c r="A33" s="7">
        <v>30</v>
      </c>
      <c r="B33" s="7" t="s">
        <v>91</v>
      </c>
      <c r="C33" s="7">
        <v>1</v>
      </c>
      <c r="D33" s="7">
        <v>1</v>
      </c>
      <c r="E33" s="7" t="s">
        <v>93</v>
      </c>
      <c r="F33" s="7">
        <v>44</v>
      </c>
      <c r="G33" s="7">
        <v>12</v>
      </c>
      <c r="H33" s="7">
        <v>15</v>
      </c>
      <c r="I33" s="7">
        <v>1</v>
      </c>
      <c r="J33" s="7">
        <v>1000000</v>
      </c>
    </row>
    <row r="34" spans="1:10" x14ac:dyDescent="0.2">
      <c r="A34" s="7">
        <v>31</v>
      </c>
      <c r="B34" s="7" t="s">
        <v>91</v>
      </c>
      <c r="C34" s="7">
        <v>1</v>
      </c>
      <c r="D34" s="7">
        <v>1</v>
      </c>
      <c r="E34" s="7" t="s">
        <v>92</v>
      </c>
      <c r="F34" s="7">
        <v>45</v>
      </c>
      <c r="G34" s="7">
        <v>12</v>
      </c>
      <c r="H34" s="7">
        <v>15</v>
      </c>
      <c r="I34" s="7">
        <v>1</v>
      </c>
      <c r="J34" s="7">
        <v>1000000</v>
      </c>
    </row>
    <row r="35" spans="1:10" x14ac:dyDescent="0.2">
      <c r="A35" s="7">
        <v>32</v>
      </c>
      <c r="B35" s="7" t="s">
        <v>91</v>
      </c>
      <c r="C35" s="7">
        <v>1</v>
      </c>
      <c r="D35" s="7">
        <v>1</v>
      </c>
      <c r="E35" s="7" t="s">
        <v>93</v>
      </c>
      <c r="F35" s="7">
        <v>45</v>
      </c>
      <c r="G35" s="7">
        <v>12</v>
      </c>
      <c r="H35" s="7">
        <v>15</v>
      </c>
      <c r="I35" s="7">
        <v>1</v>
      </c>
      <c r="J35" s="7">
        <v>1000000</v>
      </c>
    </row>
    <row r="36" spans="1:10" x14ac:dyDescent="0.2">
      <c r="A36" s="7">
        <v>33</v>
      </c>
      <c r="B36" s="7" t="s">
        <v>91</v>
      </c>
      <c r="C36" s="7">
        <v>1</v>
      </c>
      <c r="D36" s="7">
        <v>1</v>
      </c>
      <c r="E36" s="7" t="s">
        <v>92</v>
      </c>
      <c r="F36" s="7">
        <v>46</v>
      </c>
      <c r="G36" s="7">
        <v>12</v>
      </c>
      <c r="H36" s="7">
        <v>15</v>
      </c>
      <c r="I36" s="7">
        <v>1</v>
      </c>
      <c r="J36" s="7">
        <v>1000000</v>
      </c>
    </row>
    <row r="37" spans="1:10" x14ac:dyDescent="0.2">
      <c r="A37" s="7">
        <v>34</v>
      </c>
      <c r="B37" s="7" t="s">
        <v>91</v>
      </c>
      <c r="C37" s="7">
        <v>1</v>
      </c>
      <c r="D37" s="7">
        <v>1</v>
      </c>
      <c r="E37" s="7" t="s">
        <v>93</v>
      </c>
      <c r="F37" s="7">
        <v>46</v>
      </c>
      <c r="G37" s="7">
        <v>12</v>
      </c>
      <c r="H37" s="7">
        <v>15</v>
      </c>
      <c r="I37" s="7">
        <v>1</v>
      </c>
      <c r="J37" s="7">
        <v>1000000</v>
      </c>
    </row>
    <row r="38" spans="1:10" x14ac:dyDescent="0.2">
      <c r="A38" s="7">
        <v>35</v>
      </c>
      <c r="B38" s="7" t="s">
        <v>91</v>
      </c>
      <c r="C38" s="7">
        <v>1</v>
      </c>
      <c r="D38" s="7">
        <v>1</v>
      </c>
      <c r="E38" s="7" t="s">
        <v>92</v>
      </c>
      <c r="F38" s="7">
        <v>47</v>
      </c>
      <c r="G38" s="7">
        <v>12</v>
      </c>
      <c r="H38" s="7">
        <v>15</v>
      </c>
      <c r="I38" s="7">
        <v>1</v>
      </c>
      <c r="J38" s="7">
        <v>1000000</v>
      </c>
    </row>
    <row r="39" spans="1:10" x14ac:dyDescent="0.2">
      <c r="A39" s="7">
        <v>36</v>
      </c>
      <c r="B39" s="7" t="s">
        <v>91</v>
      </c>
      <c r="C39" s="7">
        <v>1</v>
      </c>
      <c r="D39" s="7">
        <v>1</v>
      </c>
      <c r="E39" s="7" t="s">
        <v>93</v>
      </c>
      <c r="F39" s="7">
        <v>47</v>
      </c>
      <c r="G39" s="7">
        <v>12</v>
      </c>
      <c r="H39" s="7">
        <v>15</v>
      </c>
      <c r="I39" s="7">
        <v>1</v>
      </c>
      <c r="J39" s="7">
        <v>1000000</v>
      </c>
    </row>
    <row r="40" spans="1:10" x14ac:dyDescent="0.2">
      <c r="A40" s="7">
        <v>37</v>
      </c>
      <c r="B40" s="7" t="s">
        <v>91</v>
      </c>
      <c r="C40" s="7">
        <v>1</v>
      </c>
      <c r="D40" s="7">
        <v>1</v>
      </c>
      <c r="E40" s="7" t="s">
        <v>92</v>
      </c>
      <c r="F40" s="7">
        <v>48</v>
      </c>
      <c r="G40" s="7">
        <v>12</v>
      </c>
      <c r="H40" s="7">
        <v>15</v>
      </c>
      <c r="I40" s="7">
        <v>1</v>
      </c>
      <c r="J40" s="7">
        <v>1000000</v>
      </c>
    </row>
    <row r="41" spans="1:10" x14ac:dyDescent="0.2">
      <c r="A41" s="7">
        <v>38</v>
      </c>
      <c r="B41" s="7" t="s">
        <v>91</v>
      </c>
      <c r="C41" s="7">
        <v>1</v>
      </c>
      <c r="D41" s="7">
        <v>1</v>
      </c>
      <c r="E41" s="7" t="s">
        <v>93</v>
      </c>
      <c r="F41" s="7">
        <v>48</v>
      </c>
      <c r="G41" s="7">
        <v>12</v>
      </c>
      <c r="H41" s="7">
        <v>15</v>
      </c>
      <c r="I41" s="7">
        <v>1</v>
      </c>
      <c r="J41" s="7">
        <v>1000000</v>
      </c>
    </row>
    <row r="42" spans="1:10" x14ac:dyDescent="0.2">
      <c r="A42" s="7">
        <v>39</v>
      </c>
      <c r="B42" s="7" t="s">
        <v>91</v>
      </c>
      <c r="C42" s="7">
        <v>1</v>
      </c>
      <c r="D42" s="7">
        <v>1</v>
      </c>
      <c r="E42" s="7" t="s">
        <v>92</v>
      </c>
      <c r="F42" s="7">
        <v>49</v>
      </c>
      <c r="G42" s="7">
        <v>12</v>
      </c>
      <c r="H42" s="7">
        <v>15</v>
      </c>
      <c r="I42" s="7">
        <v>1</v>
      </c>
      <c r="J42" s="7">
        <v>1000000</v>
      </c>
    </row>
    <row r="43" spans="1:10" x14ac:dyDescent="0.2">
      <c r="A43" s="7">
        <v>40</v>
      </c>
      <c r="B43" s="7" t="s">
        <v>91</v>
      </c>
      <c r="C43" s="7">
        <v>1</v>
      </c>
      <c r="D43" s="7">
        <v>1</v>
      </c>
      <c r="E43" s="7" t="s">
        <v>93</v>
      </c>
      <c r="F43" s="7">
        <v>49</v>
      </c>
      <c r="G43" s="7">
        <v>12</v>
      </c>
      <c r="H43" s="7">
        <v>15</v>
      </c>
      <c r="I43" s="7">
        <v>1</v>
      </c>
      <c r="J43" s="7">
        <v>1000000</v>
      </c>
    </row>
    <row r="44" spans="1:10" x14ac:dyDescent="0.2">
      <c r="A44" s="7">
        <v>41</v>
      </c>
      <c r="B44" s="7" t="s">
        <v>91</v>
      </c>
      <c r="C44" s="7">
        <v>1</v>
      </c>
      <c r="D44" s="7">
        <v>1</v>
      </c>
      <c r="E44" s="7" t="s">
        <v>92</v>
      </c>
      <c r="F44" s="7">
        <v>50</v>
      </c>
      <c r="G44" s="7">
        <v>12</v>
      </c>
      <c r="H44" s="7">
        <v>15</v>
      </c>
      <c r="I44" s="7">
        <v>1</v>
      </c>
      <c r="J44" s="7">
        <v>1000000</v>
      </c>
    </row>
    <row r="45" spans="1:10" x14ac:dyDescent="0.2">
      <c r="A45" s="7">
        <v>42</v>
      </c>
      <c r="B45" s="7" t="s">
        <v>91</v>
      </c>
      <c r="C45" s="7">
        <v>1</v>
      </c>
      <c r="D45" s="7">
        <v>1</v>
      </c>
      <c r="E45" s="7" t="s">
        <v>93</v>
      </c>
      <c r="F45" s="7">
        <v>50</v>
      </c>
      <c r="G45" s="7">
        <v>12</v>
      </c>
      <c r="H45" s="7">
        <v>15</v>
      </c>
      <c r="I45" s="7">
        <v>1</v>
      </c>
      <c r="J45" s="7">
        <v>1000000</v>
      </c>
    </row>
    <row r="46" spans="1:10" x14ac:dyDescent="0.2">
      <c r="A46" s="7">
        <v>43</v>
      </c>
      <c r="B46" s="7" t="s">
        <v>91</v>
      </c>
      <c r="C46" s="7">
        <v>1</v>
      </c>
      <c r="D46" s="7">
        <v>1</v>
      </c>
      <c r="E46" s="7" t="s">
        <v>92</v>
      </c>
      <c r="F46" s="7">
        <v>51</v>
      </c>
      <c r="G46" s="7">
        <v>12</v>
      </c>
      <c r="H46" s="7">
        <v>15</v>
      </c>
      <c r="I46" s="7">
        <v>1</v>
      </c>
      <c r="J46" s="7">
        <v>1000000</v>
      </c>
    </row>
    <row r="47" spans="1:10" x14ac:dyDescent="0.2">
      <c r="A47" s="7">
        <v>44</v>
      </c>
      <c r="B47" s="7" t="s">
        <v>91</v>
      </c>
      <c r="C47" s="7">
        <v>1</v>
      </c>
      <c r="D47" s="7">
        <v>1</v>
      </c>
      <c r="E47" s="7" t="s">
        <v>93</v>
      </c>
      <c r="F47" s="7">
        <v>51</v>
      </c>
      <c r="G47" s="7">
        <v>12</v>
      </c>
      <c r="H47" s="7">
        <v>15</v>
      </c>
      <c r="I47" s="7">
        <v>1</v>
      </c>
      <c r="J47" s="7">
        <v>1000000</v>
      </c>
    </row>
    <row r="48" spans="1:10" x14ac:dyDescent="0.2">
      <c r="A48" s="7">
        <v>45</v>
      </c>
      <c r="B48" s="7" t="s">
        <v>91</v>
      </c>
      <c r="C48" s="7">
        <v>1</v>
      </c>
      <c r="D48" s="7">
        <v>1</v>
      </c>
      <c r="E48" s="7" t="s">
        <v>92</v>
      </c>
      <c r="F48" s="7">
        <v>52</v>
      </c>
      <c r="G48" s="7">
        <v>12</v>
      </c>
      <c r="H48" s="7">
        <v>15</v>
      </c>
      <c r="I48" s="7">
        <v>1</v>
      </c>
      <c r="J48" s="7">
        <v>1000000</v>
      </c>
    </row>
    <row r="49" spans="1:10" x14ac:dyDescent="0.2">
      <c r="A49" s="7">
        <v>46</v>
      </c>
      <c r="B49" s="7" t="s">
        <v>91</v>
      </c>
      <c r="C49" s="7">
        <v>1</v>
      </c>
      <c r="D49" s="7">
        <v>1</v>
      </c>
      <c r="E49" s="7" t="s">
        <v>93</v>
      </c>
      <c r="F49" s="7">
        <v>52</v>
      </c>
      <c r="G49" s="7">
        <v>12</v>
      </c>
      <c r="H49" s="7">
        <v>15</v>
      </c>
      <c r="I49" s="7">
        <v>1</v>
      </c>
      <c r="J49" s="7">
        <v>1000000</v>
      </c>
    </row>
    <row r="50" spans="1:10" x14ac:dyDescent="0.2">
      <c r="A50" s="7">
        <v>47</v>
      </c>
      <c r="B50" s="7" t="s">
        <v>91</v>
      </c>
      <c r="C50" s="7">
        <v>1</v>
      </c>
      <c r="D50" s="7">
        <v>1</v>
      </c>
      <c r="E50" s="7" t="s">
        <v>92</v>
      </c>
      <c r="F50" s="7">
        <v>53</v>
      </c>
      <c r="G50" s="7">
        <v>12</v>
      </c>
      <c r="H50" s="7">
        <v>15</v>
      </c>
      <c r="I50" s="7">
        <v>1</v>
      </c>
      <c r="J50" s="7">
        <v>1000000</v>
      </c>
    </row>
    <row r="51" spans="1:10" x14ac:dyDescent="0.2">
      <c r="A51" s="7">
        <v>48</v>
      </c>
      <c r="B51" s="7" t="s">
        <v>91</v>
      </c>
      <c r="C51" s="7">
        <v>1</v>
      </c>
      <c r="D51" s="7">
        <v>1</v>
      </c>
      <c r="E51" s="7" t="s">
        <v>93</v>
      </c>
      <c r="F51" s="7">
        <v>53</v>
      </c>
      <c r="G51" s="7">
        <v>12</v>
      </c>
      <c r="H51" s="7">
        <v>15</v>
      </c>
      <c r="I51" s="7">
        <v>1</v>
      </c>
      <c r="J51" s="7">
        <v>1000000</v>
      </c>
    </row>
    <row r="52" spans="1:10" x14ac:dyDescent="0.2">
      <c r="A52" s="7">
        <v>49</v>
      </c>
      <c r="B52" s="7" t="s">
        <v>91</v>
      </c>
      <c r="C52" s="7">
        <v>1</v>
      </c>
      <c r="D52" s="7">
        <v>1</v>
      </c>
      <c r="E52" s="7" t="s">
        <v>92</v>
      </c>
      <c r="F52" s="7">
        <v>54</v>
      </c>
      <c r="G52" s="7">
        <v>12</v>
      </c>
      <c r="H52" s="7">
        <v>15</v>
      </c>
      <c r="I52" s="7">
        <v>1</v>
      </c>
      <c r="J52" s="7">
        <v>1000000</v>
      </c>
    </row>
    <row r="53" spans="1:10" x14ac:dyDescent="0.2">
      <c r="A53" s="7">
        <v>50</v>
      </c>
      <c r="B53" s="7" t="s">
        <v>91</v>
      </c>
      <c r="C53" s="7">
        <v>1</v>
      </c>
      <c r="D53" s="7">
        <v>1</v>
      </c>
      <c r="E53" s="7" t="s">
        <v>93</v>
      </c>
      <c r="F53" s="7">
        <v>54</v>
      </c>
      <c r="G53" s="7">
        <v>12</v>
      </c>
      <c r="H53" s="7">
        <v>15</v>
      </c>
      <c r="I53" s="7">
        <v>1</v>
      </c>
      <c r="J53" s="7">
        <v>1000000</v>
      </c>
    </row>
    <row r="54" spans="1:10" x14ac:dyDescent="0.2">
      <c r="A54" s="7">
        <v>51</v>
      </c>
      <c r="B54" s="7" t="s">
        <v>91</v>
      </c>
      <c r="C54" s="7">
        <v>1</v>
      </c>
      <c r="D54" s="7">
        <v>1</v>
      </c>
      <c r="E54" s="7" t="s">
        <v>92</v>
      </c>
      <c r="F54" s="7">
        <v>55</v>
      </c>
      <c r="G54" s="7">
        <v>12</v>
      </c>
      <c r="H54" s="7">
        <v>15</v>
      </c>
      <c r="I54" s="7">
        <v>1</v>
      </c>
      <c r="J54" s="7">
        <v>1000000</v>
      </c>
    </row>
    <row r="55" spans="1:10" x14ac:dyDescent="0.2">
      <c r="A55" s="7">
        <v>52</v>
      </c>
      <c r="B55" s="7" t="s">
        <v>91</v>
      </c>
      <c r="C55" s="7">
        <v>1</v>
      </c>
      <c r="D55" s="7">
        <v>1</v>
      </c>
      <c r="E55" s="7" t="s">
        <v>93</v>
      </c>
      <c r="F55" s="7">
        <v>55</v>
      </c>
      <c r="G55" s="7">
        <v>12</v>
      </c>
      <c r="H55" s="7">
        <v>15</v>
      </c>
      <c r="I55" s="7">
        <v>1</v>
      </c>
      <c r="J55" s="7">
        <v>1000000</v>
      </c>
    </row>
    <row r="56" spans="1:10" x14ac:dyDescent="0.2">
      <c r="A56" s="7">
        <v>53</v>
      </c>
      <c r="B56" s="7" t="s">
        <v>91</v>
      </c>
      <c r="C56" s="7">
        <v>1</v>
      </c>
      <c r="D56" s="7">
        <v>1</v>
      </c>
      <c r="E56" s="7" t="s">
        <v>92</v>
      </c>
      <c r="F56" s="7">
        <v>56</v>
      </c>
      <c r="G56" s="7">
        <v>12</v>
      </c>
      <c r="H56" s="7">
        <v>15</v>
      </c>
      <c r="I56" s="7">
        <v>1</v>
      </c>
      <c r="J56" s="7">
        <v>1000000</v>
      </c>
    </row>
    <row r="57" spans="1:10" x14ac:dyDescent="0.2">
      <c r="A57" s="7">
        <v>54</v>
      </c>
      <c r="B57" s="7" t="s">
        <v>91</v>
      </c>
      <c r="C57" s="7">
        <v>1</v>
      </c>
      <c r="D57" s="7">
        <v>1</v>
      </c>
      <c r="E57" s="7" t="s">
        <v>93</v>
      </c>
      <c r="F57" s="7">
        <v>56</v>
      </c>
      <c r="G57" s="7">
        <v>12</v>
      </c>
      <c r="H57" s="7">
        <v>15</v>
      </c>
      <c r="I57" s="7">
        <v>1</v>
      </c>
      <c r="J57" s="7">
        <v>1000000</v>
      </c>
    </row>
    <row r="58" spans="1:10" x14ac:dyDescent="0.2">
      <c r="A58" s="7">
        <v>55</v>
      </c>
      <c r="B58" s="7" t="s">
        <v>91</v>
      </c>
      <c r="C58" s="7">
        <v>1</v>
      </c>
      <c r="D58" s="7">
        <v>1</v>
      </c>
      <c r="E58" s="7" t="s">
        <v>92</v>
      </c>
      <c r="F58" s="7">
        <v>57</v>
      </c>
      <c r="G58" s="7">
        <v>12</v>
      </c>
      <c r="H58" s="7">
        <v>15</v>
      </c>
      <c r="I58" s="7">
        <v>1</v>
      </c>
      <c r="J58" s="7">
        <v>1000000</v>
      </c>
    </row>
    <row r="59" spans="1:10" x14ac:dyDescent="0.2">
      <c r="A59" s="7">
        <v>56</v>
      </c>
      <c r="B59" s="7" t="s">
        <v>91</v>
      </c>
      <c r="C59" s="7">
        <v>1</v>
      </c>
      <c r="D59" s="7">
        <v>1</v>
      </c>
      <c r="E59" s="7" t="s">
        <v>93</v>
      </c>
      <c r="F59" s="7">
        <v>57</v>
      </c>
      <c r="G59" s="7">
        <v>12</v>
      </c>
      <c r="H59" s="7">
        <v>15</v>
      </c>
      <c r="I59" s="7">
        <v>1</v>
      </c>
      <c r="J59" s="7">
        <v>1000000</v>
      </c>
    </row>
    <row r="60" spans="1:10" x14ac:dyDescent="0.2">
      <c r="A60" s="7">
        <v>57</v>
      </c>
      <c r="B60" s="7" t="s">
        <v>91</v>
      </c>
      <c r="C60" s="7">
        <v>1</v>
      </c>
      <c r="D60" s="7">
        <v>1</v>
      </c>
      <c r="E60" s="7" t="s">
        <v>92</v>
      </c>
      <c r="F60" s="7">
        <v>58</v>
      </c>
      <c r="G60" s="7">
        <v>12</v>
      </c>
      <c r="H60" s="7">
        <v>15</v>
      </c>
      <c r="I60" s="7">
        <v>1</v>
      </c>
      <c r="J60" s="7">
        <v>1000000</v>
      </c>
    </row>
    <row r="61" spans="1:10" x14ac:dyDescent="0.2">
      <c r="A61" s="7">
        <v>58</v>
      </c>
      <c r="B61" s="7" t="s">
        <v>91</v>
      </c>
      <c r="C61" s="7">
        <v>1</v>
      </c>
      <c r="D61" s="7">
        <v>1</v>
      </c>
      <c r="E61" s="7" t="s">
        <v>93</v>
      </c>
      <c r="F61" s="7">
        <v>58</v>
      </c>
      <c r="G61" s="7">
        <v>12</v>
      </c>
      <c r="H61" s="7">
        <v>15</v>
      </c>
      <c r="I61" s="7">
        <v>1</v>
      </c>
      <c r="J61" s="7">
        <v>1000000</v>
      </c>
    </row>
    <row r="62" spans="1:10" x14ac:dyDescent="0.2">
      <c r="A62" s="7">
        <v>59</v>
      </c>
      <c r="B62" s="7" t="s">
        <v>91</v>
      </c>
      <c r="C62" s="7">
        <v>1</v>
      </c>
      <c r="D62" s="7">
        <v>1</v>
      </c>
      <c r="E62" s="7" t="s">
        <v>92</v>
      </c>
      <c r="F62" s="7">
        <v>59</v>
      </c>
      <c r="G62" s="7">
        <v>12</v>
      </c>
      <c r="H62" s="7">
        <v>15</v>
      </c>
      <c r="I62" s="7">
        <v>1</v>
      </c>
      <c r="J62" s="7">
        <v>1000000</v>
      </c>
    </row>
    <row r="63" spans="1:10" x14ac:dyDescent="0.2">
      <c r="A63" s="7">
        <v>60</v>
      </c>
      <c r="B63" s="7" t="s">
        <v>91</v>
      </c>
      <c r="C63" s="7">
        <v>1</v>
      </c>
      <c r="D63" s="7">
        <v>1</v>
      </c>
      <c r="E63" s="7" t="s">
        <v>93</v>
      </c>
      <c r="F63" s="7">
        <v>59</v>
      </c>
      <c r="G63" s="7">
        <v>12</v>
      </c>
      <c r="H63" s="7">
        <v>15</v>
      </c>
      <c r="I63" s="7">
        <v>1</v>
      </c>
      <c r="J63" s="7">
        <v>1000000</v>
      </c>
    </row>
    <row r="64" spans="1:10" x14ac:dyDescent="0.2">
      <c r="A64" s="7">
        <v>61</v>
      </c>
      <c r="B64" s="7" t="s">
        <v>91</v>
      </c>
      <c r="C64" s="7">
        <v>1</v>
      </c>
      <c r="D64" s="7">
        <v>1</v>
      </c>
      <c r="E64" s="7" t="s">
        <v>92</v>
      </c>
      <c r="F64" s="7">
        <v>60</v>
      </c>
      <c r="G64" s="7">
        <v>12</v>
      </c>
      <c r="H64" s="7">
        <v>15</v>
      </c>
      <c r="I64" s="7">
        <v>1</v>
      </c>
      <c r="J64" s="7">
        <v>1000000</v>
      </c>
    </row>
    <row r="65" spans="1:10" x14ac:dyDescent="0.2">
      <c r="A65" s="7">
        <v>62</v>
      </c>
      <c r="B65" s="7" t="s">
        <v>91</v>
      </c>
      <c r="C65" s="7">
        <v>1</v>
      </c>
      <c r="D65" s="7">
        <v>1</v>
      </c>
      <c r="E65" s="7" t="s">
        <v>93</v>
      </c>
      <c r="F65" s="7">
        <v>60</v>
      </c>
      <c r="G65" s="7">
        <v>12</v>
      </c>
      <c r="H65" s="7">
        <v>15</v>
      </c>
      <c r="I65" s="7">
        <v>1</v>
      </c>
      <c r="J65" s="7">
        <v>1000000</v>
      </c>
    </row>
    <row r="66" spans="1:10" x14ac:dyDescent="0.2">
      <c r="A66" s="7">
        <v>63</v>
      </c>
      <c r="B66" s="7" t="s">
        <v>91</v>
      </c>
      <c r="C66" s="7">
        <v>1</v>
      </c>
      <c r="D66" s="7">
        <v>1</v>
      </c>
      <c r="E66" s="7" t="s">
        <v>92</v>
      </c>
      <c r="F66" s="7">
        <v>61</v>
      </c>
      <c r="G66" s="7">
        <v>12</v>
      </c>
      <c r="H66" s="7">
        <v>15</v>
      </c>
      <c r="I66" s="7">
        <v>1</v>
      </c>
      <c r="J66" s="7">
        <v>1000000</v>
      </c>
    </row>
    <row r="67" spans="1:10" x14ac:dyDescent="0.2">
      <c r="A67" s="7">
        <v>64</v>
      </c>
      <c r="B67" s="7" t="s">
        <v>91</v>
      </c>
      <c r="C67" s="7">
        <v>1</v>
      </c>
      <c r="D67" s="7">
        <v>1</v>
      </c>
      <c r="E67" s="7" t="s">
        <v>93</v>
      </c>
      <c r="F67" s="7">
        <v>61</v>
      </c>
      <c r="G67" s="7">
        <v>12</v>
      </c>
      <c r="H67" s="7">
        <v>15</v>
      </c>
      <c r="I67" s="7">
        <v>1</v>
      </c>
      <c r="J67" s="7">
        <v>1000000</v>
      </c>
    </row>
    <row r="68" spans="1:10" x14ac:dyDescent="0.2">
      <c r="A68" s="7">
        <v>65</v>
      </c>
      <c r="B68" s="7" t="s">
        <v>91</v>
      </c>
      <c r="C68" s="7">
        <v>1</v>
      </c>
      <c r="D68" s="7">
        <v>1</v>
      </c>
      <c r="E68" s="7" t="s">
        <v>92</v>
      </c>
      <c r="F68" s="7">
        <v>62</v>
      </c>
      <c r="G68" s="7">
        <v>12</v>
      </c>
      <c r="H68" s="7">
        <v>15</v>
      </c>
      <c r="I68" s="7">
        <v>1</v>
      </c>
      <c r="J68" s="7">
        <v>1000000</v>
      </c>
    </row>
    <row r="69" spans="1:10" x14ac:dyDescent="0.2">
      <c r="A69" s="7">
        <v>66</v>
      </c>
      <c r="B69" s="7" t="s">
        <v>91</v>
      </c>
      <c r="C69" s="7">
        <v>1</v>
      </c>
      <c r="D69" s="7">
        <v>1</v>
      </c>
      <c r="E69" s="7" t="s">
        <v>93</v>
      </c>
      <c r="F69" s="7">
        <v>62</v>
      </c>
      <c r="G69" s="7">
        <v>12</v>
      </c>
      <c r="H69" s="7">
        <v>15</v>
      </c>
      <c r="I69" s="7">
        <v>1</v>
      </c>
      <c r="J69" s="7">
        <v>1000000</v>
      </c>
    </row>
    <row r="70" spans="1:10" x14ac:dyDescent="0.2">
      <c r="A70" s="7">
        <v>67</v>
      </c>
      <c r="B70" s="7" t="s">
        <v>91</v>
      </c>
      <c r="C70" s="7">
        <v>1</v>
      </c>
      <c r="D70" s="7">
        <v>1</v>
      </c>
      <c r="E70" s="7" t="s">
        <v>92</v>
      </c>
      <c r="F70" s="7">
        <v>63</v>
      </c>
      <c r="G70" s="7">
        <v>12</v>
      </c>
      <c r="H70" s="7">
        <v>15</v>
      </c>
      <c r="I70" s="7">
        <v>1</v>
      </c>
      <c r="J70" s="7">
        <v>1000000</v>
      </c>
    </row>
    <row r="71" spans="1:10" x14ac:dyDescent="0.2">
      <c r="A71" s="7">
        <v>68</v>
      </c>
      <c r="B71" s="7" t="s">
        <v>91</v>
      </c>
      <c r="C71" s="7">
        <v>1</v>
      </c>
      <c r="D71" s="7">
        <v>1</v>
      </c>
      <c r="E71" s="7" t="s">
        <v>93</v>
      </c>
      <c r="F71" s="7">
        <v>63</v>
      </c>
      <c r="G71" s="7">
        <v>12</v>
      </c>
      <c r="H71" s="7">
        <v>15</v>
      </c>
      <c r="I71" s="7">
        <v>1</v>
      </c>
      <c r="J71" s="7">
        <v>1000000</v>
      </c>
    </row>
    <row r="72" spans="1:10" x14ac:dyDescent="0.2">
      <c r="A72" s="7">
        <v>69</v>
      </c>
      <c r="B72" s="7" t="s">
        <v>91</v>
      </c>
      <c r="C72" s="7">
        <v>1</v>
      </c>
      <c r="D72" s="7">
        <v>1</v>
      </c>
      <c r="E72" s="7" t="s">
        <v>92</v>
      </c>
      <c r="F72" s="7">
        <v>64</v>
      </c>
      <c r="G72" s="7">
        <v>12</v>
      </c>
      <c r="H72" s="7">
        <v>15</v>
      </c>
      <c r="I72" s="7">
        <v>1</v>
      </c>
      <c r="J72" s="7">
        <v>1000000</v>
      </c>
    </row>
    <row r="73" spans="1:10" x14ac:dyDescent="0.2">
      <c r="A73" s="7">
        <v>70</v>
      </c>
      <c r="B73" s="7" t="s">
        <v>91</v>
      </c>
      <c r="C73" s="7">
        <v>1</v>
      </c>
      <c r="D73" s="7">
        <v>1</v>
      </c>
      <c r="E73" s="7" t="s">
        <v>93</v>
      </c>
      <c r="F73" s="7">
        <v>64</v>
      </c>
      <c r="G73" s="7">
        <v>12</v>
      </c>
      <c r="H73" s="7">
        <v>15</v>
      </c>
      <c r="I73" s="7">
        <v>1</v>
      </c>
      <c r="J73" s="7">
        <v>1000000</v>
      </c>
    </row>
    <row r="74" spans="1:10" x14ac:dyDescent="0.2">
      <c r="A74" s="7">
        <v>71</v>
      </c>
      <c r="B74" s="7" t="s">
        <v>91</v>
      </c>
      <c r="C74" s="7">
        <v>1</v>
      </c>
      <c r="D74" s="7">
        <v>1</v>
      </c>
      <c r="E74" s="7" t="s">
        <v>92</v>
      </c>
      <c r="F74" s="7">
        <v>65</v>
      </c>
      <c r="G74" s="7">
        <v>12</v>
      </c>
      <c r="H74" s="7">
        <v>15</v>
      </c>
      <c r="I74" s="7">
        <v>1</v>
      </c>
      <c r="J74" s="7">
        <v>1000000</v>
      </c>
    </row>
    <row r="75" spans="1:10" x14ac:dyDescent="0.2">
      <c r="A75" s="7">
        <v>72</v>
      </c>
      <c r="B75" s="7" t="s">
        <v>91</v>
      </c>
      <c r="C75" s="7">
        <v>1</v>
      </c>
      <c r="D75" s="7">
        <v>1</v>
      </c>
      <c r="E75" s="7" t="s">
        <v>93</v>
      </c>
      <c r="F75" s="7">
        <v>65</v>
      </c>
      <c r="G75" s="7">
        <v>12</v>
      </c>
      <c r="H75" s="7">
        <v>15</v>
      </c>
      <c r="I75" s="7">
        <v>1</v>
      </c>
      <c r="J75" s="7">
        <v>1000000</v>
      </c>
    </row>
    <row r="76" spans="1:10" x14ac:dyDescent="0.2">
      <c r="A76" s="7">
        <v>73</v>
      </c>
      <c r="B76" s="7" t="s">
        <v>91</v>
      </c>
      <c r="C76" s="7">
        <v>1</v>
      </c>
      <c r="D76" s="7">
        <v>1</v>
      </c>
      <c r="E76" s="7" t="s">
        <v>92</v>
      </c>
      <c r="F76" s="7">
        <v>66</v>
      </c>
      <c r="G76" s="7">
        <v>12</v>
      </c>
      <c r="H76" s="7">
        <v>15</v>
      </c>
      <c r="I76" s="7">
        <v>1</v>
      </c>
      <c r="J76" s="7">
        <v>1000000</v>
      </c>
    </row>
    <row r="77" spans="1:10" x14ac:dyDescent="0.2">
      <c r="A77" s="7">
        <v>74</v>
      </c>
      <c r="B77" s="7" t="s">
        <v>91</v>
      </c>
      <c r="C77" s="7">
        <v>1</v>
      </c>
      <c r="D77" s="7">
        <v>1</v>
      </c>
      <c r="E77" s="7" t="s">
        <v>93</v>
      </c>
      <c r="F77" s="7">
        <v>66</v>
      </c>
      <c r="G77" s="7">
        <v>12</v>
      </c>
      <c r="H77" s="7">
        <v>15</v>
      </c>
      <c r="I77" s="7">
        <v>1</v>
      </c>
      <c r="J77" s="7">
        <v>1000000</v>
      </c>
    </row>
    <row r="78" spans="1:10" x14ac:dyDescent="0.2">
      <c r="A78" s="7">
        <v>75</v>
      </c>
      <c r="B78" s="7" t="s">
        <v>91</v>
      </c>
      <c r="C78" s="7">
        <v>1</v>
      </c>
      <c r="D78" s="7">
        <v>1</v>
      </c>
      <c r="E78" s="7" t="s">
        <v>92</v>
      </c>
      <c r="F78" s="7">
        <v>67</v>
      </c>
      <c r="G78" s="7">
        <v>12</v>
      </c>
      <c r="H78" s="7">
        <v>15</v>
      </c>
      <c r="I78" s="7">
        <v>1</v>
      </c>
      <c r="J78" s="7">
        <v>1000000</v>
      </c>
    </row>
    <row r="79" spans="1:10" x14ac:dyDescent="0.2">
      <c r="A79" s="7">
        <v>76</v>
      </c>
      <c r="B79" s="7" t="s">
        <v>91</v>
      </c>
      <c r="C79" s="7">
        <v>1</v>
      </c>
      <c r="D79" s="7">
        <v>1</v>
      </c>
      <c r="E79" s="7" t="s">
        <v>93</v>
      </c>
      <c r="F79" s="7">
        <v>67</v>
      </c>
      <c r="G79" s="7">
        <v>12</v>
      </c>
      <c r="H79" s="7">
        <v>15</v>
      </c>
      <c r="I79" s="7">
        <v>1</v>
      </c>
      <c r="J79" s="7">
        <v>1000000</v>
      </c>
    </row>
    <row r="80" spans="1:10" x14ac:dyDescent="0.2">
      <c r="A80" s="7">
        <v>77</v>
      </c>
      <c r="B80" s="7" t="s">
        <v>91</v>
      </c>
      <c r="C80" s="7">
        <v>1</v>
      </c>
      <c r="D80" s="7">
        <v>1</v>
      </c>
      <c r="E80" s="7" t="s">
        <v>92</v>
      </c>
      <c r="F80" s="7">
        <v>68</v>
      </c>
      <c r="G80" s="7">
        <v>12</v>
      </c>
      <c r="H80" s="7">
        <v>15</v>
      </c>
      <c r="I80" s="7">
        <v>1</v>
      </c>
      <c r="J80" s="7">
        <v>1000000</v>
      </c>
    </row>
    <row r="81" spans="1:10" x14ac:dyDescent="0.2">
      <c r="A81" s="7">
        <v>78</v>
      </c>
      <c r="B81" s="7" t="s">
        <v>91</v>
      </c>
      <c r="C81" s="7">
        <v>1</v>
      </c>
      <c r="D81" s="7">
        <v>1</v>
      </c>
      <c r="E81" s="7" t="s">
        <v>93</v>
      </c>
      <c r="F81" s="7">
        <v>68</v>
      </c>
      <c r="G81" s="7">
        <v>12</v>
      </c>
      <c r="H81" s="7">
        <v>15</v>
      </c>
      <c r="I81" s="7">
        <v>1</v>
      </c>
      <c r="J81" s="7">
        <v>1000000</v>
      </c>
    </row>
    <row r="82" spans="1:10" x14ac:dyDescent="0.2">
      <c r="A82" s="7">
        <v>79</v>
      </c>
      <c r="B82" s="7" t="s">
        <v>91</v>
      </c>
      <c r="C82" s="7">
        <v>1</v>
      </c>
      <c r="D82" s="7">
        <v>1</v>
      </c>
      <c r="E82" s="7" t="s">
        <v>92</v>
      </c>
      <c r="F82" s="7">
        <v>69</v>
      </c>
      <c r="G82" s="7">
        <v>12</v>
      </c>
      <c r="H82" s="7">
        <v>15</v>
      </c>
      <c r="I82" s="7">
        <v>1</v>
      </c>
      <c r="J82" s="7">
        <v>1000000</v>
      </c>
    </row>
    <row r="83" spans="1:10" x14ac:dyDescent="0.2">
      <c r="A83" s="7">
        <v>80</v>
      </c>
      <c r="B83" s="7" t="s">
        <v>91</v>
      </c>
      <c r="C83" s="7">
        <v>1</v>
      </c>
      <c r="D83" s="7">
        <v>1</v>
      </c>
      <c r="E83" s="7" t="s">
        <v>93</v>
      </c>
      <c r="F83" s="7">
        <v>69</v>
      </c>
      <c r="G83" s="7">
        <v>12</v>
      </c>
      <c r="H83" s="7">
        <v>15</v>
      </c>
      <c r="I83" s="7">
        <v>1</v>
      </c>
      <c r="J83" s="7">
        <v>1000000</v>
      </c>
    </row>
    <row r="84" spans="1:10" x14ac:dyDescent="0.2">
      <c r="A84" s="7">
        <v>81</v>
      </c>
      <c r="B84" s="7" t="s">
        <v>91</v>
      </c>
      <c r="C84" s="7">
        <v>1</v>
      </c>
      <c r="D84" s="7">
        <v>1</v>
      </c>
      <c r="E84" s="7" t="s">
        <v>92</v>
      </c>
      <c r="F84" s="7">
        <v>70</v>
      </c>
      <c r="G84" s="7">
        <v>12</v>
      </c>
      <c r="H84" s="7">
        <v>15</v>
      </c>
      <c r="I84" s="7">
        <v>1</v>
      </c>
      <c r="J84" s="7">
        <v>1000000</v>
      </c>
    </row>
    <row r="85" spans="1:10" x14ac:dyDescent="0.2">
      <c r="A85" s="7">
        <v>82</v>
      </c>
      <c r="B85" s="7" t="s">
        <v>91</v>
      </c>
      <c r="C85" s="7">
        <v>1</v>
      </c>
      <c r="D85" s="7">
        <v>1</v>
      </c>
      <c r="E85" s="7" t="s">
        <v>93</v>
      </c>
      <c r="F85" s="7">
        <v>70</v>
      </c>
      <c r="G85" s="7">
        <v>12</v>
      </c>
      <c r="H85" s="7">
        <v>15</v>
      </c>
      <c r="I85" s="7">
        <v>1</v>
      </c>
      <c r="J85" s="7">
        <v>1000000</v>
      </c>
    </row>
    <row r="86" spans="1:10" x14ac:dyDescent="0.2">
      <c r="A86" s="7">
        <v>83</v>
      </c>
      <c r="B86" s="7" t="s">
        <v>91</v>
      </c>
      <c r="C86" s="7">
        <v>1</v>
      </c>
      <c r="D86" s="7">
        <v>1</v>
      </c>
      <c r="E86" s="7" t="s">
        <v>92</v>
      </c>
      <c r="F86" s="7">
        <v>71</v>
      </c>
      <c r="G86" s="7">
        <v>12</v>
      </c>
      <c r="H86" s="7">
        <v>15</v>
      </c>
      <c r="I86" s="7">
        <v>1</v>
      </c>
      <c r="J86" s="7">
        <v>1000000</v>
      </c>
    </row>
    <row r="87" spans="1:10" x14ac:dyDescent="0.2">
      <c r="A87" s="7">
        <v>84</v>
      </c>
      <c r="B87" s="7" t="s">
        <v>91</v>
      </c>
      <c r="C87" s="7">
        <v>1</v>
      </c>
      <c r="D87" s="7">
        <v>1</v>
      </c>
      <c r="E87" s="7" t="s">
        <v>93</v>
      </c>
      <c r="F87" s="7">
        <v>71</v>
      </c>
      <c r="G87" s="7">
        <v>12</v>
      </c>
      <c r="H87" s="7">
        <v>15</v>
      </c>
      <c r="I87" s="7">
        <v>1</v>
      </c>
      <c r="J87" s="7">
        <v>1000000</v>
      </c>
    </row>
    <row r="88" spans="1:10" x14ac:dyDescent="0.2">
      <c r="A88" s="7">
        <v>85</v>
      </c>
      <c r="B88" s="7" t="s">
        <v>91</v>
      </c>
      <c r="C88" s="7">
        <v>1</v>
      </c>
      <c r="D88" s="7">
        <v>1</v>
      </c>
      <c r="E88" s="7" t="s">
        <v>92</v>
      </c>
      <c r="F88" s="7">
        <v>72</v>
      </c>
      <c r="G88" s="7">
        <v>12</v>
      </c>
      <c r="H88" s="7">
        <v>15</v>
      </c>
      <c r="I88" s="7">
        <v>1</v>
      </c>
      <c r="J88" s="7">
        <v>1000000</v>
      </c>
    </row>
    <row r="89" spans="1:10" x14ac:dyDescent="0.2">
      <c r="A89" s="7">
        <v>86</v>
      </c>
      <c r="B89" s="7" t="s">
        <v>91</v>
      </c>
      <c r="C89" s="7">
        <v>1</v>
      </c>
      <c r="D89" s="7">
        <v>1</v>
      </c>
      <c r="E89" s="7" t="s">
        <v>93</v>
      </c>
      <c r="F89" s="7">
        <v>72</v>
      </c>
      <c r="G89" s="7">
        <v>12</v>
      </c>
      <c r="H89" s="7">
        <v>15</v>
      </c>
      <c r="I89" s="7">
        <v>1</v>
      </c>
      <c r="J89" s="7">
        <v>1000000</v>
      </c>
    </row>
    <row r="90" spans="1:10" x14ac:dyDescent="0.2">
      <c r="A90" s="7">
        <v>87</v>
      </c>
      <c r="B90" s="7" t="s">
        <v>91</v>
      </c>
      <c r="C90" s="7">
        <v>1</v>
      </c>
      <c r="D90" s="7">
        <v>1</v>
      </c>
      <c r="E90" s="7" t="s">
        <v>92</v>
      </c>
      <c r="F90" s="7">
        <v>73</v>
      </c>
      <c r="G90" s="7">
        <v>12</v>
      </c>
      <c r="H90" s="7">
        <v>15</v>
      </c>
      <c r="I90" s="7">
        <v>1</v>
      </c>
      <c r="J90" s="7">
        <v>1000000</v>
      </c>
    </row>
    <row r="91" spans="1:10" x14ac:dyDescent="0.2">
      <c r="A91" s="7">
        <v>88</v>
      </c>
      <c r="B91" s="7" t="s">
        <v>91</v>
      </c>
      <c r="C91" s="7">
        <v>1</v>
      </c>
      <c r="D91" s="7">
        <v>1</v>
      </c>
      <c r="E91" s="7" t="s">
        <v>93</v>
      </c>
      <c r="F91" s="7">
        <v>73</v>
      </c>
      <c r="G91" s="7">
        <v>12</v>
      </c>
      <c r="H91" s="7">
        <v>15</v>
      </c>
      <c r="I91" s="7">
        <v>1</v>
      </c>
      <c r="J91" s="7">
        <v>1000000</v>
      </c>
    </row>
    <row r="92" spans="1:10" x14ac:dyDescent="0.2">
      <c r="A92" s="7">
        <v>89</v>
      </c>
      <c r="B92" s="7" t="s">
        <v>91</v>
      </c>
      <c r="C92" s="7">
        <v>1</v>
      </c>
      <c r="D92" s="7">
        <v>1</v>
      </c>
      <c r="E92" s="7" t="s">
        <v>92</v>
      </c>
      <c r="F92" s="7">
        <v>74</v>
      </c>
      <c r="G92" s="7">
        <v>12</v>
      </c>
      <c r="H92" s="7">
        <v>15</v>
      </c>
      <c r="I92" s="7">
        <v>1</v>
      </c>
      <c r="J92" s="7">
        <v>1000000</v>
      </c>
    </row>
    <row r="93" spans="1:10" x14ac:dyDescent="0.2">
      <c r="A93" s="7">
        <v>90</v>
      </c>
      <c r="B93" s="7" t="s">
        <v>91</v>
      </c>
      <c r="C93" s="7">
        <v>1</v>
      </c>
      <c r="D93" s="7">
        <v>1</v>
      </c>
      <c r="E93" s="7" t="s">
        <v>93</v>
      </c>
      <c r="F93" s="7">
        <v>74</v>
      </c>
      <c r="G93" s="7">
        <v>12</v>
      </c>
      <c r="H93" s="7">
        <v>15</v>
      </c>
      <c r="I93" s="7">
        <v>1</v>
      </c>
      <c r="J93" s="7">
        <v>1000000</v>
      </c>
    </row>
    <row r="94" spans="1:10" x14ac:dyDescent="0.2">
      <c r="A94" s="7">
        <v>91</v>
      </c>
      <c r="B94" s="7" t="s">
        <v>91</v>
      </c>
      <c r="C94" s="7">
        <v>1</v>
      </c>
      <c r="D94" s="7">
        <v>1</v>
      </c>
      <c r="E94" s="7" t="s">
        <v>92</v>
      </c>
      <c r="F94" s="7">
        <v>75</v>
      </c>
      <c r="G94" s="7">
        <v>12</v>
      </c>
      <c r="H94" s="7">
        <v>15</v>
      </c>
      <c r="I94" s="7">
        <v>1</v>
      </c>
      <c r="J94" s="7">
        <v>1000000</v>
      </c>
    </row>
    <row r="95" spans="1:10" x14ac:dyDescent="0.2">
      <c r="A95" s="7">
        <v>92</v>
      </c>
      <c r="B95" s="7" t="s">
        <v>91</v>
      </c>
      <c r="C95" s="7">
        <v>1</v>
      </c>
      <c r="D95" s="7">
        <v>1</v>
      </c>
      <c r="E95" s="7" t="s">
        <v>93</v>
      </c>
      <c r="F95" s="7">
        <v>75</v>
      </c>
      <c r="G95" s="7">
        <v>12</v>
      </c>
      <c r="H95" s="7">
        <v>15</v>
      </c>
      <c r="I95" s="7">
        <v>1</v>
      </c>
      <c r="J95" s="7">
        <v>1000000</v>
      </c>
    </row>
    <row r="96" spans="1:10" x14ac:dyDescent="0.2">
      <c r="A96" s="7">
        <v>93</v>
      </c>
      <c r="B96" s="7" t="s">
        <v>91</v>
      </c>
      <c r="C96" s="7">
        <v>1</v>
      </c>
      <c r="D96" s="7">
        <v>1</v>
      </c>
      <c r="E96" s="7" t="s">
        <v>92</v>
      </c>
      <c r="F96" s="7">
        <v>76</v>
      </c>
      <c r="G96" s="7">
        <v>12</v>
      </c>
      <c r="H96" s="7">
        <v>15</v>
      </c>
      <c r="I96" s="7">
        <v>1</v>
      </c>
      <c r="J96" s="7">
        <v>1000000</v>
      </c>
    </row>
    <row r="97" spans="1:10" x14ac:dyDescent="0.2">
      <c r="A97" s="7">
        <v>94</v>
      </c>
      <c r="B97" s="7" t="s">
        <v>91</v>
      </c>
      <c r="C97" s="7">
        <v>1</v>
      </c>
      <c r="D97" s="7">
        <v>1</v>
      </c>
      <c r="E97" s="7" t="s">
        <v>93</v>
      </c>
      <c r="F97" s="7">
        <v>76</v>
      </c>
      <c r="G97" s="7">
        <v>12</v>
      </c>
      <c r="H97" s="7">
        <v>15</v>
      </c>
      <c r="I97" s="7">
        <v>1</v>
      </c>
      <c r="J97" s="7">
        <v>1000000</v>
      </c>
    </row>
    <row r="98" spans="1:10" x14ac:dyDescent="0.2">
      <c r="A98" s="7">
        <v>95</v>
      </c>
      <c r="B98" s="7" t="s">
        <v>91</v>
      </c>
      <c r="C98" s="7">
        <v>1</v>
      </c>
      <c r="D98" s="7">
        <v>1</v>
      </c>
      <c r="E98" s="7" t="s">
        <v>92</v>
      </c>
      <c r="F98" s="7">
        <v>77</v>
      </c>
      <c r="G98" s="7">
        <v>12</v>
      </c>
      <c r="H98" s="7">
        <v>15</v>
      </c>
      <c r="I98" s="7">
        <v>1</v>
      </c>
      <c r="J98" s="7">
        <v>1000000</v>
      </c>
    </row>
    <row r="99" spans="1:10" x14ac:dyDescent="0.2">
      <c r="A99" s="7">
        <v>96</v>
      </c>
      <c r="B99" s="7" t="s">
        <v>91</v>
      </c>
      <c r="C99" s="7">
        <v>1</v>
      </c>
      <c r="D99" s="7">
        <v>1</v>
      </c>
      <c r="E99" s="7" t="s">
        <v>93</v>
      </c>
      <c r="F99" s="7">
        <v>77</v>
      </c>
      <c r="G99" s="7">
        <v>12</v>
      </c>
      <c r="H99" s="7">
        <v>15</v>
      </c>
      <c r="I99" s="7">
        <v>1</v>
      </c>
      <c r="J99" s="7">
        <v>1000000</v>
      </c>
    </row>
    <row r="100" spans="1:10" x14ac:dyDescent="0.2">
      <c r="A100" s="7">
        <v>97</v>
      </c>
      <c r="B100" s="7" t="s">
        <v>91</v>
      </c>
      <c r="C100" s="7">
        <v>1</v>
      </c>
      <c r="D100" s="7">
        <v>1</v>
      </c>
      <c r="E100" s="7" t="s">
        <v>92</v>
      </c>
      <c r="F100" s="7">
        <v>78</v>
      </c>
      <c r="G100" s="7">
        <v>12</v>
      </c>
      <c r="H100" s="7">
        <v>15</v>
      </c>
      <c r="I100" s="7">
        <v>1</v>
      </c>
      <c r="J100" s="7">
        <v>1000000</v>
      </c>
    </row>
    <row r="101" spans="1:10" x14ac:dyDescent="0.2">
      <c r="A101" s="7">
        <v>98</v>
      </c>
      <c r="B101" s="7" t="s">
        <v>91</v>
      </c>
      <c r="C101" s="7">
        <v>1</v>
      </c>
      <c r="D101" s="7">
        <v>1</v>
      </c>
      <c r="E101" s="7" t="s">
        <v>93</v>
      </c>
      <c r="F101" s="7">
        <v>78</v>
      </c>
      <c r="G101" s="7">
        <v>12</v>
      </c>
      <c r="H101" s="7">
        <v>15</v>
      </c>
      <c r="I101" s="7">
        <v>1</v>
      </c>
      <c r="J101" s="7">
        <v>1000000</v>
      </c>
    </row>
    <row r="102" spans="1:10" x14ac:dyDescent="0.2">
      <c r="A102" s="7">
        <v>99</v>
      </c>
      <c r="B102" s="7" t="s">
        <v>91</v>
      </c>
      <c r="C102" s="7">
        <v>1</v>
      </c>
      <c r="D102" s="7">
        <v>1</v>
      </c>
      <c r="E102" s="7" t="s">
        <v>92</v>
      </c>
      <c r="F102" s="7">
        <v>79</v>
      </c>
      <c r="G102" s="7">
        <v>12</v>
      </c>
      <c r="H102" s="7">
        <v>15</v>
      </c>
      <c r="I102" s="7">
        <v>1</v>
      </c>
      <c r="J102" s="7">
        <v>1000000</v>
      </c>
    </row>
    <row r="103" spans="1:10" x14ac:dyDescent="0.2">
      <c r="A103" s="7">
        <v>100</v>
      </c>
      <c r="B103" s="7" t="s">
        <v>91</v>
      </c>
      <c r="C103" s="7">
        <v>1</v>
      </c>
      <c r="D103" s="7">
        <v>1</v>
      </c>
      <c r="E103" s="7" t="s">
        <v>93</v>
      </c>
      <c r="F103" s="7">
        <v>79</v>
      </c>
      <c r="G103" s="7">
        <v>12</v>
      </c>
      <c r="H103" s="7">
        <v>15</v>
      </c>
      <c r="I103" s="7">
        <v>1</v>
      </c>
      <c r="J103" s="7">
        <v>1000000</v>
      </c>
    </row>
    <row r="104" spans="1:10" x14ac:dyDescent="0.2">
      <c r="A104" s="7">
        <v>101</v>
      </c>
      <c r="B104" s="7" t="s">
        <v>94</v>
      </c>
      <c r="C104" s="7">
        <v>1</v>
      </c>
      <c r="D104" s="7">
        <v>1</v>
      </c>
      <c r="E104" s="7" t="s">
        <v>92</v>
      </c>
      <c r="F104" s="7">
        <v>15</v>
      </c>
      <c r="G104" s="7">
        <v>12</v>
      </c>
      <c r="H104" s="7">
        <v>115</v>
      </c>
      <c r="I104" s="7">
        <v>1</v>
      </c>
      <c r="J104" s="7">
        <v>1000000</v>
      </c>
    </row>
    <row r="105" spans="1:10" x14ac:dyDescent="0.2">
      <c r="A105" s="7">
        <v>102</v>
      </c>
      <c r="B105" s="7" t="s">
        <v>94</v>
      </c>
      <c r="C105" s="7">
        <v>1</v>
      </c>
      <c r="D105" s="7">
        <v>1</v>
      </c>
      <c r="E105" s="7" t="s">
        <v>93</v>
      </c>
      <c r="F105" s="7">
        <v>15</v>
      </c>
      <c r="G105" s="7">
        <v>12</v>
      </c>
      <c r="H105" s="7">
        <v>115</v>
      </c>
      <c r="I105" s="7">
        <v>1</v>
      </c>
      <c r="J105" s="7">
        <v>1000000</v>
      </c>
    </row>
    <row r="106" spans="1:10" x14ac:dyDescent="0.2">
      <c r="A106" s="7">
        <v>103</v>
      </c>
      <c r="B106" s="7" t="s">
        <v>94</v>
      </c>
      <c r="C106" s="7">
        <v>1</v>
      </c>
      <c r="D106" s="7">
        <v>1</v>
      </c>
      <c r="E106" s="7" t="s">
        <v>92</v>
      </c>
      <c r="F106" s="7">
        <v>16</v>
      </c>
      <c r="G106" s="7">
        <v>12</v>
      </c>
      <c r="H106" s="7">
        <v>114</v>
      </c>
      <c r="I106" s="7">
        <v>1</v>
      </c>
      <c r="J106" s="7">
        <v>1000000</v>
      </c>
    </row>
    <row r="107" spans="1:10" x14ac:dyDescent="0.2">
      <c r="A107" s="7">
        <v>104</v>
      </c>
      <c r="B107" s="7" t="s">
        <v>94</v>
      </c>
      <c r="C107" s="7">
        <v>1</v>
      </c>
      <c r="D107" s="7">
        <v>1</v>
      </c>
      <c r="E107" s="7" t="s">
        <v>93</v>
      </c>
      <c r="F107" s="7">
        <v>16</v>
      </c>
      <c r="G107" s="7">
        <v>12</v>
      </c>
      <c r="H107" s="7">
        <v>114</v>
      </c>
      <c r="I107" s="7">
        <v>1</v>
      </c>
      <c r="J107" s="7">
        <v>1000000</v>
      </c>
    </row>
    <row r="108" spans="1:10" x14ac:dyDescent="0.2">
      <c r="A108" s="7">
        <v>105</v>
      </c>
      <c r="B108" s="7" t="s">
        <v>94</v>
      </c>
      <c r="C108" s="7">
        <v>1</v>
      </c>
      <c r="D108" s="7">
        <v>1</v>
      </c>
      <c r="E108" s="7" t="s">
        <v>92</v>
      </c>
      <c r="F108" s="7">
        <v>17</v>
      </c>
      <c r="G108" s="7">
        <v>12</v>
      </c>
      <c r="H108" s="7">
        <v>113</v>
      </c>
      <c r="I108" s="7">
        <v>1</v>
      </c>
      <c r="J108" s="7">
        <v>1000000</v>
      </c>
    </row>
    <row r="109" spans="1:10" x14ac:dyDescent="0.2">
      <c r="A109" s="7">
        <v>106</v>
      </c>
      <c r="B109" s="7" t="s">
        <v>94</v>
      </c>
      <c r="C109" s="7">
        <v>1</v>
      </c>
      <c r="D109" s="7">
        <v>1</v>
      </c>
      <c r="E109" s="7" t="s">
        <v>93</v>
      </c>
      <c r="F109" s="7">
        <v>17</v>
      </c>
      <c r="G109" s="7">
        <v>12</v>
      </c>
      <c r="H109" s="7">
        <v>113</v>
      </c>
      <c r="I109" s="7">
        <v>1</v>
      </c>
      <c r="J109" s="7">
        <v>1000000</v>
      </c>
    </row>
    <row r="110" spans="1:10" x14ac:dyDescent="0.2">
      <c r="A110" s="7">
        <v>107</v>
      </c>
      <c r="B110" s="7" t="s">
        <v>94</v>
      </c>
      <c r="C110" s="7">
        <v>1</v>
      </c>
      <c r="D110" s="7">
        <v>1</v>
      </c>
      <c r="E110" s="7" t="s">
        <v>92</v>
      </c>
      <c r="F110" s="7">
        <v>18</v>
      </c>
      <c r="G110" s="7">
        <v>12</v>
      </c>
      <c r="H110" s="7">
        <v>112</v>
      </c>
      <c r="I110" s="7">
        <v>1</v>
      </c>
      <c r="J110" s="7">
        <v>1000000</v>
      </c>
    </row>
    <row r="111" spans="1:10" x14ac:dyDescent="0.2">
      <c r="A111" s="7">
        <v>108</v>
      </c>
      <c r="B111" s="7" t="s">
        <v>94</v>
      </c>
      <c r="C111" s="7">
        <v>1</v>
      </c>
      <c r="D111" s="7">
        <v>1</v>
      </c>
      <c r="E111" s="7" t="s">
        <v>93</v>
      </c>
      <c r="F111" s="7">
        <v>18</v>
      </c>
      <c r="G111" s="7">
        <v>12</v>
      </c>
      <c r="H111" s="7">
        <v>112</v>
      </c>
      <c r="I111" s="7">
        <v>1</v>
      </c>
      <c r="J111" s="7">
        <v>1000000</v>
      </c>
    </row>
    <row r="112" spans="1:10" x14ac:dyDescent="0.2">
      <c r="A112" s="7">
        <v>109</v>
      </c>
      <c r="B112" s="7" t="s">
        <v>94</v>
      </c>
      <c r="C112" s="7">
        <v>1</v>
      </c>
      <c r="D112" s="7">
        <v>1</v>
      </c>
      <c r="E112" s="7" t="s">
        <v>92</v>
      </c>
      <c r="F112" s="7">
        <v>19</v>
      </c>
      <c r="G112" s="7">
        <v>12</v>
      </c>
      <c r="H112" s="7">
        <v>111</v>
      </c>
      <c r="I112" s="7">
        <v>1</v>
      </c>
      <c r="J112" s="7">
        <v>1000000</v>
      </c>
    </row>
    <row r="113" spans="1:10" x14ac:dyDescent="0.2">
      <c r="A113" s="7">
        <v>110</v>
      </c>
      <c r="B113" s="7" t="s">
        <v>94</v>
      </c>
      <c r="C113" s="7">
        <v>1</v>
      </c>
      <c r="D113" s="7">
        <v>1</v>
      </c>
      <c r="E113" s="7" t="s">
        <v>93</v>
      </c>
      <c r="F113" s="7">
        <v>19</v>
      </c>
      <c r="G113" s="7">
        <v>12</v>
      </c>
      <c r="H113" s="7">
        <v>111</v>
      </c>
      <c r="I113" s="7">
        <v>1</v>
      </c>
      <c r="J113" s="7">
        <v>1000000</v>
      </c>
    </row>
    <row r="114" spans="1:10" x14ac:dyDescent="0.2">
      <c r="A114" s="7">
        <v>111</v>
      </c>
      <c r="B114" s="7" t="s">
        <v>94</v>
      </c>
      <c r="C114" s="7">
        <v>1</v>
      </c>
      <c r="D114" s="7">
        <v>1</v>
      </c>
      <c r="E114" s="7" t="s">
        <v>92</v>
      </c>
      <c r="F114" s="7">
        <v>20</v>
      </c>
      <c r="G114" s="7">
        <v>12</v>
      </c>
      <c r="H114" s="7">
        <v>110</v>
      </c>
      <c r="I114" s="7">
        <v>1</v>
      </c>
      <c r="J114" s="7">
        <v>1000000</v>
      </c>
    </row>
    <row r="115" spans="1:10" x14ac:dyDescent="0.2">
      <c r="A115" s="7">
        <v>112</v>
      </c>
      <c r="B115" s="7" t="s">
        <v>94</v>
      </c>
      <c r="C115" s="7">
        <v>1</v>
      </c>
      <c r="D115" s="7">
        <v>1</v>
      </c>
      <c r="E115" s="7" t="s">
        <v>93</v>
      </c>
      <c r="F115" s="7">
        <v>20</v>
      </c>
      <c r="G115" s="7">
        <v>12</v>
      </c>
      <c r="H115" s="7">
        <v>110</v>
      </c>
      <c r="I115" s="7">
        <v>1</v>
      </c>
      <c r="J115" s="7">
        <v>1000000</v>
      </c>
    </row>
    <row r="116" spans="1:10" x14ac:dyDescent="0.2">
      <c r="A116" s="7">
        <v>113</v>
      </c>
      <c r="B116" s="7" t="s">
        <v>94</v>
      </c>
      <c r="C116" s="7">
        <v>1</v>
      </c>
      <c r="D116" s="7">
        <v>1</v>
      </c>
      <c r="E116" s="7" t="s">
        <v>92</v>
      </c>
      <c r="F116" s="7">
        <v>21</v>
      </c>
      <c r="G116" s="7">
        <v>12</v>
      </c>
      <c r="H116" s="7">
        <v>109</v>
      </c>
      <c r="I116" s="7">
        <v>1</v>
      </c>
      <c r="J116" s="7">
        <v>1000000</v>
      </c>
    </row>
    <row r="117" spans="1:10" x14ac:dyDescent="0.2">
      <c r="A117" s="7">
        <v>114</v>
      </c>
      <c r="B117" s="7" t="s">
        <v>94</v>
      </c>
      <c r="C117" s="7">
        <v>1</v>
      </c>
      <c r="D117" s="7">
        <v>1</v>
      </c>
      <c r="E117" s="7" t="s">
        <v>93</v>
      </c>
      <c r="F117" s="7">
        <v>21</v>
      </c>
      <c r="G117" s="7">
        <v>12</v>
      </c>
      <c r="H117" s="7">
        <v>109</v>
      </c>
      <c r="I117" s="7">
        <v>1</v>
      </c>
      <c r="J117" s="7">
        <v>1000000</v>
      </c>
    </row>
    <row r="118" spans="1:10" x14ac:dyDescent="0.2">
      <c r="A118" s="7">
        <v>115</v>
      </c>
      <c r="B118" s="7" t="s">
        <v>94</v>
      </c>
      <c r="C118" s="7">
        <v>1</v>
      </c>
      <c r="D118" s="7">
        <v>1</v>
      </c>
      <c r="E118" s="7" t="s">
        <v>92</v>
      </c>
      <c r="F118" s="7">
        <v>22</v>
      </c>
      <c r="G118" s="7">
        <v>12</v>
      </c>
      <c r="H118" s="7">
        <v>108</v>
      </c>
      <c r="I118" s="7">
        <v>1</v>
      </c>
      <c r="J118" s="7">
        <v>1000000</v>
      </c>
    </row>
    <row r="119" spans="1:10" x14ac:dyDescent="0.2">
      <c r="A119" s="7">
        <v>116</v>
      </c>
      <c r="B119" s="7" t="s">
        <v>94</v>
      </c>
      <c r="C119" s="7">
        <v>1</v>
      </c>
      <c r="D119" s="7">
        <v>1</v>
      </c>
      <c r="E119" s="7" t="s">
        <v>93</v>
      </c>
      <c r="F119" s="7">
        <v>22</v>
      </c>
      <c r="G119" s="7">
        <v>12</v>
      </c>
      <c r="H119" s="7">
        <v>108</v>
      </c>
      <c r="I119" s="7">
        <v>1</v>
      </c>
      <c r="J119" s="7">
        <v>1000000</v>
      </c>
    </row>
    <row r="120" spans="1:10" x14ac:dyDescent="0.2">
      <c r="A120" s="7">
        <v>117</v>
      </c>
      <c r="B120" s="7" t="s">
        <v>94</v>
      </c>
      <c r="C120" s="7">
        <v>1</v>
      </c>
      <c r="D120" s="7">
        <v>1</v>
      </c>
      <c r="E120" s="7" t="s">
        <v>92</v>
      </c>
      <c r="F120" s="7">
        <v>23</v>
      </c>
      <c r="G120" s="7">
        <v>12</v>
      </c>
      <c r="H120" s="7">
        <v>107</v>
      </c>
      <c r="I120" s="7">
        <v>1</v>
      </c>
      <c r="J120" s="7">
        <v>1000000</v>
      </c>
    </row>
    <row r="121" spans="1:10" x14ac:dyDescent="0.2">
      <c r="A121" s="7">
        <v>118</v>
      </c>
      <c r="B121" s="7" t="s">
        <v>94</v>
      </c>
      <c r="C121" s="7">
        <v>1</v>
      </c>
      <c r="D121" s="7">
        <v>1</v>
      </c>
      <c r="E121" s="7" t="s">
        <v>93</v>
      </c>
      <c r="F121" s="7">
        <v>23</v>
      </c>
      <c r="G121" s="7">
        <v>12</v>
      </c>
      <c r="H121" s="7">
        <v>107</v>
      </c>
      <c r="I121" s="7">
        <v>1</v>
      </c>
      <c r="J121" s="7">
        <v>1000000</v>
      </c>
    </row>
    <row r="122" spans="1:10" x14ac:dyDescent="0.2">
      <c r="A122" s="7">
        <v>119</v>
      </c>
      <c r="B122" s="7" t="s">
        <v>94</v>
      </c>
      <c r="C122" s="7">
        <v>1</v>
      </c>
      <c r="D122" s="7">
        <v>1</v>
      </c>
      <c r="E122" s="7" t="s">
        <v>92</v>
      </c>
      <c r="F122" s="7">
        <v>24</v>
      </c>
      <c r="G122" s="7">
        <v>12</v>
      </c>
      <c r="H122" s="7">
        <v>106</v>
      </c>
      <c r="I122" s="7">
        <v>1</v>
      </c>
      <c r="J122" s="7">
        <v>1000000</v>
      </c>
    </row>
    <row r="123" spans="1:10" x14ac:dyDescent="0.2">
      <c r="A123" s="7">
        <v>120</v>
      </c>
      <c r="B123" s="7" t="s">
        <v>94</v>
      </c>
      <c r="C123" s="7">
        <v>1</v>
      </c>
      <c r="D123" s="7">
        <v>1</v>
      </c>
      <c r="E123" s="7" t="s">
        <v>93</v>
      </c>
      <c r="F123" s="7">
        <v>24</v>
      </c>
      <c r="G123" s="7">
        <v>12</v>
      </c>
      <c r="H123" s="7">
        <v>106</v>
      </c>
      <c r="I123" s="7">
        <v>1</v>
      </c>
      <c r="J123" s="7">
        <v>1000000</v>
      </c>
    </row>
    <row r="124" spans="1:10" x14ac:dyDescent="0.2">
      <c r="A124" s="7">
        <v>121</v>
      </c>
      <c r="B124" s="7" t="s">
        <v>94</v>
      </c>
      <c r="C124" s="7">
        <v>1</v>
      </c>
      <c r="D124" s="7">
        <v>1</v>
      </c>
      <c r="E124" s="7" t="s">
        <v>92</v>
      </c>
      <c r="F124" s="7">
        <v>25</v>
      </c>
      <c r="G124" s="7">
        <v>12</v>
      </c>
      <c r="H124" s="7">
        <v>105</v>
      </c>
      <c r="I124" s="7">
        <v>1</v>
      </c>
      <c r="J124" s="7">
        <v>1000000</v>
      </c>
    </row>
    <row r="125" spans="1:10" x14ac:dyDescent="0.2">
      <c r="A125" s="7">
        <v>122</v>
      </c>
      <c r="B125" s="7" t="s">
        <v>94</v>
      </c>
      <c r="C125" s="7">
        <v>1</v>
      </c>
      <c r="D125" s="7">
        <v>1</v>
      </c>
      <c r="E125" s="7" t="s">
        <v>93</v>
      </c>
      <c r="F125" s="7">
        <v>25</v>
      </c>
      <c r="G125" s="7">
        <v>12</v>
      </c>
      <c r="H125" s="7">
        <v>105</v>
      </c>
      <c r="I125" s="7">
        <v>1</v>
      </c>
      <c r="J125" s="7">
        <v>1000000</v>
      </c>
    </row>
    <row r="126" spans="1:10" x14ac:dyDescent="0.2">
      <c r="A126" s="7">
        <v>123</v>
      </c>
      <c r="B126" s="7" t="s">
        <v>94</v>
      </c>
      <c r="C126" s="7">
        <v>1</v>
      </c>
      <c r="D126" s="7">
        <v>1</v>
      </c>
      <c r="E126" s="7" t="s">
        <v>92</v>
      </c>
      <c r="F126" s="7">
        <v>26</v>
      </c>
      <c r="G126" s="7">
        <v>12</v>
      </c>
      <c r="H126" s="7">
        <v>104</v>
      </c>
      <c r="I126" s="7">
        <v>1</v>
      </c>
      <c r="J126" s="7">
        <v>1000000</v>
      </c>
    </row>
    <row r="127" spans="1:10" x14ac:dyDescent="0.2">
      <c r="A127" s="7">
        <v>124</v>
      </c>
      <c r="B127" s="7" t="s">
        <v>94</v>
      </c>
      <c r="C127" s="7">
        <v>1</v>
      </c>
      <c r="D127" s="7">
        <v>1</v>
      </c>
      <c r="E127" s="7" t="s">
        <v>93</v>
      </c>
      <c r="F127" s="7">
        <v>26</v>
      </c>
      <c r="G127" s="7">
        <v>12</v>
      </c>
      <c r="H127" s="7">
        <v>104</v>
      </c>
      <c r="I127" s="7">
        <v>1</v>
      </c>
      <c r="J127" s="7">
        <v>1000000</v>
      </c>
    </row>
    <row r="128" spans="1:10" x14ac:dyDescent="0.2">
      <c r="A128" s="7">
        <v>125</v>
      </c>
      <c r="B128" s="7" t="s">
        <v>94</v>
      </c>
      <c r="C128" s="7">
        <v>1</v>
      </c>
      <c r="D128" s="7">
        <v>1</v>
      </c>
      <c r="E128" s="7" t="s">
        <v>92</v>
      </c>
      <c r="F128" s="7">
        <v>27</v>
      </c>
      <c r="G128" s="7">
        <v>12</v>
      </c>
      <c r="H128" s="7">
        <v>103</v>
      </c>
      <c r="I128" s="7">
        <v>1</v>
      </c>
      <c r="J128" s="7">
        <v>1000000</v>
      </c>
    </row>
    <row r="129" spans="1:10" x14ac:dyDescent="0.2">
      <c r="A129" s="7">
        <v>126</v>
      </c>
      <c r="B129" s="7" t="s">
        <v>94</v>
      </c>
      <c r="C129" s="7">
        <v>1</v>
      </c>
      <c r="D129" s="7">
        <v>1</v>
      </c>
      <c r="E129" s="7" t="s">
        <v>93</v>
      </c>
      <c r="F129" s="7">
        <v>27</v>
      </c>
      <c r="G129" s="7">
        <v>12</v>
      </c>
      <c r="H129" s="7">
        <v>103</v>
      </c>
      <c r="I129" s="7">
        <v>1</v>
      </c>
      <c r="J129" s="7">
        <v>1000000</v>
      </c>
    </row>
    <row r="130" spans="1:10" x14ac:dyDescent="0.2">
      <c r="A130" s="7">
        <v>127</v>
      </c>
      <c r="B130" s="7" t="s">
        <v>94</v>
      </c>
      <c r="C130" s="7">
        <v>1</v>
      </c>
      <c r="D130" s="7">
        <v>1</v>
      </c>
      <c r="E130" s="7" t="s">
        <v>92</v>
      </c>
      <c r="F130" s="7">
        <v>28</v>
      </c>
      <c r="G130" s="7">
        <v>12</v>
      </c>
      <c r="H130" s="7">
        <v>102</v>
      </c>
      <c r="I130" s="7">
        <v>1</v>
      </c>
      <c r="J130" s="7">
        <v>1000000</v>
      </c>
    </row>
    <row r="131" spans="1:10" x14ac:dyDescent="0.2">
      <c r="A131" s="7">
        <v>128</v>
      </c>
      <c r="B131" s="7" t="s">
        <v>94</v>
      </c>
      <c r="C131" s="7">
        <v>1</v>
      </c>
      <c r="D131" s="7">
        <v>1</v>
      </c>
      <c r="E131" s="7" t="s">
        <v>93</v>
      </c>
      <c r="F131" s="7">
        <v>28</v>
      </c>
      <c r="G131" s="7">
        <v>12</v>
      </c>
      <c r="H131" s="7">
        <v>102</v>
      </c>
      <c r="I131" s="7">
        <v>1</v>
      </c>
      <c r="J131" s="7">
        <v>1000000</v>
      </c>
    </row>
    <row r="132" spans="1:10" x14ac:dyDescent="0.2">
      <c r="A132" s="7">
        <v>129</v>
      </c>
      <c r="B132" s="7" t="s">
        <v>94</v>
      </c>
      <c r="C132" s="7">
        <v>1</v>
      </c>
      <c r="D132" s="7">
        <v>1</v>
      </c>
      <c r="E132" s="7" t="s">
        <v>92</v>
      </c>
      <c r="F132" s="7">
        <v>29</v>
      </c>
      <c r="G132" s="7">
        <v>12</v>
      </c>
      <c r="H132" s="7">
        <v>101</v>
      </c>
      <c r="I132" s="7">
        <v>1</v>
      </c>
      <c r="J132" s="7">
        <v>1000000</v>
      </c>
    </row>
    <row r="133" spans="1:10" x14ac:dyDescent="0.2">
      <c r="A133" s="7">
        <v>130</v>
      </c>
      <c r="B133" s="7" t="s">
        <v>94</v>
      </c>
      <c r="C133" s="7">
        <v>1</v>
      </c>
      <c r="D133" s="7">
        <v>1</v>
      </c>
      <c r="E133" s="7" t="s">
        <v>93</v>
      </c>
      <c r="F133" s="7">
        <v>29</v>
      </c>
      <c r="G133" s="7">
        <v>12</v>
      </c>
      <c r="H133" s="7">
        <v>101</v>
      </c>
      <c r="I133" s="7">
        <v>1</v>
      </c>
      <c r="J133" s="7">
        <v>1000000</v>
      </c>
    </row>
    <row r="134" spans="1:10" x14ac:dyDescent="0.2">
      <c r="A134" s="7">
        <v>131</v>
      </c>
      <c r="B134" s="7" t="s">
        <v>94</v>
      </c>
      <c r="C134" s="7">
        <v>1</v>
      </c>
      <c r="D134" s="7">
        <v>1</v>
      </c>
      <c r="E134" s="7" t="s">
        <v>92</v>
      </c>
      <c r="F134" s="7">
        <v>30</v>
      </c>
      <c r="G134" s="7">
        <v>12</v>
      </c>
      <c r="H134" s="7">
        <v>100</v>
      </c>
      <c r="I134" s="7">
        <v>1</v>
      </c>
      <c r="J134" s="7">
        <v>1000000</v>
      </c>
    </row>
    <row r="135" spans="1:10" x14ac:dyDescent="0.2">
      <c r="A135" s="7">
        <v>132</v>
      </c>
      <c r="B135" s="7" t="s">
        <v>94</v>
      </c>
      <c r="C135" s="7">
        <v>1</v>
      </c>
      <c r="D135" s="7">
        <v>1</v>
      </c>
      <c r="E135" s="7" t="s">
        <v>93</v>
      </c>
      <c r="F135" s="7">
        <v>30</v>
      </c>
      <c r="G135" s="7">
        <v>12</v>
      </c>
      <c r="H135" s="7">
        <v>100</v>
      </c>
      <c r="I135" s="7">
        <v>1</v>
      </c>
      <c r="J135" s="7">
        <v>1000000</v>
      </c>
    </row>
    <row r="136" spans="1:10" x14ac:dyDescent="0.2">
      <c r="A136" s="7">
        <v>133</v>
      </c>
      <c r="B136" s="7" t="s">
        <v>94</v>
      </c>
      <c r="C136" s="7">
        <v>1</v>
      </c>
      <c r="D136" s="7">
        <v>1</v>
      </c>
      <c r="E136" s="7" t="s">
        <v>92</v>
      </c>
      <c r="F136" s="7">
        <v>31</v>
      </c>
      <c r="G136" s="7">
        <v>12</v>
      </c>
      <c r="H136" s="7">
        <v>99</v>
      </c>
      <c r="I136" s="7">
        <v>1</v>
      </c>
      <c r="J136" s="7">
        <v>1000000</v>
      </c>
    </row>
    <row r="137" spans="1:10" x14ac:dyDescent="0.2">
      <c r="A137" s="7">
        <v>134</v>
      </c>
      <c r="B137" s="7" t="s">
        <v>94</v>
      </c>
      <c r="C137" s="7">
        <v>1</v>
      </c>
      <c r="D137" s="7">
        <v>1</v>
      </c>
      <c r="E137" s="7" t="s">
        <v>93</v>
      </c>
      <c r="F137" s="7">
        <v>31</v>
      </c>
      <c r="G137" s="7">
        <v>12</v>
      </c>
      <c r="H137" s="7">
        <v>99</v>
      </c>
      <c r="I137" s="7">
        <v>1</v>
      </c>
      <c r="J137" s="7">
        <v>1000000</v>
      </c>
    </row>
    <row r="138" spans="1:10" x14ac:dyDescent="0.2">
      <c r="A138" s="7">
        <v>135</v>
      </c>
      <c r="B138" s="7" t="s">
        <v>94</v>
      </c>
      <c r="C138" s="7">
        <v>1</v>
      </c>
      <c r="D138" s="7">
        <v>1</v>
      </c>
      <c r="E138" s="7" t="s">
        <v>92</v>
      </c>
      <c r="F138" s="7">
        <v>32</v>
      </c>
      <c r="G138" s="7">
        <v>12</v>
      </c>
      <c r="H138" s="7">
        <v>98</v>
      </c>
      <c r="I138" s="7">
        <v>1</v>
      </c>
      <c r="J138" s="7">
        <v>1000000</v>
      </c>
    </row>
    <row r="139" spans="1:10" x14ac:dyDescent="0.2">
      <c r="A139" s="7">
        <v>136</v>
      </c>
      <c r="B139" s="7" t="s">
        <v>94</v>
      </c>
      <c r="C139" s="7">
        <v>1</v>
      </c>
      <c r="D139" s="7">
        <v>1</v>
      </c>
      <c r="E139" s="7" t="s">
        <v>93</v>
      </c>
      <c r="F139" s="7">
        <v>32</v>
      </c>
      <c r="G139" s="7">
        <v>12</v>
      </c>
      <c r="H139" s="7">
        <v>98</v>
      </c>
      <c r="I139" s="7">
        <v>1</v>
      </c>
      <c r="J139" s="7">
        <v>1000000</v>
      </c>
    </row>
    <row r="140" spans="1:10" x14ac:dyDescent="0.2">
      <c r="A140" s="7">
        <v>137</v>
      </c>
      <c r="B140" s="7" t="s">
        <v>94</v>
      </c>
      <c r="C140" s="7">
        <v>1</v>
      </c>
      <c r="D140" s="7">
        <v>1</v>
      </c>
      <c r="E140" s="7" t="s">
        <v>92</v>
      </c>
      <c r="F140" s="7">
        <v>33</v>
      </c>
      <c r="G140" s="7">
        <v>12</v>
      </c>
      <c r="H140" s="7">
        <v>97</v>
      </c>
      <c r="I140" s="7">
        <v>1</v>
      </c>
      <c r="J140" s="7">
        <v>1000000</v>
      </c>
    </row>
    <row r="141" spans="1:10" x14ac:dyDescent="0.2">
      <c r="A141" s="7">
        <v>138</v>
      </c>
      <c r="B141" s="7" t="s">
        <v>94</v>
      </c>
      <c r="C141" s="7">
        <v>1</v>
      </c>
      <c r="D141" s="7">
        <v>1</v>
      </c>
      <c r="E141" s="7" t="s">
        <v>93</v>
      </c>
      <c r="F141" s="7">
        <v>33</v>
      </c>
      <c r="G141" s="7">
        <v>12</v>
      </c>
      <c r="H141" s="7">
        <v>97</v>
      </c>
      <c r="I141" s="7">
        <v>1</v>
      </c>
      <c r="J141" s="7">
        <v>1000000</v>
      </c>
    </row>
    <row r="142" spans="1:10" x14ac:dyDescent="0.2">
      <c r="A142" s="7">
        <v>139</v>
      </c>
      <c r="B142" s="7" t="s">
        <v>94</v>
      </c>
      <c r="C142" s="7">
        <v>1</v>
      </c>
      <c r="D142" s="7">
        <v>1</v>
      </c>
      <c r="E142" s="7" t="s">
        <v>92</v>
      </c>
      <c r="F142" s="7">
        <v>34</v>
      </c>
      <c r="G142" s="7">
        <v>12</v>
      </c>
      <c r="H142" s="7">
        <v>96</v>
      </c>
      <c r="I142" s="7">
        <v>1</v>
      </c>
      <c r="J142" s="7">
        <v>1000000</v>
      </c>
    </row>
    <row r="143" spans="1:10" x14ac:dyDescent="0.2">
      <c r="A143" s="7">
        <v>140</v>
      </c>
      <c r="B143" s="7" t="s">
        <v>94</v>
      </c>
      <c r="C143" s="7">
        <v>1</v>
      </c>
      <c r="D143" s="7">
        <v>1</v>
      </c>
      <c r="E143" s="7" t="s">
        <v>93</v>
      </c>
      <c r="F143" s="7">
        <v>34</v>
      </c>
      <c r="G143" s="7">
        <v>12</v>
      </c>
      <c r="H143" s="7">
        <v>96</v>
      </c>
      <c r="I143" s="7">
        <v>1</v>
      </c>
      <c r="J143" s="7">
        <v>1000000</v>
      </c>
    </row>
    <row r="144" spans="1:10" x14ac:dyDescent="0.2">
      <c r="A144" s="7">
        <v>141</v>
      </c>
      <c r="B144" s="7" t="s">
        <v>94</v>
      </c>
      <c r="C144" s="7">
        <v>1</v>
      </c>
      <c r="D144" s="7">
        <v>1</v>
      </c>
      <c r="E144" s="7" t="s">
        <v>92</v>
      </c>
      <c r="F144" s="7">
        <v>35</v>
      </c>
      <c r="G144" s="7">
        <v>12</v>
      </c>
      <c r="H144" s="7">
        <v>95</v>
      </c>
      <c r="I144" s="7">
        <v>1</v>
      </c>
      <c r="J144" s="7">
        <v>1000000</v>
      </c>
    </row>
    <row r="145" spans="1:10" x14ac:dyDescent="0.2">
      <c r="A145" s="7">
        <v>142</v>
      </c>
      <c r="B145" s="7" t="s">
        <v>94</v>
      </c>
      <c r="C145" s="7">
        <v>1</v>
      </c>
      <c r="D145" s="7">
        <v>1</v>
      </c>
      <c r="E145" s="7" t="s">
        <v>93</v>
      </c>
      <c r="F145" s="7">
        <v>35</v>
      </c>
      <c r="G145" s="7">
        <v>12</v>
      </c>
      <c r="H145" s="7">
        <v>95</v>
      </c>
      <c r="I145" s="7">
        <v>1</v>
      </c>
      <c r="J145" s="7">
        <v>1000000</v>
      </c>
    </row>
    <row r="146" spans="1:10" x14ac:dyDescent="0.2">
      <c r="A146" s="7">
        <v>143</v>
      </c>
      <c r="B146" s="7" t="s">
        <v>94</v>
      </c>
      <c r="C146" s="7">
        <v>1</v>
      </c>
      <c r="D146" s="7">
        <v>1</v>
      </c>
      <c r="E146" s="7" t="s">
        <v>92</v>
      </c>
      <c r="F146" s="7">
        <v>36</v>
      </c>
      <c r="G146" s="7">
        <v>12</v>
      </c>
      <c r="H146" s="7">
        <v>94</v>
      </c>
      <c r="I146" s="7">
        <v>1</v>
      </c>
      <c r="J146" s="7">
        <v>1000000</v>
      </c>
    </row>
    <row r="147" spans="1:10" x14ac:dyDescent="0.2">
      <c r="A147" s="7">
        <v>144</v>
      </c>
      <c r="B147" s="7" t="s">
        <v>94</v>
      </c>
      <c r="C147" s="7">
        <v>1</v>
      </c>
      <c r="D147" s="7">
        <v>1</v>
      </c>
      <c r="E147" s="7" t="s">
        <v>93</v>
      </c>
      <c r="F147" s="7">
        <v>36</v>
      </c>
      <c r="G147" s="7">
        <v>12</v>
      </c>
      <c r="H147" s="7">
        <v>94</v>
      </c>
      <c r="I147" s="7">
        <v>1</v>
      </c>
      <c r="J147" s="7">
        <v>1000000</v>
      </c>
    </row>
    <row r="148" spans="1:10" x14ac:dyDescent="0.2">
      <c r="A148" s="7">
        <v>145</v>
      </c>
      <c r="B148" s="7" t="s">
        <v>94</v>
      </c>
      <c r="C148" s="7">
        <v>1</v>
      </c>
      <c r="D148" s="7">
        <v>1</v>
      </c>
      <c r="E148" s="7" t="s">
        <v>92</v>
      </c>
      <c r="F148" s="7">
        <v>37</v>
      </c>
      <c r="G148" s="7">
        <v>12</v>
      </c>
      <c r="H148" s="7">
        <v>93</v>
      </c>
      <c r="I148" s="7">
        <v>1</v>
      </c>
      <c r="J148" s="7">
        <v>1000000</v>
      </c>
    </row>
    <row r="149" spans="1:10" x14ac:dyDescent="0.2">
      <c r="A149" s="7">
        <v>146</v>
      </c>
      <c r="B149" s="7" t="s">
        <v>94</v>
      </c>
      <c r="C149" s="7">
        <v>1</v>
      </c>
      <c r="D149" s="7">
        <v>1</v>
      </c>
      <c r="E149" s="7" t="s">
        <v>93</v>
      </c>
      <c r="F149" s="7">
        <v>37</v>
      </c>
      <c r="G149" s="7">
        <v>12</v>
      </c>
      <c r="H149" s="7">
        <v>93</v>
      </c>
      <c r="I149" s="7">
        <v>1</v>
      </c>
      <c r="J149" s="7">
        <v>1000000</v>
      </c>
    </row>
    <row r="150" spans="1:10" x14ac:dyDescent="0.2">
      <c r="A150" s="7">
        <v>147</v>
      </c>
      <c r="B150" s="7" t="s">
        <v>94</v>
      </c>
      <c r="C150" s="7">
        <v>1</v>
      </c>
      <c r="D150" s="7">
        <v>1</v>
      </c>
      <c r="E150" s="7" t="s">
        <v>92</v>
      </c>
      <c r="F150" s="7">
        <v>38</v>
      </c>
      <c r="G150" s="7">
        <v>12</v>
      </c>
      <c r="H150" s="7">
        <v>92</v>
      </c>
      <c r="I150" s="7">
        <v>1</v>
      </c>
      <c r="J150" s="7">
        <v>1000000</v>
      </c>
    </row>
    <row r="151" spans="1:10" x14ac:dyDescent="0.2">
      <c r="A151" s="7">
        <v>148</v>
      </c>
      <c r="B151" s="7" t="s">
        <v>94</v>
      </c>
      <c r="C151" s="7">
        <v>1</v>
      </c>
      <c r="D151" s="7">
        <v>1</v>
      </c>
      <c r="E151" s="7" t="s">
        <v>93</v>
      </c>
      <c r="F151" s="7">
        <v>38</v>
      </c>
      <c r="G151" s="7">
        <v>12</v>
      </c>
      <c r="H151" s="7">
        <v>92</v>
      </c>
      <c r="I151" s="7">
        <v>1</v>
      </c>
      <c r="J151" s="7">
        <v>1000000</v>
      </c>
    </row>
    <row r="152" spans="1:10" x14ac:dyDescent="0.2">
      <c r="A152" s="7">
        <v>149</v>
      </c>
      <c r="B152" s="7" t="s">
        <v>94</v>
      </c>
      <c r="C152" s="7">
        <v>1</v>
      </c>
      <c r="D152" s="7">
        <v>1</v>
      </c>
      <c r="E152" s="7" t="s">
        <v>92</v>
      </c>
      <c r="F152" s="7">
        <v>39</v>
      </c>
      <c r="G152" s="7">
        <v>12</v>
      </c>
      <c r="H152" s="7">
        <v>91</v>
      </c>
      <c r="I152" s="7">
        <v>1</v>
      </c>
      <c r="J152" s="7">
        <v>1000000</v>
      </c>
    </row>
    <row r="153" spans="1:10" x14ac:dyDescent="0.2">
      <c r="A153" s="7">
        <v>150</v>
      </c>
      <c r="B153" s="7" t="s">
        <v>94</v>
      </c>
      <c r="C153" s="7">
        <v>1</v>
      </c>
      <c r="D153" s="7">
        <v>1</v>
      </c>
      <c r="E153" s="7" t="s">
        <v>93</v>
      </c>
      <c r="F153" s="7">
        <v>39</v>
      </c>
      <c r="G153" s="7">
        <v>12</v>
      </c>
      <c r="H153" s="7">
        <v>91</v>
      </c>
      <c r="I153" s="7">
        <v>1</v>
      </c>
      <c r="J153" s="7">
        <v>1000000</v>
      </c>
    </row>
    <row r="154" spans="1:10" x14ac:dyDescent="0.2">
      <c r="A154" s="7">
        <v>151</v>
      </c>
      <c r="B154" s="7" t="s">
        <v>94</v>
      </c>
      <c r="C154" s="7">
        <v>1</v>
      </c>
      <c r="D154" s="7">
        <v>1</v>
      </c>
      <c r="E154" s="7" t="s">
        <v>92</v>
      </c>
      <c r="F154" s="7">
        <v>40</v>
      </c>
      <c r="G154" s="7">
        <v>12</v>
      </c>
      <c r="H154" s="7">
        <v>90</v>
      </c>
      <c r="I154" s="7">
        <v>1</v>
      </c>
      <c r="J154" s="7">
        <v>1000000</v>
      </c>
    </row>
    <row r="155" spans="1:10" x14ac:dyDescent="0.2">
      <c r="A155" s="7">
        <v>152</v>
      </c>
      <c r="B155" s="7" t="s">
        <v>94</v>
      </c>
      <c r="C155" s="7">
        <v>1</v>
      </c>
      <c r="D155" s="7">
        <v>1</v>
      </c>
      <c r="E155" s="7" t="s">
        <v>93</v>
      </c>
      <c r="F155" s="7">
        <v>40</v>
      </c>
      <c r="G155" s="7">
        <v>12</v>
      </c>
      <c r="H155" s="7">
        <v>90</v>
      </c>
      <c r="I155" s="7">
        <v>1</v>
      </c>
      <c r="J155" s="7">
        <v>1000000</v>
      </c>
    </row>
    <row r="156" spans="1:10" x14ac:dyDescent="0.2">
      <c r="A156" s="7">
        <v>153</v>
      </c>
      <c r="B156" s="7" t="s">
        <v>94</v>
      </c>
      <c r="C156" s="7">
        <v>1</v>
      </c>
      <c r="D156" s="7">
        <v>1</v>
      </c>
      <c r="E156" s="7" t="s">
        <v>92</v>
      </c>
      <c r="F156" s="7">
        <v>41</v>
      </c>
      <c r="G156" s="7">
        <v>12</v>
      </c>
      <c r="H156" s="7">
        <v>89</v>
      </c>
      <c r="I156" s="7">
        <v>1</v>
      </c>
      <c r="J156" s="7">
        <v>1000000</v>
      </c>
    </row>
    <row r="157" spans="1:10" x14ac:dyDescent="0.2">
      <c r="A157" s="7">
        <v>154</v>
      </c>
      <c r="B157" s="7" t="s">
        <v>94</v>
      </c>
      <c r="C157" s="7">
        <v>1</v>
      </c>
      <c r="D157" s="7">
        <v>1</v>
      </c>
      <c r="E157" s="7" t="s">
        <v>93</v>
      </c>
      <c r="F157" s="7">
        <v>41</v>
      </c>
      <c r="G157" s="7">
        <v>12</v>
      </c>
      <c r="H157" s="7">
        <v>89</v>
      </c>
      <c r="I157" s="7">
        <v>1</v>
      </c>
      <c r="J157" s="7">
        <v>1000000</v>
      </c>
    </row>
    <row r="158" spans="1:10" x14ac:dyDescent="0.2">
      <c r="A158" s="7">
        <v>155</v>
      </c>
      <c r="B158" s="7" t="s">
        <v>94</v>
      </c>
      <c r="C158" s="7">
        <v>1</v>
      </c>
      <c r="D158" s="7">
        <v>1</v>
      </c>
      <c r="E158" s="7" t="s">
        <v>92</v>
      </c>
      <c r="F158" s="7">
        <v>42</v>
      </c>
      <c r="G158" s="7">
        <v>12</v>
      </c>
      <c r="H158" s="7">
        <v>88</v>
      </c>
      <c r="I158" s="7">
        <v>1</v>
      </c>
      <c r="J158" s="7">
        <v>1000000</v>
      </c>
    </row>
    <row r="159" spans="1:10" x14ac:dyDescent="0.2">
      <c r="A159" s="7">
        <v>156</v>
      </c>
      <c r="B159" s="7" t="s">
        <v>94</v>
      </c>
      <c r="C159" s="7">
        <v>1</v>
      </c>
      <c r="D159" s="7">
        <v>1</v>
      </c>
      <c r="E159" s="7" t="s">
        <v>93</v>
      </c>
      <c r="F159" s="7">
        <v>42</v>
      </c>
      <c r="G159" s="7">
        <v>12</v>
      </c>
      <c r="H159" s="7">
        <v>88</v>
      </c>
      <c r="I159" s="7">
        <v>1</v>
      </c>
      <c r="J159" s="7">
        <v>1000000</v>
      </c>
    </row>
    <row r="160" spans="1:10" x14ac:dyDescent="0.2">
      <c r="A160" s="7">
        <v>157</v>
      </c>
      <c r="B160" s="7" t="s">
        <v>94</v>
      </c>
      <c r="C160" s="7">
        <v>1</v>
      </c>
      <c r="D160" s="7">
        <v>1</v>
      </c>
      <c r="E160" s="7" t="s">
        <v>92</v>
      </c>
      <c r="F160" s="7">
        <v>43</v>
      </c>
      <c r="G160" s="7">
        <v>12</v>
      </c>
      <c r="H160" s="7">
        <v>87</v>
      </c>
      <c r="I160" s="7">
        <v>1</v>
      </c>
      <c r="J160" s="7">
        <v>1000000</v>
      </c>
    </row>
    <row r="161" spans="1:10" x14ac:dyDescent="0.2">
      <c r="A161" s="7">
        <v>158</v>
      </c>
      <c r="B161" s="7" t="s">
        <v>94</v>
      </c>
      <c r="C161" s="7">
        <v>1</v>
      </c>
      <c r="D161" s="7">
        <v>1</v>
      </c>
      <c r="E161" s="7" t="s">
        <v>93</v>
      </c>
      <c r="F161" s="7">
        <v>43</v>
      </c>
      <c r="G161" s="7">
        <v>12</v>
      </c>
      <c r="H161" s="7">
        <v>87</v>
      </c>
      <c r="I161" s="7">
        <v>1</v>
      </c>
      <c r="J161" s="7">
        <v>1000000</v>
      </c>
    </row>
    <row r="162" spans="1:10" x14ac:dyDescent="0.2">
      <c r="A162" s="7">
        <v>159</v>
      </c>
      <c r="B162" s="7" t="s">
        <v>94</v>
      </c>
      <c r="C162" s="7">
        <v>1</v>
      </c>
      <c r="D162" s="7">
        <v>1</v>
      </c>
      <c r="E162" s="7" t="s">
        <v>92</v>
      </c>
      <c r="F162" s="7">
        <v>44</v>
      </c>
      <c r="G162" s="7">
        <v>12</v>
      </c>
      <c r="H162" s="7">
        <v>86</v>
      </c>
      <c r="I162" s="7">
        <v>1</v>
      </c>
      <c r="J162" s="7">
        <v>1000000</v>
      </c>
    </row>
    <row r="163" spans="1:10" x14ac:dyDescent="0.2">
      <c r="A163" s="7">
        <v>160</v>
      </c>
      <c r="B163" s="7" t="s">
        <v>94</v>
      </c>
      <c r="C163" s="7">
        <v>1</v>
      </c>
      <c r="D163" s="7">
        <v>1</v>
      </c>
      <c r="E163" s="7" t="s">
        <v>93</v>
      </c>
      <c r="F163" s="7">
        <v>44</v>
      </c>
      <c r="G163" s="7">
        <v>12</v>
      </c>
      <c r="H163" s="7">
        <v>86</v>
      </c>
      <c r="I163" s="7">
        <v>1</v>
      </c>
      <c r="J163" s="7">
        <v>1000000</v>
      </c>
    </row>
    <row r="164" spans="1:10" x14ac:dyDescent="0.2">
      <c r="A164" s="7">
        <v>161</v>
      </c>
      <c r="B164" s="7" t="s">
        <v>94</v>
      </c>
      <c r="C164" s="7">
        <v>1</v>
      </c>
      <c r="D164" s="7">
        <v>1</v>
      </c>
      <c r="E164" s="7" t="s">
        <v>92</v>
      </c>
      <c r="F164" s="7">
        <v>45</v>
      </c>
      <c r="G164" s="7">
        <v>12</v>
      </c>
      <c r="H164" s="7">
        <v>85</v>
      </c>
      <c r="I164" s="7">
        <v>1</v>
      </c>
      <c r="J164" s="7">
        <v>1000000</v>
      </c>
    </row>
    <row r="165" spans="1:10" x14ac:dyDescent="0.2">
      <c r="A165" s="7">
        <v>162</v>
      </c>
      <c r="B165" s="7" t="s">
        <v>94</v>
      </c>
      <c r="C165" s="7">
        <v>1</v>
      </c>
      <c r="D165" s="7">
        <v>1</v>
      </c>
      <c r="E165" s="7" t="s">
        <v>93</v>
      </c>
      <c r="F165" s="7">
        <v>45</v>
      </c>
      <c r="G165" s="7">
        <v>12</v>
      </c>
      <c r="H165" s="7">
        <v>85</v>
      </c>
      <c r="I165" s="7">
        <v>1</v>
      </c>
      <c r="J165" s="7">
        <v>1000000</v>
      </c>
    </row>
    <row r="166" spans="1:10" x14ac:dyDescent="0.2">
      <c r="A166" s="7">
        <v>163</v>
      </c>
      <c r="B166" s="7" t="s">
        <v>94</v>
      </c>
      <c r="C166" s="7">
        <v>1</v>
      </c>
      <c r="D166" s="7">
        <v>1</v>
      </c>
      <c r="E166" s="7" t="s">
        <v>92</v>
      </c>
      <c r="F166" s="7">
        <v>46</v>
      </c>
      <c r="G166" s="7">
        <v>12</v>
      </c>
      <c r="H166" s="7">
        <v>84</v>
      </c>
      <c r="I166" s="7">
        <v>1</v>
      </c>
      <c r="J166" s="7">
        <v>1000000</v>
      </c>
    </row>
    <row r="167" spans="1:10" x14ac:dyDescent="0.2">
      <c r="A167" s="7">
        <v>164</v>
      </c>
      <c r="B167" s="7" t="s">
        <v>94</v>
      </c>
      <c r="C167" s="7">
        <v>1</v>
      </c>
      <c r="D167" s="7">
        <v>1</v>
      </c>
      <c r="E167" s="7" t="s">
        <v>93</v>
      </c>
      <c r="F167" s="7">
        <v>46</v>
      </c>
      <c r="G167" s="7">
        <v>12</v>
      </c>
      <c r="H167" s="7">
        <v>84</v>
      </c>
      <c r="I167" s="7">
        <v>1</v>
      </c>
      <c r="J167" s="7">
        <v>1000000</v>
      </c>
    </row>
    <row r="168" spans="1:10" x14ac:dyDescent="0.2">
      <c r="A168" s="7">
        <v>165</v>
      </c>
      <c r="B168" s="7" t="s">
        <v>94</v>
      </c>
      <c r="C168" s="7">
        <v>1</v>
      </c>
      <c r="D168" s="7">
        <v>1</v>
      </c>
      <c r="E168" s="7" t="s">
        <v>92</v>
      </c>
      <c r="F168" s="7">
        <v>47</v>
      </c>
      <c r="G168" s="7">
        <v>12</v>
      </c>
      <c r="H168" s="7">
        <v>83</v>
      </c>
      <c r="I168" s="7">
        <v>1</v>
      </c>
      <c r="J168" s="7">
        <v>1000000</v>
      </c>
    </row>
    <row r="169" spans="1:10" x14ac:dyDescent="0.2">
      <c r="A169" s="7">
        <v>166</v>
      </c>
      <c r="B169" s="7" t="s">
        <v>94</v>
      </c>
      <c r="C169" s="7">
        <v>1</v>
      </c>
      <c r="D169" s="7">
        <v>1</v>
      </c>
      <c r="E169" s="7" t="s">
        <v>93</v>
      </c>
      <c r="F169" s="7">
        <v>47</v>
      </c>
      <c r="G169" s="7">
        <v>12</v>
      </c>
      <c r="H169" s="7">
        <v>83</v>
      </c>
      <c r="I169" s="7">
        <v>1</v>
      </c>
      <c r="J169" s="7">
        <v>1000000</v>
      </c>
    </row>
    <row r="170" spans="1:10" x14ac:dyDescent="0.2">
      <c r="A170" s="7">
        <v>167</v>
      </c>
      <c r="B170" s="7" t="s">
        <v>94</v>
      </c>
      <c r="C170" s="7">
        <v>1</v>
      </c>
      <c r="D170" s="7">
        <v>1</v>
      </c>
      <c r="E170" s="7" t="s">
        <v>92</v>
      </c>
      <c r="F170" s="7">
        <v>48</v>
      </c>
      <c r="G170" s="7">
        <v>12</v>
      </c>
      <c r="H170" s="7">
        <v>82</v>
      </c>
      <c r="I170" s="7">
        <v>1</v>
      </c>
      <c r="J170" s="7">
        <v>1000000</v>
      </c>
    </row>
    <row r="171" spans="1:10" x14ac:dyDescent="0.2">
      <c r="A171" s="7">
        <v>168</v>
      </c>
      <c r="B171" s="7" t="s">
        <v>94</v>
      </c>
      <c r="C171" s="7">
        <v>1</v>
      </c>
      <c r="D171" s="7">
        <v>1</v>
      </c>
      <c r="E171" s="7" t="s">
        <v>93</v>
      </c>
      <c r="F171" s="7">
        <v>48</v>
      </c>
      <c r="G171" s="7">
        <v>12</v>
      </c>
      <c r="H171" s="7">
        <v>82</v>
      </c>
      <c r="I171" s="7">
        <v>1</v>
      </c>
      <c r="J171" s="7">
        <v>1000000</v>
      </c>
    </row>
    <row r="172" spans="1:10" x14ac:dyDescent="0.2">
      <c r="A172" s="7">
        <v>169</v>
      </c>
      <c r="B172" s="7" t="s">
        <v>94</v>
      </c>
      <c r="C172" s="7">
        <v>1</v>
      </c>
      <c r="D172" s="7">
        <v>1</v>
      </c>
      <c r="E172" s="7" t="s">
        <v>92</v>
      </c>
      <c r="F172" s="7">
        <v>49</v>
      </c>
      <c r="G172" s="7">
        <v>12</v>
      </c>
      <c r="H172" s="7">
        <v>81</v>
      </c>
      <c r="I172" s="7">
        <v>1</v>
      </c>
      <c r="J172" s="7">
        <v>1000000</v>
      </c>
    </row>
    <row r="173" spans="1:10" x14ac:dyDescent="0.2">
      <c r="A173" s="7">
        <v>170</v>
      </c>
      <c r="B173" s="7" t="s">
        <v>94</v>
      </c>
      <c r="C173" s="7">
        <v>1</v>
      </c>
      <c r="D173" s="7">
        <v>1</v>
      </c>
      <c r="E173" s="7" t="s">
        <v>93</v>
      </c>
      <c r="F173" s="7">
        <v>49</v>
      </c>
      <c r="G173" s="7">
        <v>12</v>
      </c>
      <c r="H173" s="7">
        <v>81</v>
      </c>
      <c r="I173" s="7">
        <v>1</v>
      </c>
      <c r="J173" s="7">
        <v>1000000</v>
      </c>
    </row>
    <row r="174" spans="1:10" x14ac:dyDescent="0.2">
      <c r="A174" s="7">
        <v>171</v>
      </c>
      <c r="B174" s="7" t="s">
        <v>94</v>
      </c>
      <c r="C174" s="7">
        <v>1</v>
      </c>
      <c r="D174" s="7">
        <v>1</v>
      </c>
      <c r="E174" s="7" t="s">
        <v>92</v>
      </c>
      <c r="F174" s="7">
        <v>50</v>
      </c>
      <c r="G174" s="7">
        <v>12</v>
      </c>
      <c r="H174" s="7">
        <v>80</v>
      </c>
      <c r="I174" s="7">
        <v>1</v>
      </c>
      <c r="J174" s="7">
        <v>1000000</v>
      </c>
    </row>
    <row r="175" spans="1:10" x14ac:dyDescent="0.2">
      <c r="A175" s="7">
        <v>172</v>
      </c>
      <c r="B175" s="7" t="s">
        <v>94</v>
      </c>
      <c r="C175" s="7">
        <v>1</v>
      </c>
      <c r="D175" s="7">
        <v>1</v>
      </c>
      <c r="E175" s="7" t="s">
        <v>93</v>
      </c>
      <c r="F175" s="7">
        <v>50</v>
      </c>
      <c r="G175" s="7">
        <v>12</v>
      </c>
      <c r="H175" s="7">
        <v>80</v>
      </c>
      <c r="I175" s="7">
        <v>1</v>
      </c>
      <c r="J175" s="7">
        <v>1000000</v>
      </c>
    </row>
    <row r="176" spans="1:10" x14ac:dyDescent="0.2">
      <c r="A176" s="7">
        <v>173</v>
      </c>
      <c r="B176" s="7" t="s">
        <v>94</v>
      </c>
      <c r="C176" s="7">
        <v>1</v>
      </c>
      <c r="D176" s="7">
        <v>1</v>
      </c>
      <c r="E176" s="7" t="s">
        <v>92</v>
      </c>
      <c r="F176" s="7">
        <v>51</v>
      </c>
      <c r="G176" s="7">
        <v>12</v>
      </c>
      <c r="H176" s="7">
        <v>79</v>
      </c>
      <c r="I176" s="7">
        <v>1</v>
      </c>
      <c r="J176" s="7">
        <v>1000000</v>
      </c>
    </row>
    <row r="177" spans="1:10" x14ac:dyDescent="0.2">
      <c r="A177" s="7">
        <v>174</v>
      </c>
      <c r="B177" s="7" t="s">
        <v>94</v>
      </c>
      <c r="C177" s="7">
        <v>1</v>
      </c>
      <c r="D177" s="7">
        <v>1</v>
      </c>
      <c r="E177" s="7" t="s">
        <v>93</v>
      </c>
      <c r="F177" s="7">
        <v>51</v>
      </c>
      <c r="G177" s="7">
        <v>12</v>
      </c>
      <c r="H177" s="7">
        <v>79</v>
      </c>
      <c r="I177" s="7">
        <v>1</v>
      </c>
      <c r="J177" s="7">
        <v>1000000</v>
      </c>
    </row>
    <row r="178" spans="1:10" x14ac:dyDescent="0.2">
      <c r="A178" s="7">
        <v>175</v>
      </c>
      <c r="B178" s="7" t="s">
        <v>94</v>
      </c>
      <c r="C178" s="7">
        <v>1</v>
      </c>
      <c r="D178" s="7">
        <v>1</v>
      </c>
      <c r="E178" s="7" t="s">
        <v>92</v>
      </c>
      <c r="F178" s="7">
        <v>52</v>
      </c>
      <c r="G178" s="7">
        <v>12</v>
      </c>
      <c r="H178" s="7">
        <v>78</v>
      </c>
      <c r="I178" s="7">
        <v>1</v>
      </c>
      <c r="J178" s="7">
        <v>1000000</v>
      </c>
    </row>
    <row r="179" spans="1:10" x14ac:dyDescent="0.2">
      <c r="A179" s="7">
        <v>176</v>
      </c>
      <c r="B179" s="7" t="s">
        <v>94</v>
      </c>
      <c r="C179" s="7">
        <v>1</v>
      </c>
      <c r="D179" s="7">
        <v>1</v>
      </c>
      <c r="E179" s="7" t="s">
        <v>93</v>
      </c>
      <c r="F179" s="7">
        <v>52</v>
      </c>
      <c r="G179" s="7">
        <v>12</v>
      </c>
      <c r="H179" s="7">
        <v>78</v>
      </c>
      <c r="I179" s="7">
        <v>1</v>
      </c>
      <c r="J179" s="7">
        <v>1000000</v>
      </c>
    </row>
    <row r="180" spans="1:10" x14ac:dyDescent="0.2">
      <c r="A180" s="7">
        <v>177</v>
      </c>
      <c r="B180" s="7" t="s">
        <v>94</v>
      </c>
      <c r="C180" s="7">
        <v>1</v>
      </c>
      <c r="D180" s="7">
        <v>1</v>
      </c>
      <c r="E180" s="7" t="s">
        <v>92</v>
      </c>
      <c r="F180" s="7">
        <v>53</v>
      </c>
      <c r="G180" s="7">
        <v>12</v>
      </c>
      <c r="H180" s="7">
        <v>77</v>
      </c>
      <c r="I180" s="7">
        <v>1</v>
      </c>
      <c r="J180" s="7">
        <v>1000000</v>
      </c>
    </row>
    <row r="181" spans="1:10" x14ac:dyDescent="0.2">
      <c r="A181" s="7">
        <v>178</v>
      </c>
      <c r="B181" s="7" t="s">
        <v>94</v>
      </c>
      <c r="C181" s="7">
        <v>1</v>
      </c>
      <c r="D181" s="7">
        <v>1</v>
      </c>
      <c r="E181" s="7" t="s">
        <v>93</v>
      </c>
      <c r="F181" s="7">
        <v>53</v>
      </c>
      <c r="G181" s="7">
        <v>12</v>
      </c>
      <c r="H181" s="7">
        <v>77</v>
      </c>
      <c r="I181" s="7">
        <v>1</v>
      </c>
      <c r="J181" s="7">
        <v>1000000</v>
      </c>
    </row>
    <row r="182" spans="1:10" x14ac:dyDescent="0.2">
      <c r="A182" s="7">
        <v>179</v>
      </c>
      <c r="B182" s="7" t="s">
        <v>94</v>
      </c>
      <c r="C182" s="7">
        <v>1</v>
      </c>
      <c r="D182" s="7">
        <v>1</v>
      </c>
      <c r="E182" s="7" t="s">
        <v>92</v>
      </c>
      <c r="F182" s="7">
        <v>54</v>
      </c>
      <c r="G182" s="7">
        <v>12</v>
      </c>
      <c r="H182" s="7">
        <v>76</v>
      </c>
      <c r="I182" s="7">
        <v>1</v>
      </c>
      <c r="J182" s="7">
        <v>1000000</v>
      </c>
    </row>
    <row r="183" spans="1:10" x14ac:dyDescent="0.2">
      <c r="A183" s="7">
        <v>180</v>
      </c>
      <c r="B183" s="7" t="s">
        <v>94</v>
      </c>
      <c r="C183" s="7">
        <v>1</v>
      </c>
      <c r="D183" s="7">
        <v>1</v>
      </c>
      <c r="E183" s="7" t="s">
        <v>93</v>
      </c>
      <c r="F183" s="7">
        <v>54</v>
      </c>
      <c r="G183" s="7">
        <v>12</v>
      </c>
      <c r="H183" s="7">
        <v>76</v>
      </c>
      <c r="I183" s="7">
        <v>1</v>
      </c>
      <c r="J183" s="7">
        <v>1000000</v>
      </c>
    </row>
    <row r="184" spans="1:10" x14ac:dyDescent="0.2">
      <c r="A184" s="7">
        <v>181</v>
      </c>
      <c r="B184" s="7" t="s">
        <v>94</v>
      </c>
      <c r="C184" s="7">
        <v>1</v>
      </c>
      <c r="D184" s="7">
        <v>1</v>
      </c>
      <c r="E184" s="7" t="s">
        <v>92</v>
      </c>
      <c r="F184" s="7">
        <v>55</v>
      </c>
      <c r="G184" s="7">
        <v>12</v>
      </c>
      <c r="H184" s="7">
        <v>75</v>
      </c>
      <c r="I184" s="7">
        <v>1</v>
      </c>
      <c r="J184" s="7">
        <v>1000000</v>
      </c>
    </row>
    <row r="185" spans="1:10" x14ac:dyDescent="0.2">
      <c r="A185" s="7">
        <v>182</v>
      </c>
      <c r="B185" s="7" t="s">
        <v>94</v>
      </c>
      <c r="C185" s="7">
        <v>1</v>
      </c>
      <c r="D185" s="7">
        <v>1</v>
      </c>
      <c r="E185" s="7" t="s">
        <v>93</v>
      </c>
      <c r="F185" s="7">
        <v>55</v>
      </c>
      <c r="G185" s="7">
        <v>12</v>
      </c>
      <c r="H185" s="7">
        <v>75</v>
      </c>
      <c r="I185" s="7">
        <v>1</v>
      </c>
      <c r="J185" s="7">
        <v>1000000</v>
      </c>
    </row>
    <row r="186" spans="1:10" x14ac:dyDescent="0.2">
      <c r="A186" s="7">
        <v>183</v>
      </c>
      <c r="B186" s="7" t="s">
        <v>94</v>
      </c>
      <c r="C186" s="7">
        <v>1</v>
      </c>
      <c r="D186" s="7">
        <v>1</v>
      </c>
      <c r="E186" s="7" t="s">
        <v>92</v>
      </c>
      <c r="F186" s="7">
        <v>56</v>
      </c>
      <c r="G186" s="7">
        <v>12</v>
      </c>
      <c r="H186" s="7">
        <v>74</v>
      </c>
      <c r="I186" s="7">
        <v>1</v>
      </c>
      <c r="J186" s="7">
        <v>1000000</v>
      </c>
    </row>
    <row r="187" spans="1:10" x14ac:dyDescent="0.2">
      <c r="A187" s="7">
        <v>184</v>
      </c>
      <c r="B187" s="7" t="s">
        <v>94</v>
      </c>
      <c r="C187" s="7">
        <v>1</v>
      </c>
      <c r="D187" s="7">
        <v>1</v>
      </c>
      <c r="E187" s="7" t="s">
        <v>93</v>
      </c>
      <c r="F187" s="7">
        <v>56</v>
      </c>
      <c r="G187" s="7">
        <v>12</v>
      </c>
      <c r="H187" s="7">
        <v>74</v>
      </c>
      <c r="I187" s="7">
        <v>1</v>
      </c>
      <c r="J187" s="7">
        <v>1000000</v>
      </c>
    </row>
    <row r="188" spans="1:10" x14ac:dyDescent="0.2">
      <c r="A188" s="7">
        <v>185</v>
      </c>
      <c r="B188" s="7" t="s">
        <v>94</v>
      </c>
      <c r="C188" s="7">
        <v>1</v>
      </c>
      <c r="D188" s="7">
        <v>1</v>
      </c>
      <c r="E188" s="7" t="s">
        <v>92</v>
      </c>
      <c r="F188" s="7">
        <v>57</v>
      </c>
      <c r="G188" s="7">
        <v>12</v>
      </c>
      <c r="H188" s="7">
        <v>73</v>
      </c>
      <c r="I188" s="7">
        <v>1</v>
      </c>
      <c r="J188" s="7">
        <v>1000000</v>
      </c>
    </row>
    <row r="189" spans="1:10" x14ac:dyDescent="0.2">
      <c r="A189" s="7">
        <v>186</v>
      </c>
      <c r="B189" s="7" t="s">
        <v>94</v>
      </c>
      <c r="C189" s="7">
        <v>1</v>
      </c>
      <c r="D189" s="7">
        <v>1</v>
      </c>
      <c r="E189" s="7" t="s">
        <v>93</v>
      </c>
      <c r="F189" s="7">
        <v>57</v>
      </c>
      <c r="G189" s="7">
        <v>12</v>
      </c>
      <c r="H189" s="7">
        <v>73</v>
      </c>
      <c r="I189" s="7">
        <v>1</v>
      </c>
      <c r="J189" s="7">
        <v>1000000</v>
      </c>
    </row>
    <row r="190" spans="1:10" x14ac:dyDescent="0.2">
      <c r="A190" s="7">
        <v>187</v>
      </c>
      <c r="B190" s="7" t="s">
        <v>94</v>
      </c>
      <c r="C190" s="7">
        <v>1</v>
      </c>
      <c r="D190" s="7">
        <v>1</v>
      </c>
      <c r="E190" s="7" t="s">
        <v>92</v>
      </c>
      <c r="F190" s="7">
        <v>58</v>
      </c>
      <c r="G190" s="7">
        <v>12</v>
      </c>
      <c r="H190" s="7">
        <v>72</v>
      </c>
      <c r="I190" s="7">
        <v>1</v>
      </c>
      <c r="J190" s="7">
        <v>1000000</v>
      </c>
    </row>
    <row r="191" spans="1:10" x14ac:dyDescent="0.2">
      <c r="A191" s="7">
        <v>188</v>
      </c>
      <c r="B191" s="7" t="s">
        <v>94</v>
      </c>
      <c r="C191" s="7">
        <v>1</v>
      </c>
      <c r="D191" s="7">
        <v>1</v>
      </c>
      <c r="E191" s="7" t="s">
        <v>93</v>
      </c>
      <c r="F191" s="7">
        <v>58</v>
      </c>
      <c r="G191" s="7">
        <v>12</v>
      </c>
      <c r="H191" s="7">
        <v>72</v>
      </c>
      <c r="I191" s="7">
        <v>1</v>
      </c>
      <c r="J191" s="7">
        <v>1000000</v>
      </c>
    </row>
    <row r="192" spans="1:10" x14ac:dyDescent="0.2">
      <c r="A192" s="7">
        <v>189</v>
      </c>
      <c r="B192" s="7" t="s">
        <v>94</v>
      </c>
      <c r="C192" s="7">
        <v>1</v>
      </c>
      <c r="D192" s="7">
        <v>1</v>
      </c>
      <c r="E192" s="7" t="s">
        <v>92</v>
      </c>
      <c r="F192" s="7">
        <v>59</v>
      </c>
      <c r="G192" s="7">
        <v>12</v>
      </c>
      <c r="H192" s="7">
        <v>71</v>
      </c>
      <c r="I192" s="7">
        <v>1</v>
      </c>
      <c r="J192" s="7">
        <v>1000000</v>
      </c>
    </row>
    <row r="193" spans="1:10" x14ac:dyDescent="0.2">
      <c r="A193" s="7">
        <v>190</v>
      </c>
      <c r="B193" s="7" t="s">
        <v>94</v>
      </c>
      <c r="C193" s="7">
        <v>1</v>
      </c>
      <c r="D193" s="7">
        <v>1</v>
      </c>
      <c r="E193" s="7" t="s">
        <v>93</v>
      </c>
      <c r="F193" s="7">
        <v>59</v>
      </c>
      <c r="G193" s="7">
        <v>12</v>
      </c>
      <c r="H193" s="7">
        <v>71</v>
      </c>
      <c r="I193" s="7">
        <v>1</v>
      </c>
      <c r="J193" s="7">
        <v>1000000</v>
      </c>
    </row>
    <row r="194" spans="1:10" x14ac:dyDescent="0.2">
      <c r="A194" s="7">
        <v>191</v>
      </c>
      <c r="B194" s="7" t="s">
        <v>94</v>
      </c>
      <c r="C194" s="7">
        <v>1</v>
      </c>
      <c r="D194" s="7">
        <v>1</v>
      </c>
      <c r="E194" s="7" t="s">
        <v>92</v>
      </c>
      <c r="F194" s="7">
        <v>60</v>
      </c>
      <c r="G194" s="7">
        <v>12</v>
      </c>
      <c r="H194" s="7">
        <v>70</v>
      </c>
      <c r="I194" s="7">
        <v>1</v>
      </c>
      <c r="J194" s="7">
        <v>1000000</v>
      </c>
    </row>
    <row r="195" spans="1:10" x14ac:dyDescent="0.2">
      <c r="A195" s="7">
        <v>192</v>
      </c>
      <c r="B195" s="7" t="s">
        <v>94</v>
      </c>
      <c r="C195" s="7">
        <v>1</v>
      </c>
      <c r="D195" s="7">
        <v>1</v>
      </c>
      <c r="E195" s="7" t="s">
        <v>93</v>
      </c>
      <c r="F195" s="7">
        <v>60</v>
      </c>
      <c r="G195" s="7">
        <v>12</v>
      </c>
      <c r="H195" s="7">
        <v>70</v>
      </c>
      <c r="I195" s="7">
        <v>1</v>
      </c>
      <c r="J195" s="7">
        <v>1000000</v>
      </c>
    </row>
    <row r="196" spans="1:10" x14ac:dyDescent="0.2">
      <c r="A196" s="7">
        <v>193</v>
      </c>
      <c r="B196" s="7" t="s">
        <v>94</v>
      </c>
      <c r="C196" s="7">
        <v>1</v>
      </c>
      <c r="D196" s="7">
        <v>1</v>
      </c>
      <c r="E196" s="7" t="s">
        <v>92</v>
      </c>
      <c r="F196" s="7">
        <v>61</v>
      </c>
      <c r="G196" s="7">
        <v>12</v>
      </c>
      <c r="H196" s="7">
        <v>69</v>
      </c>
      <c r="I196" s="7">
        <v>1</v>
      </c>
      <c r="J196" s="7">
        <v>1000000</v>
      </c>
    </row>
    <row r="197" spans="1:10" x14ac:dyDescent="0.2">
      <c r="A197" s="7">
        <v>194</v>
      </c>
      <c r="B197" s="7" t="s">
        <v>94</v>
      </c>
      <c r="C197" s="7">
        <v>1</v>
      </c>
      <c r="D197" s="7">
        <v>1</v>
      </c>
      <c r="E197" s="7" t="s">
        <v>93</v>
      </c>
      <c r="F197" s="7">
        <v>61</v>
      </c>
      <c r="G197" s="7">
        <v>12</v>
      </c>
      <c r="H197" s="7">
        <v>69</v>
      </c>
      <c r="I197" s="7">
        <v>1</v>
      </c>
      <c r="J197" s="7">
        <v>1000000</v>
      </c>
    </row>
    <row r="198" spans="1:10" x14ac:dyDescent="0.2">
      <c r="A198" s="7">
        <v>195</v>
      </c>
      <c r="B198" s="7" t="s">
        <v>94</v>
      </c>
      <c r="C198" s="7">
        <v>1</v>
      </c>
      <c r="D198" s="7">
        <v>1</v>
      </c>
      <c r="E198" s="7" t="s">
        <v>92</v>
      </c>
      <c r="F198" s="7">
        <v>62</v>
      </c>
      <c r="G198" s="7">
        <v>12</v>
      </c>
      <c r="H198" s="7">
        <v>68</v>
      </c>
      <c r="I198" s="7">
        <v>1</v>
      </c>
      <c r="J198" s="7">
        <v>1000000</v>
      </c>
    </row>
    <row r="199" spans="1:10" x14ac:dyDescent="0.2">
      <c r="A199" s="7">
        <v>196</v>
      </c>
      <c r="B199" s="7" t="s">
        <v>94</v>
      </c>
      <c r="C199" s="7">
        <v>1</v>
      </c>
      <c r="D199" s="7">
        <v>1</v>
      </c>
      <c r="E199" s="7" t="s">
        <v>93</v>
      </c>
      <c r="F199" s="7">
        <v>62</v>
      </c>
      <c r="G199" s="7">
        <v>12</v>
      </c>
      <c r="H199" s="7">
        <v>68</v>
      </c>
      <c r="I199" s="7">
        <v>1</v>
      </c>
      <c r="J199" s="7">
        <v>1000000</v>
      </c>
    </row>
    <row r="200" spans="1:10" x14ac:dyDescent="0.2">
      <c r="A200" s="7">
        <v>197</v>
      </c>
      <c r="B200" s="7" t="s">
        <v>94</v>
      </c>
      <c r="C200" s="7">
        <v>1</v>
      </c>
      <c r="D200" s="7">
        <v>1</v>
      </c>
      <c r="E200" s="7" t="s">
        <v>92</v>
      </c>
      <c r="F200" s="7">
        <v>63</v>
      </c>
      <c r="G200" s="7">
        <v>12</v>
      </c>
      <c r="H200" s="7">
        <v>67</v>
      </c>
      <c r="I200" s="7">
        <v>1</v>
      </c>
      <c r="J200" s="7">
        <v>1000000</v>
      </c>
    </row>
    <row r="201" spans="1:10" x14ac:dyDescent="0.2">
      <c r="A201" s="7">
        <v>198</v>
      </c>
      <c r="B201" s="7" t="s">
        <v>94</v>
      </c>
      <c r="C201" s="7">
        <v>1</v>
      </c>
      <c r="D201" s="7">
        <v>1</v>
      </c>
      <c r="E201" s="7" t="s">
        <v>93</v>
      </c>
      <c r="F201" s="7">
        <v>63</v>
      </c>
      <c r="G201" s="7">
        <v>12</v>
      </c>
      <c r="H201" s="7">
        <v>67</v>
      </c>
      <c r="I201" s="7">
        <v>1</v>
      </c>
      <c r="J201" s="7">
        <v>1000000</v>
      </c>
    </row>
    <row r="202" spans="1:10" x14ac:dyDescent="0.2">
      <c r="A202" s="7">
        <v>199</v>
      </c>
      <c r="B202" s="7" t="s">
        <v>94</v>
      </c>
      <c r="C202" s="7">
        <v>1</v>
      </c>
      <c r="D202" s="7">
        <v>1</v>
      </c>
      <c r="E202" s="7" t="s">
        <v>92</v>
      </c>
      <c r="F202" s="7">
        <v>64</v>
      </c>
      <c r="G202" s="7">
        <v>12</v>
      </c>
      <c r="H202" s="7">
        <v>66</v>
      </c>
      <c r="I202" s="7">
        <v>1</v>
      </c>
      <c r="J202" s="7">
        <v>1000000</v>
      </c>
    </row>
    <row r="203" spans="1:10" x14ac:dyDescent="0.2">
      <c r="A203" s="7">
        <v>200</v>
      </c>
      <c r="B203" s="7" t="s">
        <v>94</v>
      </c>
      <c r="C203" s="7">
        <v>1</v>
      </c>
      <c r="D203" s="7">
        <v>1</v>
      </c>
      <c r="E203" s="7" t="s">
        <v>93</v>
      </c>
      <c r="F203" s="7">
        <v>64</v>
      </c>
      <c r="G203" s="7">
        <v>12</v>
      </c>
      <c r="H203" s="7">
        <v>66</v>
      </c>
      <c r="I203" s="7">
        <v>1</v>
      </c>
      <c r="J203" s="7">
        <v>1000000</v>
      </c>
    </row>
    <row r="204" spans="1:10" x14ac:dyDescent="0.2">
      <c r="A204" s="7">
        <v>201</v>
      </c>
      <c r="B204" s="7" t="s">
        <v>95</v>
      </c>
      <c r="C204" s="7">
        <v>1</v>
      </c>
      <c r="D204" s="7">
        <v>1</v>
      </c>
      <c r="E204" s="7" t="s">
        <v>92</v>
      </c>
      <c r="F204" s="7">
        <v>30</v>
      </c>
      <c r="G204" s="7">
        <v>12</v>
      </c>
      <c r="H204" s="7">
        <v>10</v>
      </c>
      <c r="I204" s="7">
        <v>1</v>
      </c>
      <c r="J204" s="7">
        <v>1000000</v>
      </c>
    </row>
    <row r="205" spans="1:10" x14ac:dyDescent="0.2">
      <c r="A205" s="7">
        <v>202</v>
      </c>
      <c r="B205" s="7" t="s">
        <v>95</v>
      </c>
      <c r="C205" s="7">
        <v>1</v>
      </c>
      <c r="D205" s="7">
        <v>1</v>
      </c>
      <c r="E205" s="7" t="s">
        <v>93</v>
      </c>
      <c r="F205" s="7">
        <v>30</v>
      </c>
      <c r="G205" s="7">
        <v>12</v>
      </c>
      <c r="H205" s="7">
        <v>10</v>
      </c>
      <c r="I205" s="7">
        <v>1</v>
      </c>
      <c r="J205" s="7">
        <v>1000000</v>
      </c>
    </row>
    <row r="206" spans="1:10" x14ac:dyDescent="0.2">
      <c r="A206" s="7">
        <v>203</v>
      </c>
      <c r="B206" s="7" t="s">
        <v>95</v>
      </c>
      <c r="C206" s="7">
        <v>1</v>
      </c>
      <c r="D206" s="7">
        <v>1</v>
      </c>
      <c r="E206" s="7" t="s">
        <v>92</v>
      </c>
      <c r="F206" s="7">
        <v>31</v>
      </c>
      <c r="G206" s="7">
        <v>12</v>
      </c>
      <c r="H206" s="7">
        <v>10</v>
      </c>
      <c r="I206" s="7">
        <v>1</v>
      </c>
      <c r="J206" s="7">
        <v>1000000</v>
      </c>
    </row>
    <row r="207" spans="1:10" x14ac:dyDescent="0.2">
      <c r="A207" s="7">
        <v>204</v>
      </c>
      <c r="B207" s="7" t="s">
        <v>95</v>
      </c>
      <c r="C207" s="7">
        <v>1</v>
      </c>
      <c r="D207" s="7">
        <v>1</v>
      </c>
      <c r="E207" s="7" t="s">
        <v>93</v>
      </c>
      <c r="F207" s="7">
        <v>31</v>
      </c>
      <c r="G207" s="7">
        <v>12</v>
      </c>
      <c r="H207" s="7">
        <v>10</v>
      </c>
      <c r="I207" s="7">
        <v>1</v>
      </c>
      <c r="J207" s="7">
        <v>1000000</v>
      </c>
    </row>
    <row r="208" spans="1:10" x14ac:dyDescent="0.2">
      <c r="A208" s="7">
        <v>205</v>
      </c>
      <c r="B208" s="7" t="s">
        <v>95</v>
      </c>
      <c r="C208" s="7">
        <v>1</v>
      </c>
      <c r="D208" s="7">
        <v>1</v>
      </c>
      <c r="E208" s="7" t="s">
        <v>92</v>
      </c>
      <c r="F208" s="7">
        <v>32</v>
      </c>
      <c r="G208" s="7">
        <v>12</v>
      </c>
      <c r="H208" s="7">
        <v>10</v>
      </c>
      <c r="I208" s="7">
        <v>1</v>
      </c>
      <c r="J208" s="7">
        <v>1000000</v>
      </c>
    </row>
    <row r="209" spans="1:10" x14ac:dyDescent="0.2">
      <c r="A209" s="7">
        <v>206</v>
      </c>
      <c r="B209" s="7" t="s">
        <v>95</v>
      </c>
      <c r="C209" s="7">
        <v>1</v>
      </c>
      <c r="D209" s="7">
        <v>1</v>
      </c>
      <c r="E209" s="7" t="s">
        <v>93</v>
      </c>
      <c r="F209" s="7">
        <v>32</v>
      </c>
      <c r="G209" s="7">
        <v>12</v>
      </c>
      <c r="H209" s="7">
        <v>10</v>
      </c>
      <c r="I209" s="7">
        <v>1</v>
      </c>
      <c r="J209" s="7">
        <v>1000000</v>
      </c>
    </row>
    <row r="210" spans="1:10" x14ac:dyDescent="0.2">
      <c r="A210" s="7">
        <v>207</v>
      </c>
      <c r="B210" s="7" t="s">
        <v>95</v>
      </c>
      <c r="C210" s="7">
        <v>1</v>
      </c>
      <c r="D210" s="7">
        <v>1</v>
      </c>
      <c r="E210" s="7" t="s">
        <v>92</v>
      </c>
      <c r="F210" s="7">
        <v>33</v>
      </c>
      <c r="G210" s="7">
        <v>12</v>
      </c>
      <c r="H210" s="7">
        <v>10</v>
      </c>
      <c r="I210" s="7">
        <v>1</v>
      </c>
      <c r="J210" s="7">
        <v>1000000</v>
      </c>
    </row>
    <row r="211" spans="1:10" x14ac:dyDescent="0.2">
      <c r="A211" s="7">
        <v>208</v>
      </c>
      <c r="B211" s="7" t="s">
        <v>95</v>
      </c>
      <c r="C211" s="7">
        <v>1</v>
      </c>
      <c r="D211" s="7">
        <v>1</v>
      </c>
      <c r="E211" s="7" t="s">
        <v>93</v>
      </c>
      <c r="F211" s="7">
        <v>33</v>
      </c>
      <c r="G211" s="7">
        <v>12</v>
      </c>
      <c r="H211" s="7">
        <v>10</v>
      </c>
      <c r="I211" s="7">
        <v>1</v>
      </c>
      <c r="J211" s="7">
        <v>1000000</v>
      </c>
    </row>
    <row r="212" spans="1:10" x14ac:dyDescent="0.2">
      <c r="A212" s="7">
        <v>209</v>
      </c>
      <c r="B212" s="7" t="s">
        <v>95</v>
      </c>
      <c r="C212" s="7">
        <v>1</v>
      </c>
      <c r="D212" s="7">
        <v>1</v>
      </c>
      <c r="E212" s="7" t="s">
        <v>92</v>
      </c>
      <c r="F212" s="7">
        <v>34</v>
      </c>
      <c r="G212" s="7">
        <v>12</v>
      </c>
      <c r="H212" s="7">
        <v>10</v>
      </c>
      <c r="I212" s="7">
        <v>1</v>
      </c>
      <c r="J212" s="7">
        <v>1000000</v>
      </c>
    </row>
    <row r="213" spans="1:10" x14ac:dyDescent="0.2">
      <c r="A213" s="7">
        <v>210</v>
      </c>
      <c r="B213" s="7" t="s">
        <v>95</v>
      </c>
      <c r="C213" s="7">
        <v>1</v>
      </c>
      <c r="D213" s="7">
        <v>1</v>
      </c>
      <c r="E213" s="7" t="s">
        <v>93</v>
      </c>
      <c r="F213" s="7">
        <v>34</v>
      </c>
      <c r="G213" s="7">
        <v>12</v>
      </c>
      <c r="H213" s="7">
        <v>10</v>
      </c>
      <c r="I213" s="7">
        <v>1</v>
      </c>
      <c r="J213" s="7">
        <v>1000000</v>
      </c>
    </row>
    <row r="214" spans="1:10" x14ac:dyDescent="0.2">
      <c r="A214" s="7">
        <v>211</v>
      </c>
      <c r="B214" s="7" t="s">
        <v>95</v>
      </c>
      <c r="C214" s="7">
        <v>1</v>
      </c>
      <c r="D214" s="7">
        <v>1</v>
      </c>
      <c r="E214" s="7" t="s">
        <v>92</v>
      </c>
      <c r="F214" s="7">
        <v>35</v>
      </c>
      <c r="G214" s="7">
        <v>12</v>
      </c>
      <c r="H214" s="7">
        <v>10</v>
      </c>
      <c r="I214" s="7">
        <v>1</v>
      </c>
      <c r="J214" s="7">
        <v>1000000</v>
      </c>
    </row>
    <row r="215" spans="1:10" x14ac:dyDescent="0.2">
      <c r="A215" s="7">
        <v>212</v>
      </c>
      <c r="B215" s="7" t="s">
        <v>95</v>
      </c>
      <c r="C215" s="7">
        <v>1</v>
      </c>
      <c r="D215" s="7">
        <v>1</v>
      </c>
      <c r="E215" s="7" t="s">
        <v>93</v>
      </c>
      <c r="F215" s="7">
        <v>35</v>
      </c>
      <c r="G215" s="7">
        <v>12</v>
      </c>
      <c r="H215" s="7">
        <v>10</v>
      </c>
      <c r="I215" s="7">
        <v>1</v>
      </c>
      <c r="J215" s="7">
        <v>1000000</v>
      </c>
    </row>
    <row r="216" spans="1:10" x14ac:dyDescent="0.2">
      <c r="A216" s="7">
        <v>213</v>
      </c>
      <c r="B216" s="7" t="s">
        <v>95</v>
      </c>
      <c r="C216" s="7">
        <v>1</v>
      </c>
      <c r="D216" s="7">
        <v>1</v>
      </c>
      <c r="E216" s="7" t="s">
        <v>92</v>
      </c>
      <c r="F216" s="7">
        <v>36</v>
      </c>
      <c r="G216" s="7">
        <v>12</v>
      </c>
      <c r="H216" s="7">
        <v>10</v>
      </c>
      <c r="I216" s="7">
        <v>1</v>
      </c>
      <c r="J216" s="7">
        <v>1000000</v>
      </c>
    </row>
    <row r="217" spans="1:10" x14ac:dyDescent="0.2">
      <c r="A217" s="7">
        <v>214</v>
      </c>
      <c r="B217" s="7" t="s">
        <v>95</v>
      </c>
      <c r="C217" s="7">
        <v>1</v>
      </c>
      <c r="D217" s="7">
        <v>1</v>
      </c>
      <c r="E217" s="7" t="s">
        <v>93</v>
      </c>
      <c r="F217" s="7">
        <v>36</v>
      </c>
      <c r="G217" s="7">
        <v>12</v>
      </c>
      <c r="H217" s="7">
        <v>10</v>
      </c>
      <c r="I217" s="7">
        <v>1</v>
      </c>
      <c r="J217" s="7">
        <v>1000000</v>
      </c>
    </row>
    <row r="218" spans="1:10" x14ac:dyDescent="0.2">
      <c r="A218" s="7">
        <v>215</v>
      </c>
      <c r="B218" s="7" t="s">
        <v>95</v>
      </c>
      <c r="C218" s="7">
        <v>1</v>
      </c>
      <c r="D218" s="7">
        <v>1</v>
      </c>
      <c r="E218" s="7" t="s">
        <v>92</v>
      </c>
      <c r="F218" s="7">
        <v>37</v>
      </c>
      <c r="G218" s="7">
        <v>12</v>
      </c>
      <c r="H218" s="7">
        <v>10</v>
      </c>
      <c r="I218" s="7">
        <v>1</v>
      </c>
      <c r="J218" s="7">
        <v>1000000</v>
      </c>
    </row>
    <row r="219" spans="1:10" x14ac:dyDescent="0.2">
      <c r="A219" s="7">
        <v>216</v>
      </c>
      <c r="B219" s="7" t="s">
        <v>95</v>
      </c>
      <c r="C219" s="7">
        <v>1</v>
      </c>
      <c r="D219" s="7">
        <v>1</v>
      </c>
      <c r="E219" s="7" t="s">
        <v>93</v>
      </c>
      <c r="F219" s="7">
        <v>37</v>
      </c>
      <c r="G219" s="7">
        <v>12</v>
      </c>
      <c r="H219" s="7">
        <v>10</v>
      </c>
      <c r="I219" s="7">
        <v>1</v>
      </c>
      <c r="J219" s="7">
        <v>1000000</v>
      </c>
    </row>
    <row r="220" spans="1:10" x14ac:dyDescent="0.2">
      <c r="A220" s="7">
        <v>217</v>
      </c>
      <c r="B220" s="7" t="s">
        <v>95</v>
      </c>
      <c r="C220" s="7">
        <v>1</v>
      </c>
      <c r="D220" s="7">
        <v>1</v>
      </c>
      <c r="E220" s="7" t="s">
        <v>92</v>
      </c>
      <c r="F220" s="7">
        <v>38</v>
      </c>
      <c r="G220" s="7">
        <v>12</v>
      </c>
      <c r="H220" s="7">
        <v>10</v>
      </c>
      <c r="I220" s="7">
        <v>1</v>
      </c>
      <c r="J220" s="7">
        <v>1000000</v>
      </c>
    </row>
    <row r="221" spans="1:10" x14ac:dyDescent="0.2">
      <c r="A221" s="7">
        <v>218</v>
      </c>
      <c r="B221" s="7" t="s">
        <v>95</v>
      </c>
      <c r="C221" s="7">
        <v>1</v>
      </c>
      <c r="D221" s="7">
        <v>1</v>
      </c>
      <c r="E221" s="7" t="s">
        <v>93</v>
      </c>
      <c r="F221" s="7">
        <v>38</v>
      </c>
      <c r="G221" s="7">
        <v>12</v>
      </c>
      <c r="H221" s="7">
        <v>10</v>
      </c>
      <c r="I221" s="7">
        <v>1</v>
      </c>
      <c r="J221" s="7">
        <v>1000000</v>
      </c>
    </row>
    <row r="222" spans="1:10" x14ac:dyDescent="0.2">
      <c r="A222" s="7">
        <v>219</v>
      </c>
      <c r="B222" s="7" t="s">
        <v>95</v>
      </c>
      <c r="C222" s="7">
        <v>1</v>
      </c>
      <c r="D222" s="7">
        <v>1</v>
      </c>
      <c r="E222" s="7" t="s">
        <v>92</v>
      </c>
      <c r="F222" s="7">
        <v>39</v>
      </c>
      <c r="G222" s="7">
        <v>12</v>
      </c>
      <c r="H222" s="7">
        <v>10</v>
      </c>
      <c r="I222" s="7">
        <v>1</v>
      </c>
      <c r="J222" s="7">
        <v>1000000</v>
      </c>
    </row>
    <row r="223" spans="1:10" x14ac:dyDescent="0.2">
      <c r="A223" s="7">
        <v>220</v>
      </c>
      <c r="B223" s="7" t="s">
        <v>95</v>
      </c>
      <c r="C223" s="7">
        <v>1</v>
      </c>
      <c r="D223" s="7">
        <v>1</v>
      </c>
      <c r="E223" s="7" t="s">
        <v>93</v>
      </c>
      <c r="F223" s="7">
        <v>39</v>
      </c>
      <c r="G223" s="7">
        <v>12</v>
      </c>
      <c r="H223" s="7">
        <v>10</v>
      </c>
      <c r="I223" s="7">
        <v>1</v>
      </c>
      <c r="J223" s="7">
        <v>1000000</v>
      </c>
    </row>
    <row r="224" spans="1:10" x14ac:dyDescent="0.2">
      <c r="A224" s="7">
        <v>221</v>
      </c>
      <c r="B224" s="7" t="s">
        <v>95</v>
      </c>
      <c r="C224" s="7">
        <v>1</v>
      </c>
      <c r="D224" s="7">
        <v>1</v>
      </c>
      <c r="E224" s="7" t="s">
        <v>92</v>
      </c>
      <c r="F224" s="7">
        <v>40</v>
      </c>
      <c r="G224" s="7">
        <v>12</v>
      </c>
      <c r="H224" s="7">
        <v>10</v>
      </c>
      <c r="I224" s="7">
        <v>1</v>
      </c>
      <c r="J224" s="7">
        <v>1000000</v>
      </c>
    </row>
    <row r="225" spans="1:10" x14ac:dyDescent="0.2">
      <c r="A225" s="7">
        <v>222</v>
      </c>
      <c r="B225" s="7" t="s">
        <v>95</v>
      </c>
      <c r="C225" s="7">
        <v>1</v>
      </c>
      <c r="D225" s="7">
        <v>1</v>
      </c>
      <c r="E225" s="7" t="s">
        <v>93</v>
      </c>
      <c r="F225" s="7">
        <v>40</v>
      </c>
      <c r="G225" s="7">
        <v>12</v>
      </c>
      <c r="H225" s="7">
        <v>10</v>
      </c>
      <c r="I225" s="7">
        <v>1</v>
      </c>
      <c r="J225" s="7">
        <v>1000000</v>
      </c>
    </row>
    <row r="226" spans="1:10" x14ac:dyDescent="0.2">
      <c r="A226" s="7">
        <v>223</v>
      </c>
      <c r="B226" s="7" t="s">
        <v>95</v>
      </c>
      <c r="C226" s="7">
        <v>1</v>
      </c>
      <c r="D226" s="7">
        <v>1</v>
      </c>
      <c r="E226" s="7" t="s">
        <v>92</v>
      </c>
      <c r="F226" s="7">
        <v>41</v>
      </c>
      <c r="G226" s="7">
        <v>12</v>
      </c>
      <c r="H226" s="7">
        <v>10</v>
      </c>
      <c r="I226" s="7">
        <v>1</v>
      </c>
      <c r="J226" s="7">
        <v>1000000</v>
      </c>
    </row>
    <row r="227" spans="1:10" x14ac:dyDescent="0.2">
      <c r="A227" s="7">
        <v>224</v>
      </c>
      <c r="B227" s="7" t="s">
        <v>95</v>
      </c>
      <c r="C227" s="7">
        <v>1</v>
      </c>
      <c r="D227" s="7">
        <v>1</v>
      </c>
      <c r="E227" s="7" t="s">
        <v>93</v>
      </c>
      <c r="F227" s="7">
        <v>41</v>
      </c>
      <c r="G227" s="7">
        <v>12</v>
      </c>
      <c r="H227" s="7">
        <v>10</v>
      </c>
      <c r="I227" s="7">
        <v>1</v>
      </c>
      <c r="J227" s="7">
        <v>1000000</v>
      </c>
    </row>
    <row r="228" spans="1:10" x14ac:dyDescent="0.2">
      <c r="A228" s="7">
        <v>225</v>
      </c>
      <c r="B228" s="7" t="s">
        <v>95</v>
      </c>
      <c r="C228" s="7">
        <v>1</v>
      </c>
      <c r="D228" s="7">
        <v>1</v>
      </c>
      <c r="E228" s="7" t="s">
        <v>92</v>
      </c>
      <c r="F228" s="7">
        <v>42</v>
      </c>
      <c r="G228" s="7">
        <v>12</v>
      </c>
      <c r="H228" s="7">
        <v>10</v>
      </c>
      <c r="I228" s="7">
        <v>1</v>
      </c>
      <c r="J228" s="7">
        <v>1000000</v>
      </c>
    </row>
    <row r="229" spans="1:10" x14ac:dyDescent="0.2">
      <c r="A229" s="7">
        <v>226</v>
      </c>
      <c r="B229" s="7" t="s">
        <v>95</v>
      </c>
      <c r="C229" s="7">
        <v>1</v>
      </c>
      <c r="D229" s="7">
        <v>1</v>
      </c>
      <c r="E229" s="7" t="s">
        <v>93</v>
      </c>
      <c r="F229" s="7">
        <v>42</v>
      </c>
      <c r="G229" s="7">
        <v>12</v>
      </c>
      <c r="H229" s="7">
        <v>10</v>
      </c>
      <c r="I229" s="7">
        <v>1</v>
      </c>
      <c r="J229" s="7">
        <v>1000000</v>
      </c>
    </row>
    <row r="230" spans="1:10" x14ac:dyDescent="0.2">
      <c r="A230" s="7">
        <v>227</v>
      </c>
      <c r="B230" s="7" t="s">
        <v>95</v>
      </c>
      <c r="C230" s="7">
        <v>1</v>
      </c>
      <c r="D230" s="7">
        <v>1</v>
      </c>
      <c r="E230" s="7" t="s">
        <v>92</v>
      </c>
      <c r="F230" s="7">
        <v>43</v>
      </c>
      <c r="G230" s="7">
        <v>12</v>
      </c>
      <c r="H230" s="7">
        <v>10</v>
      </c>
      <c r="I230" s="7">
        <v>1</v>
      </c>
      <c r="J230" s="7">
        <v>1000000</v>
      </c>
    </row>
    <row r="231" spans="1:10" x14ac:dyDescent="0.2">
      <c r="A231" s="7">
        <v>228</v>
      </c>
      <c r="B231" s="7" t="s">
        <v>95</v>
      </c>
      <c r="C231" s="7">
        <v>1</v>
      </c>
      <c r="D231" s="7">
        <v>1</v>
      </c>
      <c r="E231" s="7" t="s">
        <v>93</v>
      </c>
      <c r="F231" s="7">
        <v>43</v>
      </c>
      <c r="G231" s="7">
        <v>12</v>
      </c>
      <c r="H231" s="7">
        <v>10</v>
      </c>
      <c r="I231" s="7">
        <v>1</v>
      </c>
      <c r="J231" s="7">
        <v>1000000</v>
      </c>
    </row>
    <row r="232" spans="1:10" x14ac:dyDescent="0.2">
      <c r="A232" s="7">
        <v>229</v>
      </c>
      <c r="B232" s="7" t="s">
        <v>95</v>
      </c>
      <c r="C232" s="7">
        <v>1</v>
      </c>
      <c r="D232" s="7">
        <v>1</v>
      </c>
      <c r="E232" s="7" t="s">
        <v>92</v>
      </c>
      <c r="F232" s="7">
        <v>44</v>
      </c>
      <c r="G232" s="7">
        <v>12</v>
      </c>
      <c r="H232" s="7">
        <v>10</v>
      </c>
      <c r="I232" s="7">
        <v>1</v>
      </c>
      <c r="J232" s="7">
        <v>1000000</v>
      </c>
    </row>
    <row r="233" spans="1:10" x14ac:dyDescent="0.2">
      <c r="A233" s="7">
        <v>230</v>
      </c>
      <c r="B233" s="7" t="s">
        <v>95</v>
      </c>
      <c r="C233" s="7">
        <v>1</v>
      </c>
      <c r="D233" s="7">
        <v>1</v>
      </c>
      <c r="E233" s="7" t="s">
        <v>93</v>
      </c>
      <c r="F233" s="7">
        <v>44</v>
      </c>
      <c r="G233" s="7">
        <v>12</v>
      </c>
      <c r="H233" s="7">
        <v>10</v>
      </c>
      <c r="I233" s="7">
        <v>1</v>
      </c>
      <c r="J233" s="7">
        <v>1000000</v>
      </c>
    </row>
    <row r="234" spans="1:10" x14ac:dyDescent="0.2">
      <c r="A234" s="7">
        <v>231</v>
      </c>
      <c r="B234" s="7" t="s">
        <v>95</v>
      </c>
      <c r="C234" s="7">
        <v>1</v>
      </c>
      <c r="D234" s="7">
        <v>1</v>
      </c>
      <c r="E234" s="7" t="s">
        <v>92</v>
      </c>
      <c r="F234" s="7">
        <v>45</v>
      </c>
      <c r="G234" s="7">
        <v>12</v>
      </c>
      <c r="H234" s="7">
        <v>10</v>
      </c>
      <c r="I234" s="7">
        <v>1</v>
      </c>
      <c r="J234" s="7">
        <v>1000000</v>
      </c>
    </row>
    <row r="235" spans="1:10" x14ac:dyDescent="0.2">
      <c r="A235" s="7">
        <v>232</v>
      </c>
      <c r="B235" s="7" t="s">
        <v>95</v>
      </c>
      <c r="C235" s="7">
        <v>1</v>
      </c>
      <c r="D235" s="7">
        <v>1</v>
      </c>
      <c r="E235" s="7" t="s">
        <v>93</v>
      </c>
      <c r="F235" s="7">
        <v>45</v>
      </c>
      <c r="G235" s="7">
        <v>12</v>
      </c>
      <c r="H235" s="7">
        <v>10</v>
      </c>
      <c r="I235" s="7">
        <v>1</v>
      </c>
      <c r="J235" s="7">
        <v>1000000</v>
      </c>
    </row>
    <row r="236" spans="1:10" x14ac:dyDescent="0.2">
      <c r="A236" s="7">
        <v>233</v>
      </c>
      <c r="B236" s="7" t="s">
        <v>95</v>
      </c>
      <c r="C236" s="7">
        <v>1</v>
      </c>
      <c r="D236" s="7">
        <v>1</v>
      </c>
      <c r="E236" s="7" t="s">
        <v>92</v>
      </c>
      <c r="F236" s="7">
        <v>46</v>
      </c>
      <c r="G236" s="7">
        <v>12</v>
      </c>
      <c r="H236" s="7">
        <v>10</v>
      </c>
      <c r="I236" s="7">
        <v>1</v>
      </c>
      <c r="J236" s="7">
        <v>1000000</v>
      </c>
    </row>
    <row r="237" spans="1:10" x14ac:dyDescent="0.2">
      <c r="A237" s="7">
        <v>234</v>
      </c>
      <c r="B237" s="7" t="s">
        <v>95</v>
      </c>
      <c r="C237" s="7">
        <v>1</v>
      </c>
      <c r="D237" s="7">
        <v>1</v>
      </c>
      <c r="E237" s="7" t="s">
        <v>93</v>
      </c>
      <c r="F237" s="7">
        <v>46</v>
      </c>
      <c r="G237" s="7">
        <v>12</v>
      </c>
      <c r="H237" s="7">
        <v>10</v>
      </c>
      <c r="I237" s="7">
        <v>1</v>
      </c>
      <c r="J237" s="7">
        <v>1000000</v>
      </c>
    </row>
    <row r="238" spans="1:10" x14ac:dyDescent="0.2">
      <c r="A238" s="7">
        <v>235</v>
      </c>
      <c r="B238" s="7" t="s">
        <v>95</v>
      </c>
      <c r="C238" s="7">
        <v>1</v>
      </c>
      <c r="D238" s="7">
        <v>1</v>
      </c>
      <c r="E238" s="7" t="s">
        <v>92</v>
      </c>
      <c r="F238" s="7">
        <v>47</v>
      </c>
      <c r="G238" s="7">
        <v>12</v>
      </c>
      <c r="H238" s="7">
        <v>10</v>
      </c>
      <c r="I238" s="7">
        <v>1</v>
      </c>
      <c r="J238" s="7">
        <v>1000000</v>
      </c>
    </row>
    <row r="239" spans="1:10" x14ac:dyDescent="0.2">
      <c r="A239" s="7">
        <v>236</v>
      </c>
      <c r="B239" s="7" t="s">
        <v>95</v>
      </c>
      <c r="C239" s="7">
        <v>1</v>
      </c>
      <c r="D239" s="7">
        <v>1</v>
      </c>
      <c r="E239" s="7" t="s">
        <v>93</v>
      </c>
      <c r="F239" s="7">
        <v>47</v>
      </c>
      <c r="G239" s="7">
        <v>12</v>
      </c>
      <c r="H239" s="7">
        <v>10</v>
      </c>
      <c r="I239" s="7">
        <v>1</v>
      </c>
      <c r="J239" s="7">
        <v>1000000</v>
      </c>
    </row>
    <row r="240" spans="1:10" x14ac:dyDescent="0.2">
      <c r="A240" s="7">
        <v>237</v>
      </c>
      <c r="B240" s="7" t="s">
        <v>95</v>
      </c>
      <c r="C240" s="7">
        <v>1</v>
      </c>
      <c r="D240" s="7">
        <v>1</v>
      </c>
      <c r="E240" s="7" t="s">
        <v>92</v>
      </c>
      <c r="F240" s="7">
        <v>48</v>
      </c>
      <c r="G240" s="7">
        <v>12</v>
      </c>
      <c r="H240" s="7">
        <v>10</v>
      </c>
      <c r="I240" s="7">
        <v>1</v>
      </c>
      <c r="J240" s="7">
        <v>1000000</v>
      </c>
    </row>
    <row r="241" spans="1:10" x14ac:dyDescent="0.2">
      <c r="A241" s="7">
        <v>238</v>
      </c>
      <c r="B241" s="7" t="s">
        <v>95</v>
      </c>
      <c r="C241" s="7">
        <v>1</v>
      </c>
      <c r="D241" s="7">
        <v>1</v>
      </c>
      <c r="E241" s="7" t="s">
        <v>93</v>
      </c>
      <c r="F241" s="7">
        <v>48</v>
      </c>
      <c r="G241" s="7">
        <v>12</v>
      </c>
      <c r="H241" s="7">
        <v>10</v>
      </c>
      <c r="I241" s="7">
        <v>1</v>
      </c>
      <c r="J241" s="7">
        <v>1000000</v>
      </c>
    </row>
    <row r="242" spans="1:10" x14ac:dyDescent="0.2">
      <c r="A242" s="7">
        <v>239</v>
      </c>
      <c r="B242" s="7" t="s">
        <v>95</v>
      </c>
      <c r="C242" s="7">
        <v>1</v>
      </c>
      <c r="D242" s="7">
        <v>1</v>
      </c>
      <c r="E242" s="7" t="s">
        <v>92</v>
      </c>
      <c r="F242" s="7">
        <v>49</v>
      </c>
      <c r="G242" s="7">
        <v>12</v>
      </c>
      <c r="H242" s="7">
        <v>10</v>
      </c>
      <c r="I242" s="7">
        <v>1</v>
      </c>
      <c r="J242" s="7">
        <v>1000000</v>
      </c>
    </row>
    <row r="243" spans="1:10" x14ac:dyDescent="0.2">
      <c r="A243" s="7">
        <v>240</v>
      </c>
      <c r="B243" s="7" t="s">
        <v>95</v>
      </c>
      <c r="C243" s="7">
        <v>1</v>
      </c>
      <c r="D243" s="7">
        <v>1</v>
      </c>
      <c r="E243" s="7" t="s">
        <v>93</v>
      </c>
      <c r="F243" s="7">
        <v>49</v>
      </c>
      <c r="G243" s="7">
        <v>12</v>
      </c>
      <c r="H243" s="7">
        <v>10</v>
      </c>
      <c r="I243" s="7">
        <v>1</v>
      </c>
      <c r="J243" s="7">
        <v>1000000</v>
      </c>
    </row>
    <row r="244" spans="1:10" x14ac:dyDescent="0.2">
      <c r="A244" s="7">
        <v>241</v>
      </c>
      <c r="B244" s="7" t="s">
        <v>95</v>
      </c>
      <c r="C244" s="7">
        <v>1</v>
      </c>
      <c r="D244" s="7">
        <v>1</v>
      </c>
      <c r="E244" s="7" t="s">
        <v>92</v>
      </c>
      <c r="F244" s="7">
        <v>50</v>
      </c>
      <c r="G244" s="7">
        <v>12</v>
      </c>
      <c r="H244" s="7">
        <v>10</v>
      </c>
      <c r="I244" s="7">
        <v>1</v>
      </c>
      <c r="J244" s="7">
        <v>1000000</v>
      </c>
    </row>
    <row r="245" spans="1:10" x14ac:dyDescent="0.2">
      <c r="A245" s="7">
        <v>242</v>
      </c>
      <c r="B245" s="7" t="s">
        <v>95</v>
      </c>
      <c r="C245" s="7">
        <v>1</v>
      </c>
      <c r="D245" s="7">
        <v>1</v>
      </c>
      <c r="E245" s="7" t="s">
        <v>93</v>
      </c>
      <c r="F245" s="7">
        <v>50</v>
      </c>
      <c r="G245" s="7">
        <v>12</v>
      </c>
      <c r="H245" s="7">
        <v>10</v>
      </c>
      <c r="I245" s="7">
        <v>1</v>
      </c>
      <c r="J245" s="7">
        <v>1000000</v>
      </c>
    </row>
    <row r="246" spans="1:10" x14ac:dyDescent="0.2">
      <c r="A246" s="7">
        <v>243</v>
      </c>
      <c r="B246" s="7" t="s">
        <v>95</v>
      </c>
      <c r="C246" s="7">
        <v>1</v>
      </c>
      <c r="D246" s="7">
        <v>1</v>
      </c>
      <c r="E246" s="7" t="s">
        <v>92</v>
      </c>
      <c r="F246" s="7">
        <v>51</v>
      </c>
      <c r="G246" s="7">
        <v>12</v>
      </c>
      <c r="H246" s="7">
        <v>10</v>
      </c>
      <c r="I246" s="7">
        <v>1</v>
      </c>
      <c r="J246" s="7">
        <v>1000000</v>
      </c>
    </row>
    <row r="247" spans="1:10" x14ac:dyDescent="0.2">
      <c r="A247" s="7">
        <v>244</v>
      </c>
      <c r="B247" s="7" t="s">
        <v>95</v>
      </c>
      <c r="C247" s="7">
        <v>1</v>
      </c>
      <c r="D247" s="7">
        <v>1</v>
      </c>
      <c r="E247" s="7" t="s">
        <v>93</v>
      </c>
      <c r="F247" s="7">
        <v>51</v>
      </c>
      <c r="G247" s="7">
        <v>12</v>
      </c>
      <c r="H247" s="7">
        <v>10</v>
      </c>
      <c r="I247" s="7">
        <v>1</v>
      </c>
      <c r="J247" s="7">
        <v>1000000</v>
      </c>
    </row>
    <row r="248" spans="1:10" x14ac:dyDescent="0.2">
      <c r="A248" s="7">
        <v>245</v>
      </c>
      <c r="B248" s="7" t="s">
        <v>95</v>
      </c>
      <c r="C248" s="7">
        <v>1</v>
      </c>
      <c r="D248" s="7">
        <v>1</v>
      </c>
      <c r="E248" s="7" t="s">
        <v>92</v>
      </c>
      <c r="F248" s="7">
        <v>52</v>
      </c>
      <c r="G248" s="7">
        <v>12</v>
      </c>
      <c r="H248" s="7">
        <v>10</v>
      </c>
      <c r="I248" s="7">
        <v>1</v>
      </c>
      <c r="J248" s="7">
        <v>1000000</v>
      </c>
    </row>
    <row r="249" spans="1:10" x14ac:dyDescent="0.2">
      <c r="A249" s="7">
        <v>246</v>
      </c>
      <c r="B249" s="7" t="s">
        <v>95</v>
      </c>
      <c r="C249" s="7">
        <v>1</v>
      </c>
      <c r="D249" s="7">
        <v>1</v>
      </c>
      <c r="E249" s="7" t="s">
        <v>93</v>
      </c>
      <c r="F249" s="7">
        <v>52</v>
      </c>
      <c r="G249" s="7">
        <v>12</v>
      </c>
      <c r="H249" s="7">
        <v>10</v>
      </c>
      <c r="I249" s="7">
        <v>1</v>
      </c>
      <c r="J249" s="7">
        <v>1000000</v>
      </c>
    </row>
    <row r="250" spans="1:10" x14ac:dyDescent="0.2">
      <c r="A250" s="7">
        <v>247</v>
      </c>
      <c r="B250" s="7" t="s">
        <v>95</v>
      </c>
      <c r="C250" s="7">
        <v>1</v>
      </c>
      <c r="D250" s="7">
        <v>1</v>
      </c>
      <c r="E250" s="7" t="s">
        <v>92</v>
      </c>
      <c r="F250" s="7">
        <v>53</v>
      </c>
      <c r="G250" s="7">
        <v>12</v>
      </c>
      <c r="H250" s="7">
        <v>10</v>
      </c>
      <c r="I250" s="7">
        <v>1</v>
      </c>
      <c r="J250" s="7">
        <v>1000000</v>
      </c>
    </row>
    <row r="251" spans="1:10" x14ac:dyDescent="0.2">
      <c r="A251" s="7">
        <v>248</v>
      </c>
      <c r="B251" s="7" t="s">
        <v>95</v>
      </c>
      <c r="C251" s="7">
        <v>1</v>
      </c>
      <c r="D251" s="7">
        <v>1</v>
      </c>
      <c r="E251" s="7" t="s">
        <v>93</v>
      </c>
      <c r="F251" s="7">
        <v>53</v>
      </c>
      <c r="G251" s="7">
        <v>12</v>
      </c>
      <c r="H251" s="7">
        <v>10</v>
      </c>
      <c r="I251" s="7">
        <v>1</v>
      </c>
      <c r="J251" s="7">
        <v>1000000</v>
      </c>
    </row>
    <row r="252" spans="1:10" x14ac:dyDescent="0.2">
      <c r="A252" s="7">
        <v>249</v>
      </c>
      <c r="B252" s="7" t="s">
        <v>95</v>
      </c>
      <c r="C252" s="7">
        <v>1</v>
      </c>
      <c r="D252" s="7">
        <v>1</v>
      </c>
      <c r="E252" s="7" t="s">
        <v>92</v>
      </c>
      <c r="F252" s="7">
        <v>54</v>
      </c>
      <c r="G252" s="7">
        <v>12</v>
      </c>
      <c r="H252" s="7">
        <v>10</v>
      </c>
      <c r="I252" s="7">
        <v>1</v>
      </c>
      <c r="J252" s="7">
        <v>1000000</v>
      </c>
    </row>
    <row r="253" spans="1:10" x14ac:dyDescent="0.2">
      <c r="A253" s="7">
        <v>250</v>
      </c>
      <c r="B253" s="7" t="s">
        <v>95</v>
      </c>
      <c r="C253" s="7">
        <v>1</v>
      </c>
      <c r="D253" s="7">
        <v>1</v>
      </c>
      <c r="E253" s="7" t="s">
        <v>93</v>
      </c>
      <c r="F253" s="7">
        <v>54</v>
      </c>
      <c r="G253" s="7">
        <v>12</v>
      </c>
      <c r="H253" s="7">
        <v>10</v>
      </c>
      <c r="I253" s="7">
        <v>1</v>
      </c>
      <c r="J253" s="7">
        <v>1000000</v>
      </c>
    </row>
    <row r="254" spans="1:10" x14ac:dyDescent="0.2">
      <c r="A254" s="7">
        <v>251</v>
      </c>
      <c r="B254" s="7" t="s">
        <v>95</v>
      </c>
      <c r="C254" s="7">
        <v>1</v>
      </c>
      <c r="D254" s="7">
        <v>1</v>
      </c>
      <c r="E254" s="7" t="s">
        <v>92</v>
      </c>
      <c r="F254" s="7">
        <v>55</v>
      </c>
      <c r="G254" s="7">
        <v>12</v>
      </c>
      <c r="H254" s="7">
        <v>10</v>
      </c>
      <c r="I254" s="7">
        <v>1</v>
      </c>
      <c r="J254" s="7">
        <v>1000000</v>
      </c>
    </row>
    <row r="255" spans="1:10" x14ac:dyDescent="0.2">
      <c r="A255" s="7">
        <v>252</v>
      </c>
      <c r="B255" s="7" t="s">
        <v>95</v>
      </c>
      <c r="C255" s="7">
        <v>1</v>
      </c>
      <c r="D255" s="7">
        <v>1</v>
      </c>
      <c r="E255" s="7" t="s">
        <v>93</v>
      </c>
      <c r="F255" s="7">
        <v>55</v>
      </c>
      <c r="G255" s="7">
        <v>12</v>
      </c>
      <c r="H255" s="7">
        <v>10</v>
      </c>
      <c r="I255" s="7">
        <v>1</v>
      </c>
      <c r="J255" s="7">
        <v>1000000</v>
      </c>
    </row>
    <row r="256" spans="1:10" x14ac:dyDescent="0.2">
      <c r="A256" s="7">
        <v>253</v>
      </c>
      <c r="B256" s="7" t="s">
        <v>95</v>
      </c>
      <c r="C256" s="7">
        <v>1</v>
      </c>
      <c r="D256" s="7">
        <v>1</v>
      </c>
      <c r="E256" s="7" t="s">
        <v>92</v>
      </c>
      <c r="F256" s="7">
        <v>56</v>
      </c>
      <c r="G256" s="7">
        <v>12</v>
      </c>
      <c r="H256" s="7">
        <v>10</v>
      </c>
      <c r="I256" s="7">
        <v>1</v>
      </c>
      <c r="J256" s="7">
        <v>1000000</v>
      </c>
    </row>
    <row r="257" spans="1:10" x14ac:dyDescent="0.2">
      <c r="A257" s="7">
        <v>254</v>
      </c>
      <c r="B257" s="7" t="s">
        <v>95</v>
      </c>
      <c r="C257" s="7">
        <v>1</v>
      </c>
      <c r="D257" s="7">
        <v>1</v>
      </c>
      <c r="E257" s="7" t="s">
        <v>93</v>
      </c>
      <c r="F257" s="7">
        <v>56</v>
      </c>
      <c r="G257" s="7">
        <v>12</v>
      </c>
      <c r="H257" s="7">
        <v>10</v>
      </c>
      <c r="I257" s="7">
        <v>1</v>
      </c>
      <c r="J257" s="7">
        <v>1000000</v>
      </c>
    </row>
    <row r="258" spans="1:10" x14ac:dyDescent="0.2">
      <c r="A258" s="7">
        <v>255</v>
      </c>
      <c r="B258" s="7" t="s">
        <v>95</v>
      </c>
      <c r="C258" s="7">
        <v>1</v>
      </c>
      <c r="D258" s="7">
        <v>1</v>
      </c>
      <c r="E258" s="7" t="s">
        <v>92</v>
      </c>
      <c r="F258" s="7">
        <v>57</v>
      </c>
      <c r="G258" s="7">
        <v>12</v>
      </c>
      <c r="H258" s="7">
        <v>10</v>
      </c>
      <c r="I258" s="7">
        <v>1</v>
      </c>
      <c r="J258" s="7">
        <v>1000000</v>
      </c>
    </row>
    <row r="259" spans="1:10" x14ac:dyDescent="0.2">
      <c r="A259" s="7">
        <v>256</v>
      </c>
      <c r="B259" s="7" t="s">
        <v>95</v>
      </c>
      <c r="C259" s="7">
        <v>1</v>
      </c>
      <c r="D259" s="7">
        <v>1</v>
      </c>
      <c r="E259" s="7" t="s">
        <v>93</v>
      </c>
      <c r="F259" s="7">
        <v>57</v>
      </c>
      <c r="G259" s="7">
        <v>12</v>
      </c>
      <c r="H259" s="7">
        <v>10</v>
      </c>
      <c r="I259" s="7">
        <v>1</v>
      </c>
      <c r="J259" s="7">
        <v>1000000</v>
      </c>
    </row>
    <row r="260" spans="1:10" x14ac:dyDescent="0.2">
      <c r="A260" s="7">
        <v>257</v>
      </c>
      <c r="B260" s="7" t="s">
        <v>95</v>
      </c>
      <c r="C260" s="7">
        <v>1</v>
      </c>
      <c r="D260" s="7">
        <v>1</v>
      </c>
      <c r="E260" s="7" t="s">
        <v>92</v>
      </c>
      <c r="F260" s="7">
        <v>58</v>
      </c>
      <c r="G260" s="7">
        <v>12</v>
      </c>
      <c r="H260" s="7">
        <v>10</v>
      </c>
      <c r="I260" s="7">
        <v>1</v>
      </c>
      <c r="J260" s="7">
        <v>1000000</v>
      </c>
    </row>
    <row r="261" spans="1:10" x14ac:dyDescent="0.2">
      <c r="A261" s="7">
        <v>258</v>
      </c>
      <c r="B261" s="7" t="s">
        <v>95</v>
      </c>
      <c r="C261" s="7">
        <v>1</v>
      </c>
      <c r="D261" s="7">
        <v>1</v>
      </c>
      <c r="E261" s="7" t="s">
        <v>93</v>
      </c>
      <c r="F261" s="7">
        <v>58</v>
      </c>
      <c r="G261" s="7">
        <v>12</v>
      </c>
      <c r="H261" s="7">
        <v>10</v>
      </c>
      <c r="I261" s="7">
        <v>1</v>
      </c>
      <c r="J261" s="7">
        <v>1000000</v>
      </c>
    </row>
    <row r="262" spans="1:10" x14ac:dyDescent="0.2">
      <c r="A262" s="7">
        <v>259</v>
      </c>
      <c r="B262" s="7" t="s">
        <v>95</v>
      </c>
      <c r="C262" s="7">
        <v>1</v>
      </c>
      <c r="D262" s="7">
        <v>1</v>
      </c>
      <c r="E262" s="7" t="s">
        <v>92</v>
      </c>
      <c r="F262" s="7">
        <v>59</v>
      </c>
      <c r="G262" s="7">
        <v>12</v>
      </c>
      <c r="H262" s="7">
        <v>10</v>
      </c>
      <c r="I262" s="7">
        <v>1</v>
      </c>
      <c r="J262" s="7">
        <v>1000000</v>
      </c>
    </row>
    <row r="263" spans="1:10" x14ac:dyDescent="0.2">
      <c r="A263" s="7">
        <v>260</v>
      </c>
      <c r="B263" s="7" t="s">
        <v>95</v>
      </c>
      <c r="C263" s="7">
        <v>1</v>
      </c>
      <c r="D263" s="7">
        <v>1</v>
      </c>
      <c r="E263" s="7" t="s">
        <v>93</v>
      </c>
      <c r="F263" s="7">
        <v>59</v>
      </c>
      <c r="G263" s="7">
        <v>12</v>
      </c>
      <c r="H263" s="7">
        <v>10</v>
      </c>
      <c r="I263" s="7">
        <v>1</v>
      </c>
      <c r="J263" s="7">
        <v>1000000</v>
      </c>
    </row>
    <row r="264" spans="1:10" x14ac:dyDescent="0.2">
      <c r="A264" s="7">
        <v>261</v>
      </c>
      <c r="B264" s="7" t="s">
        <v>95</v>
      </c>
      <c r="C264" s="7">
        <v>1</v>
      </c>
      <c r="D264" s="7">
        <v>1</v>
      </c>
      <c r="E264" s="7" t="s">
        <v>92</v>
      </c>
      <c r="F264" s="7">
        <v>60</v>
      </c>
      <c r="G264" s="7">
        <v>12</v>
      </c>
      <c r="H264" s="7">
        <v>10</v>
      </c>
      <c r="I264" s="7">
        <v>1</v>
      </c>
      <c r="J264" s="7">
        <v>1000000</v>
      </c>
    </row>
    <row r="265" spans="1:10" x14ac:dyDescent="0.2">
      <c r="A265" s="7">
        <v>262</v>
      </c>
      <c r="B265" s="7" t="s">
        <v>95</v>
      </c>
      <c r="C265" s="7">
        <v>1</v>
      </c>
      <c r="D265" s="7">
        <v>1</v>
      </c>
      <c r="E265" s="7" t="s">
        <v>93</v>
      </c>
      <c r="F265" s="7">
        <v>60</v>
      </c>
      <c r="G265" s="7">
        <v>12</v>
      </c>
      <c r="H265" s="7">
        <v>10</v>
      </c>
      <c r="I265" s="7">
        <v>1</v>
      </c>
      <c r="J265" s="7">
        <v>1000000</v>
      </c>
    </row>
    <row r="266" spans="1:10" x14ac:dyDescent="0.2">
      <c r="A266" s="7">
        <v>263</v>
      </c>
      <c r="B266" s="7" t="s">
        <v>95</v>
      </c>
      <c r="C266" s="7">
        <v>1</v>
      </c>
      <c r="D266" s="7">
        <v>1</v>
      </c>
      <c r="E266" s="7" t="s">
        <v>92</v>
      </c>
      <c r="F266" s="7">
        <v>61</v>
      </c>
      <c r="G266" s="7">
        <v>12</v>
      </c>
      <c r="H266" s="7">
        <v>10</v>
      </c>
      <c r="I266" s="7">
        <v>1</v>
      </c>
      <c r="J266" s="7">
        <v>1000000</v>
      </c>
    </row>
    <row r="267" spans="1:10" x14ac:dyDescent="0.2">
      <c r="A267" s="7">
        <v>264</v>
      </c>
      <c r="B267" s="7" t="s">
        <v>95</v>
      </c>
      <c r="C267" s="7">
        <v>1</v>
      </c>
      <c r="D267" s="7">
        <v>1</v>
      </c>
      <c r="E267" s="7" t="s">
        <v>93</v>
      </c>
      <c r="F267" s="7">
        <v>61</v>
      </c>
      <c r="G267" s="7">
        <v>12</v>
      </c>
      <c r="H267" s="7">
        <v>10</v>
      </c>
      <c r="I267" s="7">
        <v>1</v>
      </c>
      <c r="J267" s="7">
        <v>1000000</v>
      </c>
    </row>
    <row r="268" spans="1:10" x14ac:dyDescent="0.2">
      <c r="A268" s="7">
        <v>265</v>
      </c>
      <c r="B268" s="7" t="s">
        <v>95</v>
      </c>
      <c r="C268" s="7">
        <v>1</v>
      </c>
      <c r="D268" s="7">
        <v>1</v>
      </c>
      <c r="E268" s="7" t="s">
        <v>92</v>
      </c>
      <c r="F268" s="7">
        <v>62</v>
      </c>
      <c r="G268" s="7">
        <v>12</v>
      </c>
      <c r="H268" s="7">
        <v>10</v>
      </c>
      <c r="I268" s="7">
        <v>1</v>
      </c>
      <c r="J268" s="7">
        <v>1000000</v>
      </c>
    </row>
    <row r="269" spans="1:10" x14ac:dyDescent="0.2">
      <c r="A269" s="7">
        <v>266</v>
      </c>
      <c r="B269" s="7" t="s">
        <v>95</v>
      </c>
      <c r="C269" s="7">
        <v>1</v>
      </c>
      <c r="D269" s="7">
        <v>1</v>
      </c>
      <c r="E269" s="7" t="s">
        <v>93</v>
      </c>
      <c r="F269" s="7">
        <v>62</v>
      </c>
      <c r="G269" s="7">
        <v>12</v>
      </c>
      <c r="H269" s="7">
        <v>10</v>
      </c>
      <c r="I269" s="7">
        <v>1</v>
      </c>
      <c r="J269" s="7">
        <v>1000000</v>
      </c>
    </row>
    <row r="270" spans="1:10" x14ac:dyDescent="0.2">
      <c r="A270" s="7">
        <v>267</v>
      </c>
      <c r="B270" s="7" t="s">
        <v>95</v>
      </c>
      <c r="C270" s="7">
        <v>1</v>
      </c>
      <c r="D270" s="7">
        <v>1</v>
      </c>
      <c r="E270" s="7" t="s">
        <v>92</v>
      </c>
      <c r="F270" s="7">
        <v>63</v>
      </c>
      <c r="G270" s="7">
        <v>12</v>
      </c>
      <c r="H270" s="7">
        <v>10</v>
      </c>
      <c r="I270" s="7">
        <v>1</v>
      </c>
      <c r="J270" s="7">
        <v>1000000</v>
      </c>
    </row>
    <row r="271" spans="1:10" x14ac:dyDescent="0.2">
      <c r="A271" s="7">
        <v>268</v>
      </c>
      <c r="B271" s="7" t="s">
        <v>95</v>
      </c>
      <c r="C271" s="7">
        <v>1</v>
      </c>
      <c r="D271" s="7">
        <v>1</v>
      </c>
      <c r="E271" s="7" t="s">
        <v>93</v>
      </c>
      <c r="F271" s="7">
        <v>63</v>
      </c>
      <c r="G271" s="7">
        <v>12</v>
      </c>
      <c r="H271" s="7">
        <v>10</v>
      </c>
      <c r="I271" s="7">
        <v>1</v>
      </c>
      <c r="J271" s="7">
        <v>1000000</v>
      </c>
    </row>
    <row r="272" spans="1:10" x14ac:dyDescent="0.2">
      <c r="A272" s="7">
        <v>269</v>
      </c>
      <c r="B272" s="7" t="s">
        <v>95</v>
      </c>
      <c r="C272" s="7">
        <v>1</v>
      </c>
      <c r="D272" s="7">
        <v>1</v>
      </c>
      <c r="E272" s="7" t="s">
        <v>92</v>
      </c>
      <c r="F272" s="7">
        <v>64</v>
      </c>
      <c r="G272" s="7">
        <v>12</v>
      </c>
      <c r="H272" s="7">
        <v>10</v>
      </c>
      <c r="I272" s="7">
        <v>1</v>
      </c>
      <c r="J272" s="7">
        <v>1000000</v>
      </c>
    </row>
    <row r="273" spans="1:10" x14ac:dyDescent="0.2">
      <c r="A273" s="7">
        <v>270</v>
      </c>
      <c r="B273" s="7" t="s">
        <v>95</v>
      </c>
      <c r="C273" s="7">
        <v>1</v>
      </c>
      <c r="D273" s="7">
        <v>1</v>
      </c>
      <c r="E273" s="7" t="s">
        <v>93</v>
      </c>
      <c r="F273" s="7">
        <v>64</v>
      </c>
      <c r="G273" s="7">
        <v>12</v>
      </c>
      <c r="H273" s="7">
        <v>10</v>
      </c>
      <c r="I273" s="7">
        <v>1</v>
      </c>
      <c r="J273" s="7">
        <v>1000000</v>
      </c>
    </row>
    <row r="274" spans="1:10" x14ac:dyDescent="0.2">
      <c r="A274" s="7">
        <v>271</v>
      </c>
      <c r="B274" s="7" t="s">
        <v>95</v>
      </c>
      <c r="C274" s="7">
        <v>1</v>
      </c>
      <c r="D274" s="7">
        <v>1</v>
      </c>
      <c r="E274" s="7" t="s">
        <v>92</v>
      </c>
      <c r="F274" s="7">
        <v>65</v>
      </c>
      <c r="G274" s="7">
        <v>12</v>
      </c>
      <c r="H274" s="7">
        <v>10</v>
      </c>
      <c r="I274" s="7">
        <v>1</v>
      </c>
      <c r="J274" s="7">
        <v>1000000</v>
      </c>
    </row>
    <row r="275" spans="1:10" x14ac:dyDescent="0.2">
      <c r="A275" s="7">
        <v>272</v>
      </c>
      <c r="B275" s="7" t="s">
        <v>95</v>
      </c>
      <c r="C275" s="7">
        <v>1</v>
      </c>
      <c r="D275" s="7">
        <v>1</v>
      </c>
      <c r="E275" s="7" t="s">
        <v>93</v>
      </c>
      <c r="F275" s="7">
        <v>65</v>
      </c>
      <c r="G275" s="7">
        <v>12</v>
      </c>
      <c r="H275" s="7">
        <v>10</v>
      </c>
      <c r="I275" s="7">
        <v>1</v>
      </c>
      <c r="J275" s="7">
        <v>1000000</v>
      </c>
    </row>
    <row r="276" spans="1:10" x14ac:dyDescent="0.2">
      <c r="A276" s="7">
        <v>273</v>
      </c>
      <c r="B276" s="7" t="s">
        <v>95</v>
      </c>
      <c r="C276" s="7">
        <v>1</v>
      </c>
      <c r="D276" s="7">
        <v>1</v>
      </c>
      <c r="E276" s="7" t="s">
        <v>92</v>
      </c>
      <c r="F276" s="7">
        <v>66</v>
      </c>
      <c r="G276" s="7">
        <v>12</v>
      </c>
      <c r="H276" s="7">
        <v>10</v>
      </c>
      <c r="I276" s="7">
        <v>1</v>
      </c>
      <c r="J276" s="7">
        <v>1000000</v>
      </c>
    </row>
    <row r="277" spans="1:10" x14ac:dyDescent="0.2">
      <c r="A277" s="7">
        <v>274</v>
      </c>
      <c r="B277" s="7" t="s">
        <v>95</v>
      </c>
      <c r="C277" s="7">
        <v>1</v>
      </c>
      <c r="D277" s="7">
        <v>1</v>
      </c>
      <c r="E277" s="7" t="s">
        <v>93</v>
      </c>
      <c r="F277" s="7">
        <v>66</v>
      </c>
      <c r="G277" s="7">
        <v>12</v>
      </c>
      <c r="H277" s="7">
        <v>10</v>
      </c>
      <c r="I277" s="7">
        <v>1</v>
      </c>
      <c r="J277" s="7">
        <v>1000000</v>
      </c>
    </row>
    <row r="278" spans="1:10" x14ac:dyDescent="0.2">
      <c r="A278" s="7">
        <v>275</v>
      </c>
      <c r="B278" s="7" t="s">
        <v>95</v>
      </c>
      <c r="C278" s="7">
        <v>1</v>
      </c>
      <c r="D278" s="7">
        <v>1</v>
      </c>
      <c r="E278" s="7" t="s">
        <v>92</v>
      </c>
      <c r="F278" s="7">
        <v>67</v>
      </c>
      <c r="G278" s="7">
        <v>12</v>
      </c>
      <c r="H278" s="7">
        <v>10</v>
      </c>
      <c r="I278" s="7">
        <v>1</v>
      </c>
      <c r="J278" s="7">
        <v>1000000</v>
      </c>
    </row>
    <row r="279" spans="1:10" x14ac:dyDescent="0.2">
      <c r="A279" s="7">
        <v>276</v>
      </c>
      <c r="B279" s="7" t="s">
        <v>95</v>
      </c>
      <c r="C279" s="7">
        <v>1</v>
      </c>
      <c r="D279" s="7">
        <v>1</v>
      </c>
      <c r="E279" s="7" t="s">
        <v>93</v>
      </c>
      <c r="F279" s="7">
        <v>67</v>
      </c>
      <c r="G279" s="7">
        <v>12</v>
      </c>
      <c r="H279" s="7">
        <v>10</v>
      </c>
      <c r="I279" s="7">
        <v>1</v>
      </c>
      <c r="J279" s="7">
        <v>1000000</v>
      </c>
    </row>
    <row r="280" spans="1:10" x14ac:dyDescent="0.2">
      <c r="A280" s="7">
        <v>277</v>
      </c>
      <c r="B280" s="7" t="s">
        <v>95</v>
      </c>
      <c r="C280" s="7">
        <v>1</v>
      </c>
      <c r="D280" s="7">
        <v>1</v>
      </c>
      <c r="E280" s="7" t="s">
        <v>92</v>
      </c>
      <c r="F280" s="7">
        <v>68</v>
      </c>
      <c r="G280" s="7">
        <v>12</v>
      </c>
      <c r="H280" s="7">
        <v>10</v>
      </c>
      <c r="I280" s="7">
        <v>1</v>
      </c>
      <c r="J280" s="7">
        <v>1000000</v>
      </c>
    </row>
    <row r="281" spans="1:10" x14ac:dyDescent="0.2">
      <c r="A281" s="7">
        <v>278</v>
      </c>
      <c r="B281" s="7" t="s">
        <v>95</v>
      </c>
      <c r="C281" s="7">
        <v>1</v>
      </c>
      <c r="D281" s="7">
        <v>1</v>
      </c>
      <c r="E281" s="7" t="s">
        <v>93</v>
      </c>
      <c r="F281" s="7">
        <v>68</v>
      </c>
      <c r="G281" s="7">
        <v>12</v>
      </c>
      <c r="H281" s="7">
        <v>10</v>
      </c>
      <c r="I281" s="7">
        <v>1</v>
      </c>
      <c r="J281" s="7">
        <v>1000000</v>
      </c>
    </row>
    <row r="282" spans="1:10" x14ac:dyDescent="0.2">
      <c r="A282" s="7">
        <v>279</v>
      </c>
      <c r="B282" s="7" t="s">
        <v>95</v>
      </c>
      <c r="C282" s="7">
        <v>1</v>
      </c>
      <c r="D282" s="7">
        <v>1</v>
      </c>
      <c r="E282" s="7" t="s">
        <v>92</v>
      </c>
      <c r="F282" s="7">
        <v>69</v>
      </c>
      <c r="G282" s="7">
        <v>12</v>
      </c>
      <c r="H282" s="7">
        <v>10</v>
      </c>
      <c r="I282" s="7">
        <v>1</v>
      </c>
      <c r="J282" s="7">
        <v>1000000</v>
      </c>
    </row>
    <row r="283" spans="1:10" x14ac:dyDescent="0.2">
      <c r="A283" s="7">
        <v>280</v>
      </c>
      <c r="B283" s="7" t="s">
        <v>95</v>
      </c>
      <c r="C283" s="7">
        <v>1</v>
      </c>
      <c r="D283" s="7">
        <v>1</v>
      </c>
      <c r="E283" s="7" t="s">
        <v>93</v>
      </c>
      <c r="F283" s="7">
        <v>69</v>
      </c>
      <c r="G283" s="7">
        <v>12</v>
      </c>
      <c r="H283" s="7">
        <v>10</v>
      </c>
      <c r="I283" s="7">
        <v>1</v>
      </c>
      <c r="J283" s="7">
        <v>1000000</v>
      </c>
    </row>
    <row r="284" spans="1:10" x14ac:dyDescent="0.2">
      <c r="A284" s="7">
        <v>281</v>
      </c>
      <c r="B284" s="7" t="s">
        <v>95</v>
      </c>
      <c r="C284" s="7">
        <v>1</v>
      </c>
      <c r="D284" s="7">
        <v>1</v>
      </c>
      <c r="E284" s="7" t="s">
        <v>92</v>
      </c>
      <c r="F284" s="7">
        <v>70</v>
      </c>
      <c r="G284" s="7">
        <v>12</v>
      </c>
      <c r="H284" s="7">
        <v>10</v>
      </c>
      <c r="I284" s="7">
        <v>1</v>
      </c>
      <c r="J284" s="7">
        <v>1000000</v>
      </c>
    </row>
    <row r="285" spans="1:10" x14ac:dyDescent="0.2">
      <c r="A285" s="7">
        <v>282</v>
      </c>
      <c r="B285" s="7" t="s">
        <v>95</v>
      </c>
      <c r="C285" s="7">
        <v>1</v>
      </c>
      <c r="D285" s="7">
        <v>1</v>
      </c>
      <c r="E285" s="7" t="s">
        <v>93</v>
      </c>
      <c r="F285" s="7">
        <v>70</v>
      </c>
      <c r="G285" s="7">
        <v>12</v>
      </c>
      <c r="H285" s="7">
        <v>10</v>
      </c>
      <c r="I285" s="7">
        <v>1</v>
      </c>
      <c r="J285" s="7">
        <v>1000000</v>
      </c>
    </row>
    <row r="286" spans="1:10" x14ac:dyDescent="0.2">
      <c r="A286" s="7">
        <v>283</v>
      </c>
      <c r="B286" s="7" t="s">
        <v>95</v>
      </c>
      <c r="C286" s="7">
        <v>1</v>
      </c>
      <c r="D286" s="7">
        <v>1</v>
      </c>
      <c r="E286" s="7" t="s">
        <v>92</v>
      </c>
      <c r="F286" s="7">
        <v>71</v>
      </c>
      <c r="G286" s="7">
        <v>12</v>
      </c>
      <c r="H286" s="7">
        <v>10</v>
      </c>
      <c r="I286" s="7">
        <v>1</v>
      </c>
      <c r="J286" s="7">
        <v>1000000</v>
      </c>
    </row>
    <row r="287" spans="1:10" x14ac:dyDescent="0.2">
      <c r="A287" s="7">
        <v>284</v>
      </c>
      <c r="B287" s="7" t="s">
        <v>95</v>
      </c>
      <c r="C287" s="7">
        <v>1</v>
      </c>
      <c r="D287" s="7">
        <v>1</v>
      </c>
      <c r="E287" s="7" t="s">
        <v>93</v>
      </c>
      <c r="F287" s="7">
        <v>71</v>
      </c>
      <c r="G287" s="7">
        <v>12</v>
      </c>
      <c r="H287" s="7">
        <v>10</v>
      </c>
      <c r="I287" s="7">
        <v>1</v>
      </c>
      <c r="J287" s="7">
        <v>1000000</v>
      </c>
    </row>
    <row r="288" spans="1:10" x14ac:dyDescent="0.2">
      <c r="A288" s="7">
        <v>285</v>
      </c>
      <c r="B288" s="7" t="s">
        <v>95</v>
      </c>
      <c r="C288" s="7">
        <v>1</v>
      </c>
      <c r="D288" s="7">
        <v>1</v>
      </c>
      <c r="E288" s="7" t="s">
        <v>92</v>
      </c>
      <c r="F288" s="7">
        <v>72</v>
      </c>
      <c r="G288" s="7">
        <v>12</v>
      </c>
      <c r="H288" s="7">
        <v>10</v>
      </c>
      <c r="I288" s="7">
        <v>1</v>
      </c>
      <c r="J288" s="7">
        <v>1000000</v>
      </c>
    </row>
    <row r="289" spans="1:10" x14ac:dyDescent="0.2">
      <c r="A289" s="7">
        <v>286</v>
      </c>
      <c r="B289" s="7" t="s">
        <v>95</v>
      </c>
      <c r="C289" s="7">
        <v>1</v>
      </c>
      <c r="D289" s="7">
        <v>1</v>
      </c>
      <c r="E289" s="7" t="s">
        <v>93</v>
      </c>
      <c r="F289" s="7">
        <v>72</v>
      </c>
      <c r="G289" s="7">
        <v>12</v>
      </c>
      <c r="H289" s="7">
        <v>10</v>
      </c>
      <c r="I289" s="7">
        <v>1</v>
      </c>
      <c r="J289" s="7">
        <v>1000000</v>
      </c>
    </row>
    <row r="290" spans="1:10" x14ac:dyDescent="0.2">
      <c r="A290" s="7">
        <v>287</v>
      </c>
      <c r="B290" s="7" t="s">
        <v>95</v>
      </c>
      <c r="C290" s="7">
        <v>1</v>
      </c>
      <c r="D290" s="7">
        <v>1</v>
      </c>
      <c r="E290" s="7" t="s">
        <v>92</v>
      </c>
      <c r="F290" s="7">
        <v>73</v>
      </c>
      <c r="G290" s="7">
        <v>12</v>
      </c>
      <c r="H290" s="7">
        <v>10</v>
      </c>
      <c r="I290" s="7">
        <v>1</v>
      </c>
      <c r="J290" s="7">
        <v>1000000</v>
      </c>
    </row>
    <row r="291" spans="1:10" x14ac:dyDescent="0.2">
      <c r="A291" s="7">
        <v>288</v>
      </c>
      <c r="B291" s="7" t="s">
        <v>95</v>
      </c>
      <c r="C291" s="7">
        <v>1</v>
      </c>
      <c r="D291" s="7">
        <v>1</v>
      </c>
      <c r="E291" s="7" t="s">
        <v>93</v>
      </c>
      <c r="F291" s="7">
        <v>73</v>
      </c>
      <c r="G291" s="7">
        <v>12</v>
      </c>
      <c r="H291" s="7">
        <v>10</v>
      </c>
      <c r="I291" s="7">
        <v>1</v>
      </c>
      <c r="J291" s="7">
        <v>1000000</v>
      </c>
    </row>
    <row r="292" spans="1:10" x14ac:dyDescent="0.2">
      <c r="A292" s="7">
        <v>289</v>
      </c>
      <c r="B292" s="7" t="s">
        <v>95</v>
      </c>
      <c r="C292" s="7">
        <v>1</v>
      </c>
      <c r="D292" s="7">
        <v>1</v>
      </c>
      <c r="E292" s="7" t="s">
        <v>92</v>
      </c>
      <c r="F292" s="7">
        <v>74</v>
      </c>
      <c r="G292" s="7">
        <v>12</v>
      </c>
      <c r="H292" s="7">
        <v>10</v>
      </c>
      <c r="I292" s="7">
        <v>1</v>
      </c>
      <c r="J292" s="7">
        <v>1000000</v>
      </c>
    </row>
    <row r="293" spans="1:10" x14ac:dyDescent="0.2">
      <c r="A293" s="7">
        <v>290</v>
      </c>
      <c r="B293" s="7" t="s">
        <v>95</v>
      </c>
      <c r="C293" s="7">
        <v>1</v>
      </c>
      <c r="D293" s="7">
        <v>1</v>
      </c>
      <c r="E293" s="7" t="s">
        <v>93</v>
      </c>
      <c r="F293" s="7">
        <v>74</v>
      </c>
      <c r="G293" s="7">
        <v>12</v>
      </c>
      <c r="H293" s="7">
        <v>10</v>
      </c>
      <c r="I293" s="7">
        <v>1</v>
      </c>
      <c r="J293" s="7">
        <v>1000000</v>
      </c>
    </row>
    <row r="294" spans="1:10" x14ac:dyDescent="0.2">
      <c r="A294" s="7">
        <v>291</v>
      </c>
      <c r="B294" s="7" t="s">
        <v>95</v>
      </c>
      <c r="C294" s="7">
        <v>1</v>
      </c>
      <c r="D294" s="7">
        <v>1</v>
      </c>
      <c r="E294" s="7" t="s">
        <v>92</v>
      </c>
      <c r="F294" s="7">
        <v>75</v>
      </c>
      <c r="G294" s="7">
        <v>12</v>
      </c>
      <c r="H294" s="7">
        <v>10</v>
      </c>
      <c r="I294" s="7">
        <v>1</v>
      </c>
      <c r="J294" s="7">
        <v>1000000</v>
      </c>
    </row>
    <row r="295" spans="1:10" x14ac:dyDescent="0.2">
      <c r="A295" s="7">
        <v>292</v>
      </c>
      <c r="B295" s="7" t="s">
        <v>95</v>
      </c>
      <c r="C295" s="7">
        <v>1</v>
      </c>
      <c r="D295" s="7">
        <v>1</v>
      </c>
      <c r="E295" s="7" t="s">
        <v>93</v>
      </c>
      <c r="F295" s="7">
        <v>75</v>
      </c>
      <c r="G295" s="7">
        <v>12</v>
      </c>
      <c r="H295" s="7">
        <v>10</v>
      </c>
      <c r="I295" s="7">
        <v>1</v>
      </c>
      <c r="J295" s="7">
        <v>1000000</v>
      </c>
    </row>
    <row r="296" spans="1:10" x14ac:dyDescent="0.2">
      <c r="A296" s="7">
        <v>293</v>
      </c>
      <c r="B296" s="7" t="s">
        <v>95</v>
      </c>
      <c r="C296" s="7">
        <v>1</v>
      </c>
      <c r="D296" s="7">
        <v>1</v>
      </c>
      <c r="E296" s="7" t="s">
        <v>92</v>
      </c>
      <c r="F296" s="7">
        <v>76</v>
      </c>
      <c r="G296" s="7">
        <v>12</v>
      </c>
      <c r="H296" s="7">
        <v>10</v>
      </c>
      <c r="I296" s="7">
        <v>1</v>
      </c>
      <c r="J296" s="7">
        <v>1000000</v>
      </c>
    </row>
    <row r="297" spans="1:10" x14ac:dyDescent="0.2">
      <c r="A297" s="7">
        <v>294</v>
      </c>
      <c r="B297" s="7" t="s">
        <v>95</v>
      </c>
      <c r="C297" s="7">
        <v>1</v>
      </c>
      <c r="D297" s="7">
        <v>1</v>
      </c>
      <c r="E297" s="7" t="s">
        <v>93</v>
      </c>
      <c r="F297" s="7">
        <v>76</v>
      </c>
      <c r="G297" s="7">
        <v>12</v>
      </c>
      <c r="H297" s="7">
        <v>10</v>
      </c>
      <c r="I297" s="7">
        <v>1</v>
      </c>
      <c r="J297" s="7">
        <v>1000000</v>
      </c>
    </row>
    <row r="298" spans="1:10" x14ac:dyDescent="0.2">
      <c r="A298" s="7">
        <v>295</v>
      </c>
      <c r="B298" s="7" t="s">
        <v>95</v>
      </c>
      <c r="C298" s="7">
        <v>1</v>
      </c>
      <c r="D298" s="7">
        <v>1</v>
      </c>
      <c r="E298" s="7" t="s">
        <v>92</v>
      </c>
      <c r="F298" s="7">
        <v>77</v>
      </c>
      <c r="G298" s="7">
        <v>12</v>
      </c>
      <c r="H298" s="7">
        <v>10</v>
      </c>
      <c r="I298" s="7">
        <v>1</v>
      </c>
      <c r="J298" s="7">
        <v>1000000</v>
      </c>
    </row>
    <row r="299" spans="1:10" x14ac:dyDescent="0.2">
      <c r="A299" s="7">
        <v>296</v>
      </c>
      <c r="B299" s="7" t="s">
        <v>95</v>
      </c>
      <c r="C299" s="7">
        <v>1</v>
      </c>
      <c r="D299" s="7">
        <v>1</v>
      </c>
      <c r="E299" s="7" t="s">
        <v>93</v>
      </c>
      <c r="F299" s="7">
        <v>77</v>
      </c>
      <c r="G299" s="7">
        <v>12</v>
      </c>
      <c r="H299" s="7">
        <v>10</v>
      </c>
      <c r="I299" s="7">
        <v>1</v>
      </c>
      <c r="J299" s="7">
        <v>1000000</v>
      </c>
    </row>
    <row r="300" spans="1:10" x14ac:dyDescent="0.2">
      <c r="A300" s="7">
        <v>297</v>
      </c>
      <c r="B300" s="7" t="s">
        <v>95</v>
      </c>
      <c r="C300" s="7">
        <v>1</v>
      </c>
      <c r="D300" s="7">
        <v>1</v>
      </c>
      <c r="E300" s="7" t="s">
        <v>92</v>
      </c>
      <c r="F300" s="7">
        <v>78</v>
      </c>
      <c r="G300" s="7">
        <v>12</v>
      </c>
      <c r="H300" s="7">
        <v>10</v>
      </c>
      <c r="I300" s="7">
        <v>1</v>
      </c>
      <c r="J300" s="7">
        <v>1000000</v>
      </c>
    </row>
    <row r="301" spans="1:10" x14ac:dyDescent="0.2">
      <c r="A301" s="7">
        <v>298</v>
      </c>
      <c r="B301" s="7" t="s">
        <v>95</v>
      </c>
      <c r="C301" s="7">
        <v>1</v>
      </c>
      <c r="D301" s="7">
        <v>1</v>
      </c>
      <c r="E301" s="7" t="s">
        <v>93</v>
      </c>
      <c r="F301" s="7">
        <v>78</v>
      </c>
      <c r="G301" s="7">
        <v>12</v>
      </c>
      <c r="H301" s="7">
        <v>10</v>
      </c>
      <c r="I301" s="7">
        <v>1</v>
      </c>
      <c r="J301" s="7">
        <v>1000000</v>
      </c>
    </row>
    <row r="302" spans="1:10" x14ac:dyDescent="0.2">
      <c r="A302" s="7">
        <v>299</v>
      </c>
      <c r="B302" s="7" t="s">
        <v>95</v>
      </c>
      <c r="C302" s="7">
        <v>1</v>
      </c>
      <c r="D302" s="7">
        <v>1</v>
      </c>
      <c r="E302" s="7" t="s">
        <v>92</v>
      </c>
      <c r="F302" s="7">
        <v>79</v>
      </c>
      <c r="G302" s="7">
        <v>12</v>
      </c>
      <c r="H302" s="7">
        <v>10</v>
      </c>
      <c r="I302" s="7">
        <v>1</v>
      </c>
      <c r="J302" s="7">
        <v>1000000</v>
      </c>
    </row>
    <row r="303" spans="1:10" x14ac:dyDescent="0.2">
      <c r="A303" s="7">
        <v>300</v>
      </c>
      <c r="B303" s="7" t="s">
        <v>95</v>
      </c>
      <c r="C303" s="7">
        <v>1</v>
      </c>
      <c r="D303" s="7">
        <v>1</v>
      </c>
      <c r="E303" s="7" t="s">
        <v>93</v>
      </c>
      <c r="F303" s="7">
        <v>79</v>
      </c>
      <c r="G303" s="7">
        <v>12</v>
      </c>
      <c r="H303" s="7">
        <v>10</v>
      </c>
      <c r="I303" s="7">
        <v>1</v>
      </c>
      <c r="J303" s="7">
        <v>1000000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68"/>
  <sheetViews>
    <sheetView showGridLines="0" workbookViewId="0"/>
  </sheetViews>
  <sheetFormatPr baseColWidth="10" defaultColWidth="8.83203125" defaultRowHeight="15" x14ac:dyDescent="0.2"/>
  <cols>
    <col min="1" max="1" width="16" customWidth="1"/>
    <col min="2" max="5" width="9" customWidth="1"/>
    <col min="6" max="6" width="16" customWidth="1"/>
    <col min="8" max="8" width="16" customWidth="1"/>
    <col min="9" max="12" width="9" customWidth="1"/>
    <col min="13" max="13" width="16" customWidth="1"/>
  </cols>
  <sheetData>
    <row r="1" spans="1:13" x14ac:dyDescent="0.2">
      <c r="A1" s="15" t="s">
        <v>96</v>
      </c>
    </row>
    <row r="2" spans="1:13" x14ac:dyDescent="0.2">
      <c r="A2" s="10" t="s">
        <v>97</v>
      </c>
      <c r="B2" s="10" t="s">
        <v>98</v>
      </c>
      <c r="C2" s="10" t="s">
        <v>99</v>
      </c>
      <c r="D2" s="10" t="s">
        <v>100</v>
      </c>
      <c r="E2" s="10" t="s">
        <v>101</v>
      </c>
      <c r="F2" s="10" t="s">
        <v>102</v>
      </c>
      <c r="G2" s="5"/>
      <c r="H2" s="10" t="s">
        <v>97</v>
      </c>
      <c r="I2" s="10" t="s">
        <v>98</v>
      </c>
      <c r="J2" s="10" t="s">
        <v>99</v>
      </c>
      <c r="K2" s="10" t="s">
        <v>100</v>
      </c>
      <c r="L2" s="10" t="s">
        <v>101</v>
      </c>
      <c r="M2" s="10" t="s">
        <v>102</v>
      </c>
    </row>
    <row r="3" spans="1:13" x14ac:dyDescent="0.2">
      <c r="A3" s="14"/>
      <c r="B3" s="14"/>
      <c r="C3" s="14"/>
      <c r="D3" s="14"/>
      <c r="E3" s="14" t="s">
        <v>103</v>
      </c>
      <c r="F3" s="14"/>
      <c r="H3" s="14"/>
      <c r="I3" s="14"/>
      <c r="J3" s="14"/>
      <c r="K3" s="14"/>
      <c r="L3" s="14" t="s">
        <v>104</v>
      </c>
      <c r="M3" s="14"/>
    </row>
    <row r="4" spans="1:13" x14ac:dyDescent="0.2">
      <c r="A4" s="7" t="s">
        <v>105</v>
      </c>
      <c r="B4" s="7" t="s">
        <v>91</v>
      </c>
      <c r="C4" s="7">
        <v>1</v>
      </c>
      <c r="D4" s="7"/>
      <c r="E4" s="7">
        <v>3</v>
      </c>
      <c r="F4" s="8" t="str">
        <f t="shared" ref="F4:F42" si="0">A4&amp;"|"&amp;B4&amp;"|"&amp;C4&amp;"|"&amp;D4</f>
        <v>BaseMort|TERM|1|</v>
      </c>
      <c r="H4" s="7" t="s">
        <v>106</v>
      </c>
      <c r="I4" s="7" t="s">
        <v>91</v>
      </c>
      <c r="J4" s="7"/>
      <c r="K4" s="7"/>
      <c r="L4" s="7">
        <v>0</v>
      </c>
      <c r="M4" s="8" t="str">
        <f t="shared" ref="M4:M35" si="1">H4&amp;"|"&amp;I4&amp;"|"&amp;J4&amp;"|"&amp;K4</f>
        <v>LoadAcqSAParam1|TERM||</v>
      </c>
    </row>
    <row r="5" spans="1:13" x14ac:dyDescent="0.2">
      <c r="A5" s="7" t="s">
        <v>105</v>
      </c>
      <c r="B5" s="7" t="s">
        <v>91</v>
      </c>
      <c r="C5" s="7">
        <v>2</v>
      </c>
      <c r="D5" s="7"/>
      <c r="E5" s="7">
        <v>6</v>
      </c>
      <c r="F5" s="8" t="str">
        <f t="shared" si="0"/>
        <v>BaseMort|TERM|2|</v>
      </c>
      <c r="H5" s="7" t="s">
        <v>106</v>
      </c>
      <c r="I5" s="7" t="s">
        <v>94</v>
      </c>
      <c r="J5" s="7"/>
      <c r="K5" s="7"/>
      <c r="L5" s="7">
        <v>0.02</v>
      </c>
      <c r="M5" s="8" t="str">
        <f t="shared" si="1"/>
        <v>LoadAcqSAParam1|WL||</v>
      </c>
    </row>
    <row r="6" spans="1:13" x14ac:dyDescent="0.2">
      <c r="A6" s="7" t="s">
        <v>105</v>
      </c>
      <c r="B6" s="7" t="s">
        <v>94</v>
      </c>
      <c r="C6" s="7">
        <v>1</v>
      </c>
      <c r="D6" s="7"/>
      <c r="E6" s="7">
        <v>3</v>
      </c>
      <c r="F6" s="8" t="str">
        <f t="shared" si="0"/>
        <v>BaseMort|WL|1|</v>
      </c>
      <c r="H6" s="7" t="s">
        <v>106</v>
      </c>
      <c r="I6" s="7" t="s">
        <v>95</v>
      </c>
      <c r="J6" s="7"/>
      <c r="K6" s="7"/>
      <c r="L6" s="7">
        <v>0.02</v>
      </c>
      <c r="M6" s="8" t="str">
        <f t="shared" si="1"/>
        <v>LoadAcqSAParam1|ENDW||</v>
      </c>
    </row>
    <row r="7" spans="1:13" x14ac:dyDescent="0.2">
      <c r="A7" s="7" t="s">
        <v>105</v>
      </c>
      <c r="B7" s="7" t="s">
        <v>94</v>
      </c>
      <c r="C7" s="7">
        <v>2</v>
      </c>
      <c r="D7" s="7"/>
      <c r="E7" s="7">
        <v>6</v>
      </c>
      <c r="F7" s="8" t="str">
        <f t="shared" si="0"/>
        <v>BaseMort|WL|2|</v>
      </c>
      <c r="H7" s="7" t="s">
        <v>107</v>
      </c>
      <c r="I7" s="7" t="s">
        <v>91</v>
      </c>
      <c r="J7" s="7"/>
      <c r="K7" s="7"/>
      <c r="L7" s="7">
        <v>0</v>
      </c>
      <c r="M7" s="8" t="str">
        <f t="shared" si="1"/>
        <v>LoadAcqSAParam2|TERM||</v>
      </c>
    </row>
    <row r="8" spans="1:13" x14ac:dyDescent="0.2">
      <c r="A8" s="7" t="s">
        <v>105</v>
      </c>
      <c r="B8" s="7" t="s">
        <v>95</v>
      </c>
      <c r="C8" s="7">
        <v>1</v>
      </c>
      <c r="D8" s="7"/>
      <c r="E8" s="7">
        <v>3</v>
      </c>
      <c r="F8" s="8" t="str">
        <f t="shared" si="0"/>
        <v>BaseMort|ENDW|1|</v>
      </c>
      <c r="H8" s="7" t="s">
        <v>107</v>
      </c>
      <c r="I8" s="7" t="s">
        <v>94</v>
      </c>
      <c r="J8" s="7"/>
      <c r="K8" s="7"/>
      <c r="L8" s="7">
        <v>0.01</v>
      </c>
      <c r="M8" s="8" t="str">
        <f t="shared" si="1"/>
        <v>LoadAcqSAParam2|WL||</v>
      </c>
    </row>
    <row r="9" spans="1:13" x14ac:dyDescent="0.2">
      <c r="A9" s="7" t="s">
        <v>105</v>
      </c>
      <c r="B9" s="7" t="s">
        <v>95</v>
      </c>
      <c r="C9" s="7">
        <v>2</v>
      </c>
      <c r="D9" s="7"/>
      <c r="E9" s="7">
        <v>3</v>
      </c>
      <c r="F9" s="8" t="str">
        <f t="shared" si="0"/>
        <v>BaseMort|ENDW|2|</v>
      </c>
      <c r="H9" s="7" t="s">
        <v>107</v>
      </c>
      <c r="I9" s="7" t="s">
        <v>95</v>
      </c>
      <c r="J9" s="7"/>
      <c r="K9" s="7"/>
      <c r="L9" s="7">
        <v>0.01</v>
      </c>
      <c r="M9" s="8" t="str">
        <f t="shared" si="1"/>
        <v>LoadAcqSAParam2|ENDW||</v>
      </c>
    </row>
    <row r="10" spans="1:13" x14ac:dyDescent="0.2">
      <c r="A10" s="7" t="s">
        <v>108</v>
      </c>
      <c r="B10" s="7" t="s">
        <v>91</v>
      </c>
      <c r="C10" s="7"/>
      <c r="D10" s="7"/>
      <c r="E10" s="7" t="s">
        <v>109</v>
      </c>
      <c r="F10" s="8" t="str">
        <f t="shared" si="0"/>
        <v>MortFactor|TERM||</v>
      </c>
      <c r="H10" s="7" t="s">
        <v>110</v>
      </c>
      <c r="I10" s="7" t="s">
        <v>91</v>
      </c>
      <c r="J10" s="7"/>
      <c r="K10" s="7"/>
      <c r="L10" s="7">
        <v>2E-3</v>
      </c>
      <c r="M10" s="8" t="str">
        <f t="shared" si="1"/>
        <v>LoadMaintSA|TERM||</v>
      </c>
    </row>
    <row r="11" spans="1:13" x14ac:dyDescent="0.2">
      <c r="A11" s="7" t="s">
        <v>108</v>
      </c>
      <c r="B11" s="7" t="s">
        <v>94</v>
      </c>
      <c r="C11" s="7"/>
      <c r="D11" s="7"/>
      <c r="E11" s="7" t="s">
        <v>109</v>
      </c>
      <c r="F11" s="8" t="str">
        <f t="shared" si="0"/>
        <v>MortFactor|WL||</v>
      </c>
      <c r="H11" s="7" t="s">
        <v>110</v>
      </c>
      <c r="I11" s="7" t="s">
        <v>91</v>
      </c>
      <c r="J11" s="7"/>
      <c r="K11" s="7">
        <v>1</v>
      </c>
      <c r="L11" s="7">
        <v>2E-3</v>
      </c>
      <c r="M11" s="8" t="str">
        <f t="shared" si="1"/>
        <v>LoadMaintSA|TERM||1</v>
      </c>
    </row>
    <row r="12" spans="1:13" x14ac:dyDescent="0.2">
      <c r="A12" s="7" t="s">
        <v>108</v>
      </c>
      <c r="B12" s="7" t="s">
        <v>95</v>
      </c>
      <c r="C12" s="7"/>
      <c r="D12" s="7"/>
      <c r="E12" s="7" t="s">
        <v>109</v>
      </c>
      <c r="F12" s="8" t="str">
        <f t="shared" si="0"/>
        <v>MortFactor|ENDW||</v>
      </c>
      <c r="H12" s="7" t="s">
        <v>110</v>
      </c>
      <c r="I12" s="7" t="s">
        <v>91</v>
      </c>
      <c r="J12" s="7"/>
      <c r="K12" s="7">
        <v>2</v>
      </c>
      <c r="L12" s="7">
        <v>2E-3</v>
      </c>
      <c r="M12" s="8" t="str">
        <f t="shared" si="1"/>
        <v>LoadMaintSA|TERM||2</v>
      </c>
    </row>
    <row r="13" spans="1:13" x14ac:dyDescent="0.2">
      <c r="A13" s="7" t="s">
        <v>111</v>
      </c>
      <c r="B13" s="7" t="s">
        <v>91</v>
      </c>
      <c r="C13" s="7"/>
      <c r="D13" s="7"/>
      <c r="E13" s="7" t="s">
        <v>112</v>
      </c>
      <c r="F13" s="8" t="str">
        <f t="shared" si="0"/>
        <v>Surrender|TERM||</v>
      </c>
      <c r="H13" s="7" t="s">
        <v>110</v>
      </c>
      <c r="I13" s="7" t="s">
        <v>94</v>
      </c>
      <c r="J13" s="7"/>
      <c r="K13" s="7">
        <v>1</v>
      </c>
      <c r="L13" s="7">
        <v>2E-3</v>
      </c>
      <c r="M13" s="8" t="str">
        <f t="shared" si="1"/>
        <v>LoadMaintSA|WL||1</v>
      </c>
    </row>
    <row r="14" spans="1:13" x14ac:dyDescent="0.2">
      <c r="A14" s="7" t="s">
        <v>111</v>
      </c>
      <c r="B14" s="7" t="s">
        <v>94</v>
      </c>
      <c r="C14" s="7"/>
      <c r="D14" s="7"/>
      <c r="E14" s="7" t="s">
        <v>112</v>
      </c>
      <c r="F14" s="8" t="str">
        <f t="shared" si="0"/>
        <v>Surrender|WL||</v>
      </c>
      <c r="H14" s="7" t="s">
        <v>110</v>
      </c>
      <c r="I14" s="7" t="s">
        <v>95</v>
      </c>
      <c r="J14" s="7"/>
      <c r="K14" s="7"/>
      <c r="L14" s="7">
        <v>2E-3</v>
      </c>
      <c r="M14" s="8" t="str">
        <f t="shared" si="1"/>
        <v>LoadMaintSA|ENDW||</v>
      </c>
    </row>
    <row r="15" spans="1:13" x14ac:dyDescent="0.2">
      <c r="A15" s="7" t="s">
        <v>111</v>
      </c>
      <c r="B15" s="7" t="s">
        <v>95</v>
      </c>
      <c r="C15" s="7"/>
      <c r="D15" s="7"/>
      <c r="E15" s="7" t="s">
        <v>112</v>
      </c>
      <c r="F15" s="8" t="str">
        <f t="shared" si="0"/>
        <v>Surrender|ENDW||</v>
      </c>
      <c r="H15" s="7" t="s">
        <v>110</v>
      </c>
      <c r="I15" s="7" t="s">
        <v>95</v>
      </c>
      <c r="J15" s="7">
        <v>1</v>
      </c>
      <c r="K15" s="7"/>
      <c r="L15" s="7">
        <v>0.4</v>
      </c>
      <c r="M15" s="8" t="str">
        <f t="shared" si="1"/>
        <v>LoadMaintSA|ENDW|1|</v>
      </c>
    </row>
    <row r="16" spans="1:13" x14ac:dyDescent="0.2">
      <c r="A16" s="7" t="s">
        <v>113</v>
      </c>
      <c r="B16" s="7" t="s">
        <v>91</v>
      </c>
      <c r="C16" s="7"/>
      <c r="D16" s="7"/>
      <c r="E16" s="7">
        <v>0.6</v>
      </c>
      <c r="F16" s="8" t="str">
        <f t="shared" si="0"/>
        <v>Renewal|TERM||</v>
      </c>
      <c r="H16" s="7" t="s">
        <v>110</v>
      </c>
      <c r="I16" s="7" t="s">
        <v>95</v>
      </c>
      <c r="J16" s="7">
        <v>2</v>
      </c>
      <c r="K16" s="7"/>
      <c r="L16" s="7">
        <v>0.5</v>
      </c>
      <c r="M16" s="8" t="str">
        <f t="shared" si="1"/>
        <v>LoadMaintSA|ENDW|2|</v>
      </c>
    </row>
    <row r="17" spans="1:13" x14ac:dyDescent="0.2">
      <c r="A17" s="7" t="s">
        <v>114</v>
      </c>
      <c r="B17" s="7" t="s">
        <v>91</v>
      </c>
      <c r="C17" s="7"/>
      <c r="D17" s="7"/>
      <c r="E17" s="7">
        <v>5.0000000000000001E-3</v>
      </c>
      <c r="F17" s="8" t="str">
        <f t="shared" si="0"/>
        <v>InvstRet|TERM||</v>
      </c>
      <c r="H17" s="7" t="s">
        <v>110</v>
      </c>
      <c r="I17" s="7" t="s">
        <v>95</v>
      </c>
      <c r="J17" s="7">
        <v>3</v>
      </c>
      <c r="K17" s="7"/>
      <c r="L17" s="7">
        <v>0.6</v>
      </c>
      <c r="M17" s="8" t="str">
        <f t="shared" si="1"/>
        <v>LoadMaintSA|ENDW|3|</v>
      </c>
    </row>
    <row r="18" spans="1:13" x14ac:dyDescent="0.2">
      <c r="A18" s="7" t="s">
        <v>114</v>
      </c>
      <c r="B18" s="7" t="s">
        <v>94</v>
      </c>
      <c r="C18" s="7"/>
      <c r="D18" s="7"/>
      <c r="E18" s="7">
        <v>5.0000000000000001E-3</v>
      </c>
      <c r="F18" s="8" t="str">
        <f t="shared" si="0"/>
        <v>InvstRet|WL||</v>
      </c>
      <c r="H18" s="7" t="s">
        <v>110</v>
      </c>
      <c r="I18" s="7" t="s">
        <v>95</v>
      </c>
      <c r="J18" s="7">
        <v>4</v>
      </c>
      <c r="K18" s="7"/>
      <c r="L18" s="7">
        <v>0.6</v>
      </c>
      <c r="M18" s="8" t="str">
        <f t="shared" si="1"/>
        <v>LoadMaintSA|ENDW|4|</v>
      </c>
    </row>
    <row r="19" spans="1:13" x14ac:dyDescent="0.2">
      <c r="A19" s="7" t="s">
        <v>114</v>
      </c>
      <c r="B19" s="7" t="s">
        <v>95</v>
      </c>
      <c r="C19" s="7"/>
      <c r="D19" s="7"/>
      <c r="E19" s="7">
        <v>5.0000000000000001E-3</v>
      </c>
      <c r="F19" s="8" t="str">
        <f t="shared" si="0"/>
        <v>InvstRet|ENDW||</v>
      </c>
      <c r="H19" s="7" t="s">
        <v>115</v>
      </c>
      <c r="I19" s="7"/>
      <c r="J19" s="7"/>
      <c r="K19" s="7"/>
      <c r="L19" s="7">
        <v>1E-3</v>
      </c>
      <c r="M19" s="8" t="str">
        <f t="shared" si="1"/>
        <v>LoadMaintSA2|||</v>
      </c>
    </row>
    <row r="20" spans="1:13" x14ac:dyDescent="0.2">
      <c r="A20" s="7" t="s">
        <v>116</v>
      </c>
      <c r="B20" s="7" t="s">
        <v>91</v>
      </c>
      <c r="C20" s="7"/>
      <c r="D20" s="7"/>
      <c r="E20" s="7">
        <v>0.2</v>
      </c>
      <c r="F20" s="8" t="str">
        <f t="shared" si="0"/>
        <v>CommInitPrem|TERM||</v>
      </c>
      <c r="H20" s="7" t="s">
        <v>115</v>
      </c>
      <c r="I20" s="7" t="s">
        <v>91</v>
      </c>
      <c r="J20" s="7">
        <v>1</v>
      </c>
      <c r="K20" s="7"/>
      <c r="L20" s="7">
        <v>0</v>
      </c>
      <c r="M20" s="8" t="str">
        <f t="shared" si="1"/>
        <v>LoadMaintSA2|TERM|1|</v>
      </c>
    </row>
    <row r="21" spans="1:13" x14ac:dyDescent="0.2">
      <c r="A21" s="7" t="s">
        <v>116</v>
      </c>
      <c r="B21" s="7" t="s">
        <v>94</v>
      </c>
      <c r="C21" s="7"/>
      <c r="D21" s="7"/>
      <c r="E21" s="7">
        <v>0.5</v>
      </c>
      <c r="F21" s="8" t="str">
        <f t="shared" si="0"/>
        <v>CommInitPrem|WL||</v>
      </c>
      <c r="H21" s="7" t="s">
        <v>115</v>
      </c>
      <c r="I21" s="7" t="s">
        <v>91</v>
      </c>
      <c r="J21" s="7">
        <v>2</v>
      </c>
      <c r="K21" s="7"/>
      <c r="L21" s="7">
        <v>0</v>
      </c>
      <c r="M21" s="8" t="str">
        <f t="shared" si="1"/>
        <v>LoadMaintSA2|TERM|2|</v>
      </c>
    </row>
    <row r="22" spans="1:13" x14ac:dyDescent="0.2">
      <c r="A22" s="7" t="s">
        <v>116</v>
      </c>
      <c r="B22" s="7" t="s">
        <v>95</v>
      </c>
      <c r="C22" s="7"/>
      <c r="D22" s="7"/>
      <c r="E22" s="7">
        <v>0.5</v>
      </c>
      <c r="F22" s="8" t="str">
        <f t="shared" si="0"/>
        <v>CommInitPrem|ENDW||</v>
      </c>
      <c r="H22" s="7" t="s">
        <v>115</v>
      </c>
      <c r="I22" s="7" t="s">
        <v>94</v>
      </c>
      <c r="J22" s="7"/>
      <c r="K22" s="7"/>
      <c r="L22" s="7">
        <v>2E-3</v>
      </c>
      <c r="M22" s="8" t="str">
        <f t="shared" si="1"/>
        <v>LoadMaintSA2|WL||</v>
      </c>
    </row>
    <row r="23" spans="1:13" x14ac:dyDescent="0.2">
      <c r="A23" s="7" t="s">
        <v>117</v>
      </c>
      <c r="B23" s="7" t="s">
        <v>91</v>
      </c>
      <c r="C23" s="7"/>
      <c r="D23" s="7"/>
      <c r="E23" s="7">
        <v>0.05</v>
      </c>
      <c r="F23" s="8" t="str">
        <f t="shared" si="0"/>
        <v>CommRenPrem|TERM||</v>
      </c>
      <c r="H23" s="7" t="s">
        <v>115</v>
      </c>
      <c r="I23" s="7" t="s">
        <v>95</v>
      </c>
      <c r="J23" s="7"/>
      <c r="K23" s="7"/>
      <c r="L23" s="7">
        <v>2E-3</v>
      </c>
      <c r="M23" s="8" t="str">
        <f t="shared" si="1"/>
        <v>LoadMaintSA2|ENDW||</v>
      </c>
    </row>
    <row r="24" spans="1:13" x14ac:dyDescent="0.2">
      <c r="A24" s="7" t="s">
        <v>117</v>
      </c>
      <c r="B24" s="7" t="s">
        <v>94</v>
      </c>
      <c r="C24" s="7"/>
      <c r="D24" s="7"/>
      <c r="E24" s="7">
        <v>0.05</v>
      </c>
      <c r="F24" s="8" t="str">
        <f t="shared" si="0"/>
        <v>CommRenPrem|WL||</v>
      </c>
      <c r="H24" s="7" t="s">
        <v>115</v>
      </c>
      <c r="I24" s="7" t="s">
        <v>95</v>
      </c>
      <c r="J24" s="7">
        <v>1</v>
      </c>
      <c r="K24" s="7"/>
      <c r="L24" s="7">
        <v>0.3</v>
      </c>
      <c r="M24" s="8" t="str">
        <f t="shared" si="1"/>
        <v>LoadMaintSA2|ENDW|1|</v>
      </c>
    </row>
    <row r="25" spans="1:13" x14ac:dyDescent="0.2">
      <c r="A25" s="7" t="s">
        <v>117</v>
      </c>
      <c r="B25" s="7" t="s">
        <v>95</v>
      </c>
      <c r="C25" s="7"/>
      <c r="D25" s="7"/>
      <c r="E25" s="7">
        <v>0.05</v>
      </c>
      <c r="F25" s="8" t="str">
        <f t="shared" si="0"/>
        <v>CommRenPrem|ENDW||</v>
      </c>
      <c r="H25" s="7" t="s">
        <v>115</v>
      </c>
      <c r="I25" s="7" t="s">
        <v>95</v>
      </c>
      <c r="J25" s="7">
        <v>2</v>
      </c>
      <c r="K25" s="7"/>
      <c r="L25" s="7">
        <v>0.4</v>
      </c>
      <c r="M25" s="8" t="str">
        <f t="shared" si="1"/>
        <v>LoadMaintSA2|ENDW|2|</v>
      </c>
    </row>
    <row r="26" spans="1:13" x14ac:dyDescent="0.2">
      <c r="A26" s="7" t="s">
        <v>118</v>
      </c>
      <c r="B26" s="7" t="s">
        <v>91</v>
      </c>
      <c r="C26" s="7"/>
      <c r="D26" s="7"/>
      <c r="E26" s="7">
        <v>5</v>
      </c>
      <c r="F26" s="8" t="str">
        <f t="shared" si="0"/>
        <v>CommRenTerm|TERM||</v>
      </c>
      <c r="H26" s="7" t="s">
        <v>115</v>
      </c>
      <c r="I26" s="7" t="s">
        <v>95</v>
      </c>
      <c r="J26" s="7">
        <v>3</v>
      </c>
      <c r="K26" s="7"/>
      <c r="L26" s="7">
        <v>0.5</v>
      </c>
      <c r="M26" s="8" t="str">
        <f t="shared" si="1"/>
        <v>LoadMaintSA2|ENDW|3|</v>
      </c>
    </row>
    <row r="27" spans="1:13" x14ac:dyDescent="0.2">
      <c r="A27" s="7" t="s">
        <v>118</v>
      </c>
      <c r="B27" s="7" t="s">
        <v>94</v>
      </c>
      <c r="C27" s="7"/>
      <c r="D27" s="7"/>
      <c r="E27" s="7">
        <v>5</v>
      </c>
      <c r="F27" s="8" t="str">
        <f t="shared" si="0"/>
        <v>CommRenTerm|WL||</v>
      </c>
      <c r="H27" s="7" t="s">
        <v>115</v>
      </c>
      <c r="I27" s="7" t="s">
        <v>95</v>
      </c>
      <c r="J27" s="7">
        <v>4</v>
      </c>
      <c r="K27" s="7"/>
      <c r="L27" s="7">
        <v>0.6</v>
      </c>
      <c r="M27" s="8" t="str">
        <f t="shared" si="1"/>
        <v>LoadMaintSA2|ENDW|4|</v>
      </c>
    </row>
    <row r="28" spans="1:13" x14ac:dyDescent="0.2">
      <c r="A28" s="7" t="s">
        <v>118</v>
      </c>
      <c r="B28" s="7" t="s">
        <v>95</v>
      </c>
      <c r="C28" s="7"/>
      <c r="D28" s="7"/>
      <c r="E28" s="7">
        <v>5</v>
      </c>
      <c r="F28" s="8" t="str">
        <f t="shared" si="0"/>
        <v>CommRenTerm|ENDW||</v>
      </c>
      <c r="H28" s="7" t="s">
        <v>119</v>
      </c>
      <c r="I28" s="7" t="s">
        <v>91</v>
      </c>
      <c r="J28" s="7"/>
      <c r="K28" s="7"/>
      <c r="L28" s="7">
        <v>0.1</v>
      </c>
      <c r="M28" s="8" t="str">
        <f t="shared" si="1"/>
        <v>LoadMaintPremParam1|TERM||</v>
      </c>
    </row>
    <row r="29" spans="1:13" x14ac:dyDescent="0.2">
      <c r="A29" s="7" t="s">
        <v>120</v>
      </c>
      <c r="B29" s="7" t="s">
        <v>91</v>
      </c>
      <c r="C29" s="7"/>
      <c r="D29" s="7"/>
      <c r="E29" s="7">
        <v>3.0000000000000001E-3</v>
      </c>
      <c r="F29" s="8" t="str">
        <f t="shared" si="0"/>
        <v>ExpsAcqSA|TERM||</v>
      </c>
      <c r="H29" s="7" t="s">
        <v>119</v>
      </c>
      <c r="I29" s="7" t="s">
        <v>94</v>
      </c>
      <c r="J29" s="7"/>
      <c r="K29" s="7"/>
      <c r="L29" s="7">
        <v>0.03</v>
      </c>
      <c r="M29" s="8" t="str">
        <f t="shared" si="1"/>
        <v>LoadMaintPremParam1|WL||</v>
      </c>
    </row>
    <row r="30" spans="1:13" x14ac:dyDescent="0.2">
      <c r="A30" s="7" t="s">
        <v>120</v>
      </c>
      <c r="B30" s="7" t="s">
        <v>94</v>
      </c>
      <c r="C30" s="7"/>
      <c r="D30" s="7"/>
      <c r="E30" s="7">
        <v>0</v>
      </c>
      <c r="F30" s="8" t="str">
        <f t="shared" si="0"/>
        <v>ExpsAcqSA|WL||</v>
      </c>
      <c r="H30" s="7" t="s">
        <v>119</v>
      </c>
      <c r="I30" s="7" t="s">
        <v>95</v>
      </c>
      <c r="J30" s="7"/>
      <c r="K30" s="7"/>
      <c r="L30" s="7">
        <v>0.03</v>
      </c>
      <c r="M30" s="8" t="str">
        <f t="shared" si="1"/>
        <v>LoadMaintPremParam1|ENDW||</v>
      </c>
    </row>
    <row r="31" spans="1:13" x14ac:dyDescent="0.2">
      <c r="A31" s="7" t="s">
        <v>120</v>
      </c>
      <c r="B31" s="7" t="s">
        <v>95</v>
      </c>
      <c r="C31" s="7"/>
      <c r="D31" s="7"/>
      <c r="E31" s="7">
        <v>0</v>
      </c>
      <c r="F31" s="8" t="str">
        <f t="shared" si="0"/>
        <v>ExpsAcqSA|ENDW||</v>
      </c>
      <c r="H31" s="7" t="s">
        <v>121</v>
      </c>
      <c r="I31" s="7"/>
      <c r="J31" s="7"/>
      <c r="K31" s="7"/>
      <c r="L31" s="7">
        <v>10</v>
      </c>
      <c r="M31" s="8" t="str">
        <f t="shared" si="1"/>
        <v>LoadMaintPremParam2|||</v>
      </c>
    </row>
    <row r="32" spans="1:13" x14ac:dyDescent="0.2">
      <c r="A32" s="7" t="s">
        <v>122</v>
      </c>
      <c r="B32" s="7" t="s">
        <v>91</v>
      </c>
      <c r="C32" s="7"/>
      <c r="D32" s="7"/>
      <c r="E32" s="7">
        <v>0.1</v>
      </c>
      <c r="F32" s="8" t="str">
        <f t="shared" si="0"/>
        <v>ExpsAcqAnnPrem|TERM||</v>
      </c>
      <c r="H32" s="7" t="s">
        <v>123</v>
      </c>
      <c r="I32" s="7" t="s">
        <v>91</v>
      </c>
      <c r="J32" s="7"/>
      <c r="K32" s="7"/>
      <c r="L32" s="7">
        <v>0</v>
      </c>
      <c r="M32" s="8" t="str">
        <f t="shared" si="1"/>
        <v>SurrChargeParam1|TERM||</v>
      </c>
    </row>
    <row r="33" spans="1:13" x14ac:dyDescent="0.2">
      <c r="A33" s="7" t="s">
        <v>122</v>
      </c>
      <c r="B33" s="7" t="s">
        <v>94</v>
      </c>
      <c r="C33" s="7"/>
      <c r="D33" s="7"/>
      <c r="E33" s="7">
        <v>0.1</v>
      </c>
      <c r="F33" s="8" t="str">
        <f t="shared" si="0"/>
        <v>ExpsAcqAnnPrem|WL||</v>
      </c>
      <c r="H33" s="7" t="s">
        <v>123</v>
      </c>
      <c r="I33" s="7" t="s">
        <v>94</v>
      </c>
      <c r="J33" s="7"/>
      <c r="K33" s="7"/>
      <c r="L33" s="7">
        <v>0.01</v>
      </c>
      <c r="M33" s="8" t="str">
        <f t="shared" si="1"/>
        <v>SurrChargeParam1|WL||</v>
      </c>
    </row>
    <row r="34" spans="1:13" x14ac:dyDescent="0.2">
      <c r="A34" s="7" t="s">
        <v>122</v>
      </c>
      <c r="B34" s="7" t="s">
        <v>95</v>
      </c>
      <c r="C34" s="7"/>
      <c r="D34" s="7"/>
      <c r="E34" s="7">
        <v>0.1</v>
      </c>
      <c r="F34" s="8" t="str">
        <f t="shared" si="0"/>
        <v>ExpsAcqAnnPrem|ENDW||</v>
      </c>
      <c r="H34" s="7" t="s">
        <v>123</v>
      </c>
      <c r="I34" s="7" t="s">
        <v>95</v>
      </c>
      <c r="J34" s="7"/>
      <c r="K34" s="7"/>
      <c r="L34" s="7">
        <v>5.0000000000000001E-3</v>
      </c>
      <c r="M34" s="8" t="str">
        <f t="shared" si="1"/>
        <v>SurrChargeParam1|ENDW||</v>
      </c>
    </row>
    <row r="35" spans="1:13" x14ac:dyDescent="0.2">
      <c r="A35" s="7" t="s">
        <v>124</v>
      </c>
      <c r="B35" s="7" t="s">
        <v>91</v>
      </c>
      <c r="C35" s="7"/>
      <c r="D35" s="7"/>
      <c r="E35" s="7">
        <v>0</v>
      </c>
      <c r="F35" s="8" t="str">
        <f t="shared" si="0"/>
        <v>ExpsAcqPol|TERM||</v>
      </c>
      <c r="H35" s="7" t="s">
        <v>125</v>
      </c>
      <c r="I35" s="7" t="s">
        <v>91</v>
      </c>
      <c r="J35" s="7"/>
      <c r="K35" s="7"/>
      <c r="L35" s="7">
        <v>0</v>
      </c>
      <c r="M35" s="8" t="str">
        <f t="shared" si="1"/>
        <v>SurrChargeParam2|TERM||</v>
      </c>
    </row>
    <row r="36" spans="1:13" x14ac:dyDescent="0.2">
      <c r="A36" s="7" t="s">
        <v>124</v>
      </c>
      <c r="B36" s="7" t="s">
        <v>94</v>
      </c>
      <c r="C36" s="7"/>
      <c r="D36" s="7"/>
      <c r="E36" s="7">
        <v>10000</v>
      </c>
      <c r="F36" s="8" t="str">
        <f t="shared" si="0"/>
        <v>ExpsAcqPol|WL||</v>
      </c>
      <c r="H36" s="7" t="s">
        <v>125</v>
      </c>
      <c r="I36" s="7" t="s">
        <v>94</v>
      </c>
      <c r="J36" s="7"/>
      <c r="K36" s="7"/>
      <c r="L36" s="7">
        <v>5.0000000000000001E-3</v>
      </c>
      <c r="M36" s="8" t="str">
        <f t="shared" ref="M36:M68" si="2">H36&amp;"|"&amp;I36&amp;"|"&amp;J36&amp;"|"&amp;K36</f>
        <v>SurrChargeParam2|WL||</v>
      </c>
    </row>
    <row r="37" spans="1:13" x14ac:dyDescent="0.2">
      <c r="A37" s="7" t="s">
        <v>124</v>
      </c>
      <c r="B37" s="7" t="s">
        <v>95</v>
      </c>
      <c r="C37" s="7"/>
      <c r="D37" s="7"/>
      <c r="E37" s="7">
        <v>10000</v>
      </c>
      <c r="F37" s="8" t="str">
        <f t="shared" si="0"/>
        <v>ExpsAcqPol|ENDW||</v>
      </c>
      <c r="H37" s="7" t="s">
        <v>125</v>
      </c>
      <c r="I37" s="7" t="s">
        <v>95</v>
      </c>
      <c r="J37" s="7"/>
      <c r="K37" s="7"/>
      <c r="L37" s="7">
        <v>0.01</v>
      </c>
      <c r="M37" s="8" t="str">
        <f t="shared" si="2"/>
        <v>SurrChargeParam2|ENDW||</v>
      </c>
    </row>
    <row r="38" spans="1:13" x14ac:dyDescent="0.2">
      <c r="A38" s="7" t="s">
        <v>126</v>
      </c>
      <c r="B38" s="7"/>
      <c r="C38" s="7"/>
      <c r="D38" s="7"/>
      <c r="E38" s="7">
        <v>0</v>
      </c>
      <c r="F38" s="8" t="str">
        <f t="shared" si="0"/>
        <v>ExpsMaintSA|||</v>
      </c>
      <c r="H38" s="7" t="s">
        <v>127</v>
      </c>
      <c r="I38" s="7" t="s">
        <v>91</v>
      </c>
      <c r="J38" s="7"/>
      <c r="K38" s="7">
        <v>1</v>
      </c>
      <c r="L38" s="7">
        <v>3</v>
      </c>
      <c r="M38" s="8" t="str">
        <f t="shared" si="2"/>
        <v>MortTablePrem|TERM||1</v>
      </c>
    </row>
    <row r="39" spans="1:13" x14ac:dyDescent="0.2">
      <c r="A39" s="7" t="s">
        <v>128</v>
      </c>
      <c r="B39" s="7"/>
      <c r="C39" s="7"/>
      <c r="D39" s="7"/>
      <c r="E39" s="7">
        <v>0.01</v>
      </c>
      <c r="F39" s="8" t="str">
        <f t="shared" si="0"/>
        <v>ExpsMaintPrem|||</v>
      </c>
      <c r="H39" s="7" t="s">
        <v>127</v>
      </c>
      <c r="I39" s="7" t="s">
        <v>91</v>
      </c>
      <c r="J39" s="7"/>
      <c r="K39" s="7">
        <v>2</v>
      </c>
      <c r="L39" s="7">
        <v>3</v>
      </c>
      <c r="M39" s="8" t="str">
        <f t="shared" si="2"/>
        <v>MortTablePrem|TERM||2</v>
      </c>
    </row>
    <row r="40" spans="1:13" x14ac:dyDescent="0.2">
      <c r="A40" s="7" t="s">
        <v>129</v>
      </c>
      <c r="B40" s="7"/>
      <c r="C40" s="7"/>
      <c r="D40" s="7"/>
      <c r="E40" s="7">
        <v>1000</v>
      </c>
      <c r="F40" s="8" t="str">
        <f t="shared" si="0"/>
        <v>ExpsMaintPol|||</v>
      </c>
      <c r="H40" s="7" t="s">
        <v>127</v>
      </c>
      <c r="I40" s="7" t="s">
        <v>94</v>
      </c>
      <c r="J40" s="7"/>
      <c r="K40" s="7">
        <v>1</v>
      </c>
      <c r="L40" s="7">
        <v>3</v>
      </c>
      <c r="M40" s="8" t="str">
        <f t="shared" si="2"/>
        <v>MortTablePrem|WL||1</v>
      </c>
    </row>
    <row r="41" spans="1:13" x14ac:dyDescent="0.2">
      <c r="A41" s="7" t="s">
        <v>130</v>
      </c>
      <c r="B41" s="7"/>
      <c r="C41" s="7"/>
      <c r="D41" s="7"/>
      <c r="E41" s="7">
        <v>0</v>
      </c>
      <c r="F41" s="8" t="str">
        <f t="shared" si="0"/>
        <v>InflRate|||</v>
      </c>
      <c r="H41" s="7" t="s">
        <v>127</v>
      </c>
      <c r="I41" s="7" t="s">
        <v>95</v>
      </c>
      <c r="J41" s="7"/>
      <c r="K41" s="7"/>
      <c r="L41" s="7">
        <v>3</v>
      </c>
      <c r="M41" s="8" t="str">
        <f t="shared" si="2"/>
        <v>MortTablePrem|ENDW||</v>
      </c>
    </row>
    <row r="42" spans="1:13" x14ac:dyDescent="0.2">
      <c r="A42" s="7" t="s">
        <v>131</v>
      </c>
      <c r="B42" s="7"/>
      <c r="C42" s="7"/>
      <c r="D42" s="7"/>
      <c r="E42" s="7">
        <v>0</v>
      </c>
      <c r="F42" s="8" t="str">
        <f t="shared" si="0"/>
        <v>CnsmpTax|||</v>
      </c>
      <c r="H42" s="7" t="s">
        <v>132</v>
      </c>
      <c r="I42" s="7" t="s">
        <v>91</v>
      </c>
      <c r="J42" s="7"/>
      <c r="K42" s="7">
        <v>1</v>
      </c>
      <c r="L42" s="7">
        <v>1</v>
      </c>
      <c r="M42" s="8" t="str">
        <f t="shared" si="2"/>
        <v>MortTableVal|TERM||1</v>
      </c>
    </row>
    <row r="43" spans="1:13" x14ac:dyDescent="0.2">
      <c r="H43" s="7" t="s">
        <v>132</v>
      </c>
      <c r="I43" s="7" t="s">
        <v>91</v>
      </c>
      <c r="J43" s="7"/>
      <c r="K43" s="7">
        <v>2</v>
      </c>
      <c r="L43" s="7">
        <v>1</v>
      </c>
      <c r="M43" s="8" t="str">
        <f t="shared" si="2"/>
        <v>MortTableVal|TERM||2</v>
      </c>
    </row>
    <row r="44" spans="1:13" x14ac:dyDescent="0.2">
      <c r="H44" s="7" t="s">
        <v>132</v>
      </c>
      <c r="I44" s="7" t="s">
        <v>94</v>
      </c>
      <c r="J44" s="7"/>
      <c r="K44" s="7">
        <v>1</v>
      </c>
      <c r="L44" s="7">
        <v>1</v>
      </c>
      <c r="M44" s="8" t="str">
        <f t="shared" si="2"/>
        <v>MortTableVal|WL||1</v>
      </c>
    </row>
    <row r="45" spans="1:13" x14ac:dyDescent="0.2">
      <c r="H45" s="7" t="s">
        <v>132</v>
      </c>
      <c r="I45" s="7" t="s">
        <v>95</v>
      </c>
      <c r="J45" s="7"/>
      <c r="K45" s="7"/>
      <c r="L45" s="7">
        <v>1</v>
      </c>
      <c r="M45" s="8" t="str">
        <f t="shared" si="2"/>
        <v>MortTableVal|ENDW||</v>
      </c>
    </row>
    <row r="46" spans="1:13" x14ac:dyDescent="0.2">
      <c r="H46" s="7" t="s">
        <v>133</v>
      </c>
      <c r="I46" s="7" t="s">
        <v>91</v>
      </c>
      <c r="J46" s="7"/>
      <c r="K46" s="7"/>
      <c r="L46" s="7">
        <v>1.4999999999999999E-2</v>
      </c>
      <c r="M46" s="8" t="str">
        <f t="shared" si="2"/>
        <v>IntRatePrem|TERM||</v>
      </c>
    </row>
    <row r="47" spans="1:13" x14ac:dyDescent="0.2">
      <c r="H47" s="7" t="s">
        <v>133</v>
      </c>
      <c r="I47" s="7" t="s">
        <v>91</v>
      </c>
      <c r="J47" s="7"/>
      <c r="K47" s="7">
        <v>1</v>
      </c>
      <c r="L47" s="7">
        <v>0.03</v>
      </c>
      <c r="M47" s="8" t="str">
        <f t="shared" si="2"/>
        <v>IntRatePrem|TERM||1</v>
      </c>
    </row>
    <row r="48" spans="1:13" x14ac:dyDescent="0.2">
      <c r="H48" s="7" t="s">
        <v>133</v>
      </c>
      <c r="I48" s="7" t="s">
        <v>91</v>
      </c>
      <c r="J48" s="7"/>
      <c r="K48" s="7">
        <v>2</v>
      </c>
      <c r="L48" s="7">
        <v>0.02</v>
      </c>
      <c r="M48" s="8" t="str">
        <f t="shared" si="2"/>
        <v>IntRatePrem|TERM||2</v>
      </c>
    </row>
    <row r="49" spans="8:13" x14ac:dyDescent="0.2">
      <c r="H49" s="7" t="s">
        <v>133</v>
      </c>
      <c r="I49" s="7" t="s">
        <v>94</v>
      </c>
      <c r="J49" s="7"/>
      <c r="K49" s="7">
        <v>1</v>
      </c>
      <c r="L49" s="7">
        <v>1.4999999999999999E-2</v>
      </c>
      <c r="M49" s="8" t="str">
        <f t="shared" si="2"/>
        <v>IntRatePrem|WL||1</v>
      </c>
    </row>
    <row r="50" spans="8:13" x14ac:dyDescent="0.2">
      <c r="H50" s="7" t="s">
        <v>133</v>
      </c>
      <c r="I50" s="7" t="s">
        <v>95</v>
      </c>
      <c r="J50" s="7"/>
      <c r="K50" s="7"/>
      <c r="L50" s="7">
        <v>0.03</v>
      </c>
      <c r="M50" s="8" t="str">
        <f t="shared" si="2"/>
        <v>IntRatePrem|ENDW||</v>
      </c>
    </row>
    <row r="51" spans="8:13" x14ac:dyDescent="0.2">
      <c r="H51" s="7" t="s">
        <v>134</v>
      </c>
      <c r="I51" s="7"/>
      <c r="J51" s="7"/>
      <c r="K51" s="7">
        <v>1</v>
      </c>
      <c r="L51" s="7">
        <v>1.4999999999999999E-2</v>
      </c>
      <c r="M51" s="8" t="str">
        <f t="shared" si="2"/>
        <v>IntRateVal|||1</v>
      </c>
    </row>
    <row r="52" spans="8:13" x14ac:dyDescent="0.2">
      <c r="H52" s="7" t="s">
        <v>134</v>
      </c>
      <c r="I52" s="7"/>
      <c r="J52" s="7"/>
      <c r="K52" s="7">
        <v>2</v>
      </c>
      <c r="L52" s="7">
        <v>0.01</v>
      </c>
      <c r="M52" s="8" t="str">
        <f t="shared" si="2"/>
        <v>IntRateVal|||2</v>
      </c>
    </row>
    <row r="53" spans="8:13" x14ac:dyDescent="0.2">
      <c r="H53" s="7" t="s">
        <v>135</v>
      </c>
      <c r="I53" s="7" t="s">
        <v>91</v>
      </c>
      <c r="J53" s="7"/>
      <c r="K53" s="7"/>
      <c r="L53" s="7">
        <v>1.4999999999999999E-2</v>
      </c>
      <c r="M53" s="8" t="str">
        <f t="shared" si="2"/>
        <v>LapseRatePrem|TERM||</v>
      </c>
    </row>
    <row r="54" spans="8:13" x14ac:dyDescent="0.2">
      <c r="H54" s="7" t="s">
        <v>136</v>
      </c>
      <c r="I54" s="7" t="s">
        <v>91</v>
      </c>
      <c r="J54" s="7"/>
      <c r="K54" s="7"/>
      <c r="L54" s="7">
        <v>0.01</v>
      </c>
      <c r="M54" s="8" t="str">
        <f t="shared" si="2"/>
        <v>LapseRateVal|TERM||</v>
      </c>
    </row>
    <row r="55" spans="8:13" x14ac:dyDescent="0.2">
      <c r="H55" s="7" t="s">
        <v>137</v>
      </c>
      <c r="I55" s="7" t="s">
        <v>91</v>
      </c>
      <c r="J55" s="7">
        <v>1</v>
      </c>
      <c r="K55" s="7"/>
      <c r="L55" s="7">
        <v>6</v>
      </c>
      <c r="M55" s="8" t="str">
        <f t="shared" si="2"/>
        <v>Hsx|TERM|1|</v>
      </c>
    </row>
    <row r="56" spans="8:13" x14ac:dyDescent="0.2">
      <c r="H56" s="7" t="s">
        <v>137</v>
      </c>
      <c r="I56" s="7" t="s">
        <v>91</v>
      </c>
      <c r="J56" s="7">
        <v>2</v>
      </c>
      <c r="K56" s="7"/>
      <c r="L56" s="7">
        <v>7</v>
      </c>
      <c r="M56" s="8" t="str">
        <f t="shared" si="2"/>
        <v>Hsx|TERM|2|</v>
      </c>
    </row>
    <row r="57" spans="8:13" x14ac:dyDescent="0.2">
      <c r="H57" s="7" t="s">
        <v>137</v>
      </c>
      <c r="I57" s="7" t="s">
        <v>95</v>
      </c>
      <c r="J57" s="7"/>
      <c r="K57" s="7"/>
      <c r="L57" s="7">
        <v>1</v>
      </c>
      <c r="M57" s="8" t="str">
        <f t="shared" si="2"/>
        <v>Hsx|ENDW||</v>
      </c>
    </row>
    <row r="58" spans="8:13" x14ac:dyDescent="0.2">
      <c r="H58" s="7" t="s">
        <v>138</v>
      </c>
      <c r="I58" s="7" t="s">
        <v>91</v>
      </c>
      <c r="J58" s="7">
        <v>1</v>
      </c>
      <c r="K58" s="7"/>
      <c r="L58" s="7">
        <v>7</v>
      </c>
      <c r="M58" s="8" t="str">
        <f t="shared" si="2"/>
        <v>Tsx|TERM|1|</v>
      </c>
    </row>
    <row r="59" spans="8:13" x14ac:dyDescent="0.2">
      <c r="H59" s="7" t="s">
        <v>138</v>
      </c>
      <c r="I59" s="7" t="s">
        <v>91</v>
      </c>
      <c r="J59" s="7">
        <v>2</v>
      </c>
      <c r="K59" s="7"/>
      <c r="L59" s="7">
        <v>7</v>
      </c>
      <c r="M59" s="8" t="str">
        <f t="shared" si="2"/>
        <v>Tsx|TERM|2|</v>
      </c>
    </row>
    <row r="60" spans="8:13" x14ac:dyDescent="0.2">
      <c r="H60" s="7" t="s">
        <v>138</v>
      </c>
      <c r="I60" s="7" t="s">
        <v>95</v>
      </c>
      <c r="J60" s="7">
        <v>1</v>
      </c>
      <c r="K60" s="7"/>
      <c r="L60" s="7">
        <v>2</v>
      </c>
      <c r="M60" s="8" t="str">
        <f t="shared" si="2"/>
        <v>Tsx|ENDW|1|</v>
      </c>
    </row>
    <row r="61" spans="8:13" x14ac:dyDescent="0.2">
      <c r="H61" s="7" t="s">
        <v>138</v>
      </c>
      <c r="I61" s="7" t="s">
        <v>95</v>
      </c>
      <c r="J61" s="7">
        <v>2</v>
      </c>
      <c r="K61" s="7"/>
      <c r="L61" s="7">
        <v>3</v>
      </c>
      <c r="M61" s="8" t="str">
        <f t="shared" si="2"/>
        <v>Tsx|ENDW|2|</v>
      </c>
    </row>
    <row r="62" spans="8:13" x14ac:dyDescent="0.2">
      <c r="H62" s="7" t="s">
        <v>138</v>
      </c>
      <c r="I62" s="7" t="s">
        <v>95</v>
      </c>
      <c r="J62" s="7">
        <v>3</v>
      </c>
      <c r="K62" s="7"/>
      <c r="L62" s="7">
        <v>4</v>
      </c>
      <c r="M62" s="8" t="str">
        <f t="shared" si="2"/>
        <v>Tsx|ENDW|3|</v>
      </c>
    </row>
    <row r="63" spans="8:13" x14ac:dyDescent="0.2">
      <c r="H63" s="7" t="s">
        <v>138</v>
      </c>
      <c r="I63" s="7" t="s">
        <v>95</v>
      </c>
      <c r="J63" s="7">
        <v>4</v>
      </c>
      <c r="K63" s="7"/>
      <c r="L63" s="7">
        <v>5</v>
      </c>
      <c r="M63" s="8" t="str">
        <f t="shared" si="2"/>
        <v>Tsx|ENDW|4|</v>
      </c>
    </row>
    <row r="64" spans="8:13" x14ac:dyDescent="0.2">
      <c r="H64" s="7" t="s">
        <v>139</v>
      </c>
      <c r="I64" s="7" t="s">
        <v>95</v>
      </c>
      <c r="J64" s="7"/>
      <c r="K64" s="7"/>
      <c r="L64" s="7">
        <v>9</v>
      </c>
      <c r="M64" s="8" t="str">
        <f t="shared" si="2"/>
        <v>Hax|ENDW||</v>
      </c>
    </row>
    <row r="65" spans="8:13" x14ac:dyDescent="0.2">
      <c r="H65" s="7" t="s">
        <v>140</v>
      </c>
      <c r="I65" s="7" t="s">
        <v>95</v>
      </c>
      <c r="J65" s="7">
        <v>1</v>
      </c>
      <c r="K65" s="7"/>
      <c r="L65" s="7">
        <v>10</v>
      </c>
      <c r="M65" s="8" t="str">
        <f t="shared" si="2"/>
        <v>Tax|ENDW|1|</v>
      </c>
    </row>
    <row r="66" spans="8:13" x14ac:dyDescent="0.2">
      <c r="H66" s="7" t="s">
        <v>140</v>
      </c>
      <c r="I66" s="7" t="s">
        <v>95</v>
      </c>
      <c r="J66" s="7">
        <v>2</v>
      </c>
      <c r="K66" s="7"/>
      <c r="L66" s="7">
        <v>11</v>
      </c>
      <c r="M66" s="8" t="str">
        <f t="shared" si="2"/>
        <v>Tax|ENDW|2|</v>
      </c>
    </row>
    <row r="67" spans="8:13" x14ac:dyDescent="0.2">
      <c r="H67" s="7" t="s">
        <v>140</v>
      </c>
      <c r="I67" s="7" t="s">
        <v>95</v>
      </c>
      <c r="J67" s="7">
        <v>3</v>
      </c>
      <c r="K67" s="7"/>
      <c r="L67" s="7">
        <v>12</v>
      </c>
      <c r="M67" s="8" t="str">
        <f t="shared" si="2"/>
        <v>Tax|ENDW|3|</v>
      </c>
    </row>
    <row r="68" spans="8:13" x14ac:dyDescent="0.2">
      <c r="H68" s="7" t="s">
        <v>140</v>
      </c>
      <c r="I68" s="7" t="s">
        <v>95</v>
      </c>
      <c r="J68" s="7">
        <v>4</v>
      </c>
      <c r="K68" s="7"/>
      <c r="L68" s="7">
        <v>13</v>
      </c>
      <c r="M68" s="8" t="str">
        <f t="shared" si="2"/>
        <v>Tax|ENDW|4|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23"/>
  <sheetViews>
    <sheetView showGridLines="0" workbookViewId="0"/>
  </sheetViews>
  <sheetFormatPr baseColWidth="10" defaultColWidth="8.83203125" defaultRowHeight="15" x14ac:dyDescent="0.2"/>
  <cols>
    <col min="1" max="1" width="6" customWidth="1"/>
    <col min="2" max="9" width="11" customWidth="1"/>
    <col min="11" max="11" width="22" customWidth="1"/>
    <col min="12" max="12" width="9" customWidth="1"/>
  </cols>
  <sheetData>
    <row r="1" spans="1:12" x14ac:dyDescent="0.2">
      <c r="A1" s="3" t="s">
        <v>141</v>
      </c>
    </row>
    <row r="2" spans="1:12" x14ac:dyDescent="0.2">
      <c r="A2" s="10" t="s">
        <v>142</v>
      </c>
      <c r="B2" s="10" t="s">
        <v>112</v>
      </c>
      <c r="C2" s="10" t="s">
        <v>143</v>
      </c>
      <c r="D2" s="10" t="s">
        <v>144</v>
      </c>
      <c r="E2" s="10" t="s">
        <v>145</v>
      </c>
      <c r="F2" s="10" t="s">
        <v>146</v>
      </c>
      <c r="G2" s="10" t="s">
        <v>147</v>
      </c>
      <c r="H2" s="10" t="s">
        <v>148</v>
      </c>
      <c r="I2" s="10" t="s">
        <v>109</v>
      </c>
      <c r="K2" s="10" t="s">
        <v>149</v>
      </c>
      <c r="L2" s="10" t="s">
        <v>101</v>
      </c>
    </row>
    <row r="3" spans="1:12" x14ac:dyDescent="0.2">
      <c r="A3" s="14" t="s">
        <v>150</v>
      </c>
      <c r="B3" s="14" t="s">
        <v>151</v>
      </c>
      <c r="K3" s="14" t="s">
        <v>152</v>
      </c>
    </row>
    <row r="4" spans="1:12" x14ac:dyDescent="0.2">
      <c r="A4" s="7">
        <v>0</v>
      </c>
      <c r="B4" s="16">
        <v>0.08</v>
      </c>
      <c r="C4" s="16">
        <v>0.3</v>
      </c>
      <c r="D4" s="16">
        <v>0.3</v>
      </c>
      <c r="E4" s="16">
        <v>0.3</v>
      </c>
      <c r="F4" s="16">
        <v>0.3</v>
      </c>
      <c r="G4" s="16">
        <v>0.7</v>
      </c>
      <c r="H4" s="16">
        <v>0.4</v>
      </c>
      <c r="I4" s="16">
        <v>0.7</v>
      </c>
      <c r="K4" s="7" t="s">
        <v>153</v>
      </c>
      <c r="L4" s="17">
        <v>1.5E-3</v>
      </c>
    </row>
    <row r="5" spans="1:12" x14ac:dyDescent="0.2">
      <c r="A5" s="7">
        <v>1</v>
      </c>
      <c r="B5" s="16">
        <v>0.08</v>
      </c>
      <c r="C5" s="16">
        <v>0.4</v>
      </c>
      <c r="D5" s="16">
        <v>0.4</v>
      </c>
      <c r="E5" s="16">
        <v>0.4</v>
      </c>
      <c r="F5" s="16">
        <v>0.4</v>
      </c>
      <c r="G5" s="16">
        <v>0.7</v>
      </c>
      <c r="H5" s="16">
        <v>0.5</v>
      </c>
      <c r="I5" s="16">
        <v>0.7</v>
      </c>
      <c r="K5" s="7" t="s">
        <v>154</v>
      </c>
      <c r="L5" s="17">
        <v>0.35</v>
      </c>
    </row>
    <row r="6" spans="1:12" x14ac:dyDescent="0.2">
      <c r="A6" s="7">
        <v>2</v>
      </c>
      <c r="B6" s="16">
        <v>0.08</v>
      </c>
      <c r="C6" s="16">
        <v>0.5</v>
      </c>
      <c r="D6" s="16">
        <v>0.5</v>
      </c>
      <c r="E6" s="16">
        <v>0.5</v>
      </c>
      <c r="F6" s="16">
        <v>0.5</v>
      </c>
      <c r="G6" s="16">
        <v>0.7</v>
      </c>
      <c r="H6" s="16">
        <v>0.6</v>
      </c>
      <c r="I6" s="16">
        <v>0.7</v>
      </c>
      <c r="K6" s="7" t="s">
        <v>155</v>
      </c>
      <c r="L6" s="17">
        <v>0.2</v>
      </c>
    </row>
    <row r="7" spans="1:12" x14ac:dyDescent="0.2">
      <c r="A7" s="7">
        <v>3</v>
      </c>
      <c r="B7" s="16">
        <v>0.08</v>
      </c>
      <c r="C7" s="16">
        <v>0.6</v>
      </c>
      <c r="D7" s="16">
        <v>0.6</v>
      </c>
      <c r="E7" s="16">
        <v>0.6</v>
      </c>
      <c r="F7" s="16">
        <v>0.6</v>
      </c>
      <c r="G7" s="16">
        <v>0.7</v>
      </c>
      <c r="H7" s="16">
        <v>0.7</v>
      </c>
      <c r="I7" s="16">
        <v>0.7</v>
      </c>
      <c r="K7" s="7" t="s">
        <v>156</v>
      </c>
      <c r="L7" s="17">
        <v>0.25</v>
      </c>
    </row>
    <row r="8" spans="1:12" x14ac:dyDescent="0.2">
      <c r="A8" s="7">
        <v>4</v>
      </c>
      <c r="B8" s="16">
        <v>0.08</v>
      </c>
      <c r="C8" s="16">
        <v>0.7</v>
      </c>
      <c r="D8" s="16">
        <v>0.7</v>
      </c>
      <c r="E8" s="16">
        <v>0.7</v>
      </c>
      <c r="F8" s="16">
        <v>0.7</v>
      </c>
      <c r="G8" s="16">
        <v>0.7</v>
      </c>
      <c r="H8" s="16">
        <v>0.8</v>
      </c>
      <c r="I8" s="16">
        <v>0.7</v>
      </c>
      <c r="K8" s="7" t="s">
        <v>157</v>
      </c>
      <c r="L8" s="17">
        <v>0.01</v>
      </c>
    </row>
    <row r="9" spans="1:12" x14ac:dyDescent="0.2">
      <c r="A9" s="7">
        <v>5</v>
      </c>
      <c r="B9" s="16">
        <v>0.08</v>
      </c>
      <c r="C9" s="16">
        <v>0.8</v>
      </c>
      <c r="D9" s="16">
        <v>0.8</v>
      </c>
      <c r="E9" s="16">
        <v>0.8</v>
      </c>
      <c r="F9" s="16">
        <v>0.8</v>
      </c>
      <c r="G9" s="16">
        <v>0.7</v>
      </c>
      <c r="H9" s="16">
        <v>0.8</v>
      </c>
      <c r="I9" s="16">
        <v>0.7</v>
      </c>
      <c r="K9" s="7" t="s">
        <v>158</v>
      </c>
      <c r="L9" s="17">
        <v>0.1</v>
      </c>
    </row>
    <row r="10" spans="1:12" x14ac:dyDescent="0.2">
      <c r="A10" s="7">
        <v>6</v>
      </c>
      <c r="B10" s="16">
        <v>0.08</v>
      </c>
      <c r="C10" s="16">
        <v>0.8</v>
      </c>
      <c r="D10" s="16">
        <v>0.8</v>
      </c>
      <c r="E10" s="16">
        <v>0.8</v>
      </c>
      <c r="F10" s="16">
        <v>0.8</v>
      </c>
      <c r="G10" s="16">
        <v>0.7</v>
      </c>
      <c r="H10" s="16">
        <v>0.8</v>
      </c>
      <c r="I10" s="16">
        <v>0.7</v>
      </c>
      <c r="K10" s="7" t="s">
        <v>159</v>
      </c>
      <c r="L10" s="17">
        <v>0.2</v>
      </c>
    </row>
    <row r="11" spans="1:12" x14ac:dyDescent="0.2">
      <c r="A11" s="7">
        <v>7</v>
      </c>
      <c r="B11" s="16">
        <v>0.08</v>
      </c>
      <c r="C11" s="16">
        <v>0.8</v>
      </c>
      <c r="D11" s="16">
        <v>0.8</v>
      </c>
      <c r="E11" s="16">
        <v>0.8</v>
      </c>
      <c r="F11" s="16">
        <v>0.8</v>
      </c>
      <c r="G11" s="16">
        <v>0.7</v>
      </c>
      <c r="H11" s="16">
        <v>0.8</v>
      </c>
      <c r="I11" s="16">
        <v>0.7</v>
      </c>
      <c r="K11" s="7" t="s">
        <v>160</v>
      </c>
      <c r="L11" s="17">
        <v>0.5</v>
      </c>
    </row>
    <row r="12" spans="1:12" x14ac:dyDescent="0.2">
      <c r="A12" s="7">
        <v>8</v>
      </c>
      <c r="B12" s="16">
        <v>0.08</v>
      </c>
      <c r="C12" s="16">
        <v>0.8</v>
      </c>
      <c r="D12" s="16">
        <v>0.8</v>
      </c>
      <c r="E12" s="16">
        <v>0.8</v>
      </c>
      <c r="F12" s="16">
        <v>0.8</v>
      </c>
      <c r="G12" s="16">
        <v>0.7</v>
      </c>
      <c r="H12" s="16">
        <v>0.8</v>
      </c>
      <c r="I12" s="16">
        <v>0.7</v>
      </c>
      <c r="K12" s="7" t="s">
        <v>161</v>
      </c>
      <c r="L12" s="17">
        <v>0.7</v>
      </c>
    </row>
    <row r="13" spans="1:12" x14ac:dyDescent="0.2">
      <c r="A13" s="7">
        <v>9</v>
      </c>
      <c r="B13" s="16">
        <v>0.08</v>
      </c>
      <c r="C13" s="16">
        <v>0.8</v>
      </c>
      <c r="D13" s="16">
        <v>0.8</v>
      </c>
      <c r="E13" s="16">
        <v>0.8</v>
      </c>
      <c r="F13" s="16">
        <v>0.8</v>
      </c>
      <c r="G13" s="16">
        <v>0.7</v>
      </c>
      <c r="H13" s="16">
        <v>0.8</v>
      </c>
      <c r="I13" s="16">
        <v>0.7</v>
      </c>
      <c r="K13" s="7" t="s">
        <v>162</v>
      </c>
      <c r="L13" s="17">
        <v>0.4</v>
      </c>
    </row>
    <row r="14" spans="1:12" x14ac:dyDescent="0.2">
      <c r="A14" s="7">
        <v>10</v>
      </c>
      <c r="B14" s="16">
        <v>0.08</v>
      </c>
      <c r="C14" s="16">
        <v>0.8</v>
      </c>
      <c r="D14" s="16">
        <v>0.8</v>
      </c>
      <c r="E14" s="16">
        <v>0.8</v>
      </c>
      <c r="F14" s="16">
        <v>0.8</v>
      </c>
      <c r="G14" s="16">
        <v>0.7</v>
      </c>
      <c r="H14" s="16">
        <v>0.8</v>
      </c>
      <c r="I14" s="16">
        <v>0.7</v>
      </c>
      <c r="K14" s="7" t="s">
        <v>163</v>
      </c>
      <c r="L14" s="17">
        <v>1</v>
      </c>
    </row>
    <row r="15" spans="1:12" x14ac:dyDescent="0.2">
      <c r="A15" s="7">
        <v>11</v>
      </c>
      <c r="B15" s="16">
        <v>0.08</v>
      </c>
      <c r="C15" s="16">
        <v>0.8</v>
      </c>
      <c r="D15" s="16">
        <v>0.8</v>
      </c>
      <c r="E15" s="16">
        <v>0.8</v>
      </c>
      <c r="F15" s="16">
        <v>0.8</v>
      </c>
      <c r="G15" s="16">
        <v>0.7</v>
      </c>
      <c r="H15" s="16">
        <v>0.8</v>
      </c>
      <c r="I15" s="16">
        <v>0.7</v>
      </c>
      <c r="K15" s="7" t="s">
        <v>164</v>
      </c>
      <c r="L15" s="17">
        <v>0.5</v>
      </c>
    </row>
    <row r="16" spans="1:12" x14ac:dyDescent="0.2">
      <c r="A16" s="7">
        <v>12</v>
      </c>
      <c r="B16" s="16">
        <v>0.08</v>
      </c>
      <c r="C16" s="16">
        <v>0.8</v>
      </c>
      <c r="D16" s="16">
        <v>0.8</v>
      </c>
      <c r="E16" s="16">
        <v>0.8</v>
      </c>
      <c r="F16" s="16">
        <v>0.8</v>
      </c>
      <c r="G16" s="16">
        <v>0.7</v>
      </c>
      <c r="H16" s="16">
        <v>0.8</v>
      </c>
      <c r="I16" s="16">
        <v>0.7</v>
      </c>
      <c r="K16" s="7" t="s">
        <v>165</v>
      </c>
      <c r="L16" s="17">
        <v>0.25</v>
      </c>
    </row>
    <row r="17" spans="1:12" x14ac:dyDescent="0.2">
      <c r="A17" s="7">
        <v>13</v>
      </c>
      <c r="B17" s="16">
        <v>0.08</v>
      </c>
      <c r="C17" s="16">
        <v>0.8</v>
      </c>
      <c r="D17" s="16">
        <v>0.8</v>
      </c>
      <c r="E17" s="16">
        <v>0.8</v>
      </c>
      <c r="F17" s="16">
        <v>0.8</v>
      </c>
      <c r="G17" s="16">
        <v>0.7</v>
      </c>
      <c r="H17" s="16">
        <v>0.8</v>
      </c>
      <c r="I17" s="16">
        <v>0.7</v>
      </c>
      <c r="K17" s="7" t="s">
        <v>166</v>
      </c>
      <c r="L17" s="17">
        <v>0.15</v>
      </c>
    </row>
    <row r="18" spans="1:12" x14ac:dyDescent="0.2">
      <c r="A18" s="7">
        <v>14</v>
      </c>
      <c r="B18" s="16">
        <v>0.08</v>
      </c>
      <c r="C18" s="16">
        <v>0.8</v>
      </c>
      <c r="D18" s="16">
        <v>0.8</v>
      </c>
      <c r="E18" s="16">
        <v>0.8</v>
      </c>
      <c r="F18" s="16">
        <v>0.8</v>
      </c>
      <c r="G18" s="16">
        <v>0.7</v>
      </c>
      <c r="H18" s="16">
        <v>0.8</v>
      </c>
      <c r="I18" s="16">
        <v>0.7</v>
      </c>
      <c r="K18" s="7" t="s">
        <v>167</v>
      </c>
      <c r="L18" s="17">
        <v>0.03</v>
      </c>
    </row>
    <row r="19" spans="1:12" x14ac:dyDescent="0.2">
      <c r="A19" s="7">
        <v>15</v>
      </c>
      <c r="B19" s="16">
        <v>0.08</v>
      </c>
      <c r="C19" s="16">
        <v>0.8</v>
      </c>
      <c r="D19" s="16">
        <v>0.8</v>
      </c>
      <c r="E19" s="16">
        <v>0.8</v>
      </c>
      <c r="F19" s="16">
        <v>0.8</v>
      </c>
      <c r="G19" s="16">
        <v>0.7</v>
      </c>
      <c r="H19" s="16">
        <v>0.8</v>
      </c>
      <c r="I19" s="16">
        <v>0.7</v>
      </c>
    </row>
    <row r="20" spans="1:12" x14ac:dyDescent="0.2">
      <c r="A20" s="7">
        <v>16</v>
      </c>
      <c r="B20" s="16">
        <v>0.08</v>
      </c>
      <c r="C20" s="16">
        <v>0.8</v>
      </c>
      <c r="D20" s="16">
        <v>0.8</v>
      </c>
      <c r="E20" s="16">
        <v>0.8</v>
      </c>
      <c r="F20" s="16">
        <v>0.8</v>
      </c>
      <c r="G20" s="16">
        <v>0.7</v>
      </c>
      <c r="H20" s="16">
        <v>0.8</v>
      </c>
      <c r="I20" s="16">
        <v>0.7</v>
      </c>
    </row>
    <row r="21" spans="1:12" x14ac:dyDescent="0.2">
      <c r="A21" s="7">
        <v>17</v>
      </c>
      <c r="B21" s="16">
        <v>0.08</v>
      </c>
      <c r="C21" s="16">
        <v>0.8</v>
      </c>
      <c r="D21" s="16">
        <v>0.8</v>
      </c>
      <c r="E21" s="16">
        <v>0.8</v>
      </c>
      <c r="F21" s="16">
        <v>0.8</v>
      </c>
      <c r="G21" s="16">
        <v>0.7</v>
      </c>
      <c r="H21" s="16">
        <v>0.8</v>
      </c>
      <c r="I21" s="16">
        <v>0.7</v>
      </c>
    </row>
    <row r="22" spans="1:12" x14ac:dyDescent="0.2">
      <c r="A22" s="7">
        <v>18</v>
      </c>
      <c r="B22" s="16">
        <v>0.08</v>
      </c>
      <c r="C22" s="16">
        <v>0.8</v>
      </c>
      <c r="D22" s="16">
        <v>0.8</v>
      </c>
      <c r="E22" s="16">
        <v>0.8</v>
      </c>
      <c r="F22" s="16">
        <v>0.8</v>
      </c>
      <c r="G22" s="16">
        <v>0.7</v>
      </c>
      <c r="H22" s="16">
        <v>0.8</v>
      </c>
      <c r="I22" s="16">
        <v>0.7</v>
      </c>
    </row>
    <row r="23" spans="1:12" x14ac:dyDescent="0.2">
      <c r="A23" s="7">
        <v>19</v>
      </c>
      <c r="B23" s="16">
        <v>0.08</v>
      </c>
      <c r="C23" s="16">
        <v>0.8</v>
      </c>
      <c r="D23" s="16">
        <v>0.8</v>
      </c>
      <c r="E23" s="16">
        <v>0.8</v>
      </c>
      <c r="F23" s="16">
        <v>0.8</v>
      </c>
      <c r="G23" s="16">
        <v>0.7</v>
      </c>
      <c r="H23" s="16">
        <v>0.8</v>
      </c>
      <c r="I23" s="16">
        <v>0.7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134"/>
  <sheetViews>
    <sheetView workbookViewId="0">
      <pane xSplit="1" ySplit="3" topLeftCell="B4" activePane="bottomRight" state="frozen"/>
      <selection pane="topRight"/>
      <selection pane="bottomLeft"/>
      <selection pane="bottomRight"/>
    </sheetView>
  </sheetViews>
  <sheetFormatPr baseColWidth="10" defaultColWidth="8.83203125" defaultRowHeight="15" x14ac:dyDescent="0.2"/>
  <cols>
    <col min="1" max="1" width="6" customWidth="1"/>
    <col min="2" max="13" width="9" customWidth="1"/>
  </cols>
  <sheetData>
    <row r="1" spans="1:13" x14ac:dyDescent="0.2">
      <c r="A1" s="3" t="s">
        <v>168</v>
      </c>
    </row>
    <row r="2" spans="1:13" x14ac:dyDescent="0.2">
      <c r="A2" s="10" t="s">
        <v>169</v>
      </c>
      <c r="B2" s="10" t="s">
        <v>170</v>
      </c>
      <c r="C2" s="10" t="s">
        <v>171</v>
      </c>
      <c r="D2" s="10" t="s">
        <v>172</v>
      </c>
      <c r="E2" s="10" t="s">
        <v>173</v>
      </c>
      <c r="F2" s="10" t="s">
        <v>174</v>
      </c>
      <c r="G2" s="10" t="s">
        <v>175</v>
      </c>
      <c r="H2" s="10" t="s">
        <v>176</v>
      </c>
      <c r="I2" s="10" t="s">
        <v>177</v>
      </c>
      <c r="J2" s="10" t="s">
        <v>178</v>
      </c>
      <c r="K2" s="10" t="s">
        <v>179</v>
      </c>
      <c r="L2" s="10" t="s">
        <v>180</v>
      </c>
      <c r="M2" s="10" t="s">
        <v>181</v>
      </c>
    </row>
    <row r="3" spans="1:13" x14ac:dyDescent="0.2">
      <c r="A3" s="14" t="s">
        <v>182</v>
      </c>
      <c r="B3" s="14" t="s">
        <v>183</v>
      </c>
    </row>
    <row r="4" spans="1:13" x14ac:dyDescent="0.2">
      <c r="A4" s="7">
        <v>0</v>
      </c>
      <c r="B4" s="16">
        <v>2.4599999999999999E-3</v>
      </c>
      <c r="C4" s="16">
        <v>2.0999999999999999E-3</v>
      </c>
      <c r="D4" s="16">
        <v>2.98E-3</v>
      </c>
      <c r="E4" s="16">
        <v>2.5200000000000001E-3</v>
      </c>
      <c r="F4" s="16">
        <v>3.4499999999999999E-3</v>
      </c>
      <c r="G4" s="16">
        <v>2.98E-3</v>
      </c>
      <c r="H4" s="16">
        <v>4.5599999999999998E-3</v>
      </c>
      <c r="I4" s="16">
        <v>3.8300000000000001E-3</v>
      </c>
      <c r="J4" s="16"/>
      <c r="K4" s="16"/>
      <c r="L4" s="16"/>
      <c r="M4" s="16"/>
    </row>
    <row r="5" spans="1:13" x14ac:dyDescent="0.2">
      <c r="A5" s="7">
        <v>1</v>
      </c>
      <c r="B5" s="16">
        <v>3.6999999999999999E-4</v>
      </c>
      <c r="C5" s="16">
        <v>3.3E-4</v>
      </c>
      <c r="D5" s="16">
        <v>4.4999999999999999E-4</v>
      </c>
      <c r="E5" s="16">
        <v>3.4000000000000002E-4</v>
      </c>
      <c r="F5" s="16">
        <v>5.1000000000000004E-4</v>
      </c>
      <c r="G5" s="16">
        <v>4.4000000000000002E-4</v>
      </c>
      <c r="H5" s="16">
        <v>6.8999999999999997E-4</v>
      </c>
      <c r="I5" s="16">
        <v>5.9000000000000003E-4</v>
      </c>
      <c r="J5" s="16"/>
      <c r="K5" s="16"/>
      <c r="L5" s="16"/>
      <c r="M5" s="16"/>
    </row>
    <row r="6" spans="1:13" x14ac:dyDescent="0.2">
      <c r="A6" s="7">
        <v>2</v>
      </c>
      <c r="B6" s="16">
        <v>2.5999999999999998E-4</v>
      </c>
      <c r="C6" s="16">
        <v>2.3000000000000001E-4</v>
      </c>
      <c r="D6" s="16">
        <v>3.2000000000000003E-4</v>
      </c>
      <c r="E6" s="16">
        <v>2.5000000000000001E-4</v>
      </c>
      <c r="F6" s="16">
        <v>3.8000000000000002E-4</v>
      </c>
      <c r="G6" s="16">
        <v>2.9999999999999997E-4</v>
      </c>
      <c r="H6" s="16">
        <v>5.1000000000000004E-4</v>
      </c>
      <c r="I6" s="16">
        <v>4.0999999999999999E-4</v>
      </c>
      <c r="J6" s="16"/>
      <c r="K6" s="16"/>
      <c r="L6" s="16"/>
      <c r="M6" s="16"/>
    </row>
    <row r="7" spans="1:13" x14ac:dyDescent="0.2">
      <c r="A7" s="7">
        <v>3</v>
      </c>
      <c r="B7" s="16">
        <v>1.8000000000000001E-4</v>
      </c>
      <c r="C7" s="16">
        <v>1.4999999999999999E-4</v>
      </c>
      <c r="D7" s="16">
        <v>2.2000000000000001E-4</v>
      </c>
      <c r="E7" s="16">
        <v>1.8000000000000001E-4</v>
      </c>
      <c r="F7" s="16">
        <v>2.7E-4</v>
      </c>
      <c r="G7" s="16">
        <v>2.0000000000000001E-4</v>
      </c>
      <c r="H7" s="16">
        <v>3.6999999999999999E-4</v>
      </c>
      <c r="I7" s="16">
        <v>2.7999999999999998E-4</v>
      </c>
      <c r="J7" s="16"/>
      <c r="K7" s="16"/>
      <c r="L7" s="16"/>
      <c r="M7" s="16"/>
    </row>
    <row r="8" spans="1:13" x14ac:dyDescent="0.2">
      <c r="A8" s="7">
        <v>4</v>
      </c>
      <c r="B8" s="16">
        <v>1.2999999999999999E-4</v>
      </c>
      <c r="C8" s="16">
        <v>1.1E-4</v>
      </c>
      <c r="D8" s="16">
        <v>1.6000000000000001E-4</v>
      </c>
      <c r="E8" s="16">
        <v>1.2999999999999999E-4</v>
      </c>
      <c r="F8" s="16">
        <v>2.1000000000000001E-4</v>
      </c>
      <c r="G8" s="16">
        <v>1.3999999999999999E-4</v>
      </c>
      <c r="H8" s="16">
        <v>2.9E-4</v>
      </c>
      <c r="I8" s="16">
        <v>2.1000000000000001E-4</v>
      </c>
      <c r="J8" s="16"/>
      <c r="K8" s="16"/>
      <c r="L8" s="16"/>
      <c r="M8" s="16"/>
    </row>
    <row r="9" spans="1:13" x14ac:dyDescent="0.2">
      <c r="A9" s="7">
        <v>5</v>
      </c>
      <c r="B9" s="16">
        <v>1.1E-4</v>
      </c>
      <c r="C9" s="16">
        <v>9.0000000000000006E-5</v>
      </c>
      <c r="D9" s="16">
        <v>1.3999999999999999E-4</v>
      </c>
      <c r="E9" s="16">
        <v>1.1E-4</v>
      </c>
      <c r="F9" s="16">
        <v>1.8000000000000001E-4</v>
      </c>
      <c r="G9" s="16">
        <v>1.2E-4</v>
      </c>
      <c r="H9" s="16">
        <v>2.5000000000000001E-4</v>
      </c>
      <c r="I9" s="16">
        <v>1.8000000000000001E-4</v>
      </c>
      <c r="J9" s="16"/>
      <c r="K9" s="16"/>
      <c r="L9" s="16"/>
      <c r="M9" s="16"/>
    </row>
    <row r="10" spans="1:13" x14ac:dyDescent="0.2">
      <c r="A10" s="7">
        <v>6</v>
      </c>
      <c r="B10" s="16">
        <v>1E-4</v>
      </c>
      <c r="C10" s="16">
        <v>8.0000000000000007E-5</v>
      </c>
      <c r="D10" s="16">
        <v>1.3999999999999999E-4</v>
      </c>
      <c r="E10" s="16">
        <v>9.0000000000000006E-5</v>
      </c>
      <c r="F10" s="16">
        <v>1.6000000000000001E-4</v>
      </c>
      <c r="G10" s="16">
        <v>1.1E-4</v>
      </c>
      <c r="H10" s="16">
        <v>2.4000000000000001E-4</v>
      </c>
      <c r="I10" s="16">
        <v>1.7000000000000001E-4</v>
      </c>
      <c r="J10" s="16"/>
      <c r="K10" s="16"/>
      <c r="L10" s="16"/>
      <c r="M10" s="16"/>
    </row>
    <row r="11" spans="1:13" x14ac:dyDescent="0.2">
      <c r="A11" s="7">
        <v>7</v>
      </c>
      <c r="B11" s="16">
        <v>9.0000000000000006E-5</v>
      </c>
      <c r="C11" s="16">
        <v>8.0000000000000007E-5</v>
      </c>
      <c r="D11" s="16">
        <v>1.3999999999999999E-4</v>
      </c>
      <c r="E11" s="16">
        <v>9.0000000000000006E-5</v>
      </c>
      <c r="F11" s="16">
        <v>1.3999999999999999E-4</v>
      </c>
      <c r="G11" s="16">
        <v>1E-4</v>
      </c>
      <c r="H11" s="16">
        <v>2.2000000000000001E-4</v>
      </c>
      <c r="I11" s="16">
        <v>1.4999999999999999E-4</v>
      </c>
      <c r="J11" s="16"/>
      <c r="K11" s="16"/>
      <c r="L11" s="16"/>
      <c r="M11" s="16"/>
    </row>
    <row r="12" spans="1:13" x14ac:dyDescent="0.2">
      <c r="A12" s="7">
        <v>8</v>
      </c>
      <c r="B12" s="16">
        <v>8.0000000000000007E-5</v>
      </c>
      <c r="C12" s="16">
        <v>6.9999999999999994E-5</v>
      </c>
      <c r="D12" s="16">
        <v>1.2999999999999999E-4</v>
      </c>
      <c r="E12" s="16">
        <v>8.0000000000000007E-5</v>
      </c>
      <c r="F12" s="16">
        <v>1.2E-4</v>
      </c>
      <c r="G12" s="16">
        <v>9.0000000000000006E-5</v>
      </c>
      <c r="H12" s="16">
        <v>2.0000000000000001E-4</v>
      </c>
      <c r="I12" s="16">
        <v>1.2999999999999999E-4</v>
      </c>
      <c r="J12" s="16"/>
      <c r="K12" s="16"/>
      <c r="L12" s="16"/>
      <c r="M12" s="16"/>
    </row>
    <row r="13" spans="1:13" x14ac:dyDescent="0.2">
      <c r="A13" s="7">
        <v>9</v>
      </c>
      <c r="B13" s="16">
        <v>8.0000000000000007E-5</v>
      </c>
      <c r="C13" s="16">
        <v>6.0000000000000002E-5</v>
      </c>
      <c r="D13" s="16">
        <v>1.1E-4</v>
      </c>
      <c r="E13" s="16">
        <v>6.9999999999999994E-5</v>
      </c>
      <c r="F13" s="16">
        <v>1.1E-4</v>
      </c>
      <c r="G13" s="16">
        <v>8.0000000000000007E-5</v>
      </c>
      <c r="H13" s="16">
        <v>1.9000000000000001E-4</v>
      </c>
      <c r="I13" s="16">
        <v>1.2E-4</v>
      </c>
      <c r="J13" s="16"/>
      <c r="K13" s="16"/>
      <c r="L13" s="16"/>
      <c r="M13" s="16"/>
    </row>
    <row r="14" spans="1:13" x14ac:dyDescent="0.2">
      <c r="A14" s="7">
        <v>10</v>
      </c>
      <c r="B14" s="16">
        <v>8.0000000000000007E-5</v>
      </c>
      <c r="C14" s="16">
        <v>6.0000000000000002E-5</v>
      </c>
      <c r="D14" s="16">
        <v>9.0000000000000006E-5</v>
      </c>
      <c r="E14" s="16">
        <v>6.9999999999999994E-5</v>
      </c>
      <c r="F14" s="16">
        <v>1E-4</v>
      </c>
      <c r="G14" s="16">
        <v>8.0000000000000007E-5</v>
      </c>
      <c r="H14" s="16">
        <v>1.8000000000000001E-4</v>
      </c>
      <c r="I14" s="16">
        <v>1.2E-4</v>
      </c>
      <c r="J14" s="16"/>
      <c r="K14" s="16"/>
      <c r="L14" s="16"/>
      <c r="M14" s="16"/>
    </row>
    <row r="15" spans="1:13" x14ac:dyDescent="0.2">
      <c r="A15" s="7">
        <v>11</v>
      </c>
      <c r="B15" s="16">
        <v>1E-4</v>
      </c>
      <c r="C15" s="16">
        <v>6.0000000000000002E-5</v>
      </c>
      <c r="D15" s="16">
        <v>9.0000000000000006E-5</v>
      </c>
      <c r="E15" s="16">
        <v>6.0000000000000002E-5</v>
      </c>
      <c r="F15" s="16">
        <v>1.1E-4</v>
      </c>
      <c r="G15" s="16">
        <v>8.0000000000000007E-5</v>
      </c>
      <c r="H15" s="16">
        <v>1.7000000000000001E-4</v>
      </c>
      <c r="I15" s="16">
        <v>1.2E-4</v>
      </c>
      <c r="J15" s="16"/>
      <c r="K15" s="16"/>
      <c r="L15" s="16"/>
      <c r="M15" s="16"/>
    </row>
    <row r="16" spans="1:13" x14ac:dyDescent="0.2">
      <c r="A16" s="7">
        <v>12</v>
      </c>
      <c r="B16" s="16">
        <v>1.1E-4</v>
      </c>
      <c r="C16" s="16">
        <v>6.9999999999999994E-5</v>
      </c>
      <c r="D16" s="16">
        <v>1E-4</v>
      </c>
      <c r="E16" s="16">
        <v>6.9999999999999994E-5</v>
      </c>
      <c r="F16" s="16">
        <v>1.2999999999999999E-4</v>
      </c>
      <c r="G16" s="16">
        <v>8.0000000000000007E-5</v>
      </c>
      <c r="H16" s="16">
        <v>1.7000000000000001E-4</v>
      </c>
      <c r="I16" s="16">
        <v>1.2E-4</v>
      </c>
      <c r="J16" s="16"/>
      <c r="K16" s="16"/>
      <c r="L16" s="16"/>
      <c r="M16" s="16"/>
    </row>
    <row r="17" spans="1:13" x14ac:dyDescent="0.2">
      <c r="A17" s="7">
        <v>13</v>
      </c>
      <c r="B17" s="16">
        <v>1.2999999999999999E-4</v>
      </c>
      <c r="C17" s="16">
        <v>8.0000000000000007E-5</v>
      </c>
      <c r="D17" s="16">
        <v>1.3999999999999999E-4</v>
      </c>
      <c r="E17" s="16">
        <v>8.0000000000000007E-5</v>
      </c>
      <c r="F17" s="16">
        <v>1.6000000000000001E-4</v>
      </c>
      <c r="G17" s="16">
        <v>8.0000000000000007E-5</v>
      </c>
      <c r="H17" s="16">
        <v>1.9000000000000001E-4</v>
      </c>
      <c r="I17" s="16">
        <v>1.2999999999999999E-4</v>
      </c>
      <c r="J17" s="16"/>
      <c r="K17" s="16"/>
      <c r="L17" s="16"/>
      <c r="M17" s="16"/>
    </row>
    <row r="18" spans="1:13" x14ac:dyDescent="0.2">
      <c r="A18" s="7">
        <v>14</v>
      </c>
      <c r="B18" s="16">
        <v>1.4999999999999999E-4</v>
      </c>
      <c r="C18" s="16">
        <v>1E-4</v>
      </c>
      <c r="D18" s="16">
        <v>1.8000000000000001E-4</v>
      </c>
      <c r="E18" s="16">
        <v>1E-4</v>
      </c>
      <c r="F18" s="16">
        <v>2.1000000000000001E-4</v>
      </c>
      <c r="G18" s="16">
        <v>1E-4</v>
      </c>
      <c r="H18" s="16">
        <v>2.5000000000000001E-4</v>
      </c>
      <c r="I18" s="16">
        <v>1.4999999999999999E-4</v>
      </c>
      <c r="J18" s="16"/>
      <c r="K18" s="16"/>
      <c r="L18" s="16"/>
      <c r="M18" s="16"/>
    </row>
    <row r="19" spans="1:13" x14ac:dyDescent="0.2">
      <c r="A19" s="7">
        <v>15</v>
      </c>
      <c r="B19" s="16">
        <v>1.9000000000000001E-4</v>
      </c>
      <c r="C19" s="16">
        <v>1.2E-4</v>
      </c>
      <c r="D19" s="16">
        <v>2.3000000000000001E-4</v>
      </c>
      <c r="E19" s="16">
        <v>1.2E-4</v>
      </c>
      <c r="F19" s="16">
        <v>2.7E-4</v>
      </c>
      <c r="G19" s="16">
        <v>1.2E-4</v>
      </c>
      <c r="H19" s="16">
        <v>3.3E-4</v>
      </c>
      <c r="I19" s="16">
        <v>1.8000000000000001E-4</v>
      </c>
      <c r="J19" s="16"/>
      <c r="K19" s="16"/>
      <c r="L19" s="16"/>
      <c r="M19" s="16"/>
    </row>
    <row r="20" spans="1:13" x14ac:dyDescent="0.2">
      <c r="A20" s="7">
        <v>16</v>
      </c>
      <c r="B20" s="16">
        <v>2.4000000000000001E-4</v>
      </c>
      <c r="C20" s="16">
        <v>1.3999999999999999E-4</v>
      </c>
      <c r="D20" s="16">
        <v>2.7999999999999998E-4</v>
      </c>
      <c r="E20" s="16">
        <v>1.3999999999999999E-4</v>
      </c>
      <c r="F20" s="16">
        <v>3.6000000000000002E-4</v>
      </c>
      <c r="G20" s="16">
        <v>1.6000000000000001E-4</v>
      </c>
      <c r="H20" s="16">
        <v>4.4000000000000002E-4</v>
      </c>
      <c r="I20" s="16">
        <v>2.0000000000000001E-4</v>
      </c>
      <c r="J20" s="16"/>
      <c r="K20" s="16"/>
      <c r="L20" s="16"/>
      <c r="M20" s="16"/>
    </row>
    <row r="21" spans="1:13" x14ac:dyDescent="0.2">
      <c r="A21" s="7">
        <v>17</v>
      </c>
      <c r="B21" s="16">
        <v>2.9999999999999997E-4</v>
      </c>
      <c r="C21" s="16">
        <v>1.6000000000000001E-4</v>
      </c>
      <c r="D21" s="16">
        <v>3.5E-4</v>
      </c>
      <c r="E21" s="16">
        <v>1.7000000000000001E-4</v>
      </c>
      <c r="F21" s="16">
        <v>4.6000000000000001E-4</v>
      </c>
      <c r="G21" s="16">
        <v>1.9000000000000001E-4</v>
      </c>
      <c r="H21" s="16">
        <v>5.5000000000000003E-4</v>
      </c>
      <c r="I21" s="16">
        <v>2.3000000000000001E-4</v>
      </c>
      <c r="J21" s="16"/>
      <c r="K21" s="16"/>
      <c r="L21" s="16"/>
      <c r="M21" s="16"/>
    </row>
    <row r="22" spans="1:13" x14ac:dyDescent="0.2">
      <c r="A22" s="7">
        <v>18</v>
      </c>
      <c r="B22" s="16">
        <v>3.8000000000000002E-4</v>
      </c>
      <c r="C22" s="16">
        <v>1.9000000000000001E-4</v>
      </c>
      <c r="D22" s="16">
        <v>4.2999999999999999E-4</v>
      </c>
      <c r="E22" s="16">
        <v>2.1000000000000001E-4</v>
      </c>
      <c r="F22" s="16">
        <v>5.4000000000000001E-4</v>
      </c>
      <c r="G22" s="16">
        <v>2.2000000000000001E-4</v>
      </c>
      <c r="H22" s="16">
        <v>6.4999999999999997E-4</v>
      </c>
      <c r="I22" s="16">
        <v>2.4000000000000001E-4</v>
      </c>
      <c r="J22" s="16"/>
      <c r="K22" s="16"/>
      <c r="L22" s="16"/>
      <c r="M22" s="16"/>
    </row>
    <row r="23" spans="1:13" x14ac:dyDescent="0.2">
      <c r="A23" s="7">
        <v>19</v>
      </c>
      <c r="B23" s="16">
        <v>4.4999999999999999E-4</v>
      </c>
      <c r="C23" s="16">
        <v>2.1000000000000001E-4</v>
      </c>
      <c r="D23" s="16">
        <v>5.0000000000000001E-4</v>
      </c>
      <c r="E23" s="16">
        <v>2.4000000000000001E-4</v>
      </c>
      <c r="F23" s="16">
        <v>5.9999999999999995E-4</v>
      </c>
      <c r="G23" s="16">
        <v>2.3000000000000001E-4</v>
      </c>
      <c r="H23" s="16">
        <v>7.2000000000000005E-4</v>
      </c>
      <c r="I23" s="16">
        <v>2.7E-4</v>
      </c>
      <c r="J23" s="16"/>
      <c r="K23" s="16"/>
      <c r="L23" s="16"/>
      <c r="M23" s="16"/>
    </row>
    <row r="24" spans="1:13" x14ac:dyDescent="0.2">
      <c r="A24" s="7">
        <v>20</v>
      </c>
      <c r="B24" s="16">
        <v>5.1000000000000004E-4</v>
      </c>
      <c r="C24" s="16">
        <v>2.4000000000000001E-4</v>
      </c>
      <c r="D24" s="16">
        <v>5.5999999999999995E-4</v>
      </c>
      <c r="E24" s="16">
        <v>2.5999999999999998E-4</v>
      </c>
      <c r="F24" s="16">
        <v>6.3000000000000003E-4</v>
      </c>
      <c r="G24" s="16">
        <v>2.5000000000000001E-4</v>
      </c>
      <c r="H24" s="16">
        <v>7.5000000000000002E-4</v>
      </c>
      <c r="I24" s="16">
        <v>2.9E-4</v>
      </c>
      <c r="J24" s="16"/>
      <c r="K24" s="16"/>
      <c r="L24" s="16"/>
      <c r="M24" s="16"/>
    </row>
    <row r="25" spans="1:13" x14ac:dyDescent="0.2">
      <c r="A25" s="7">
        <v>21</v>
      </c>
      <c r="B25" s="16">
        <v>5.6999999999999998E-4</v>
      </c>
      <c r="C25" s="16">
        <v>2.5000000000000001E-4</v>
      </c>
      <c r="D25" s="16">
        <v>5.9999999999999995E-4</v>
      </c>
      <c r="E25" s="16">
        <v>2.9E-4</v>
      </c>
      <c r="F25" s="16">
        <v>6.4999999999999997E-4</v>
      </c>
      <c r="G25" s="16">
        <v>2.7E-4</v>
      </c>
      <c r="H25" s="16">
        <v>7.5000000000000002E-4</v>
      </c>
      <c r="I25" s="16">
        <v>3.1E-4</v>
      </c>
      <c r="J25" s="16"/>
      <c r="K25" s="16"/>
      <c r="L25" s="16"/>
      <c r="M25" s="16"/>
    </row>
    <row r="26" spans="1:13" x14ac:dyDescent="0.2">
      <c r="A26" s="7">
        <v>22</v>
      </c>
      <c r="B26" s="16">
        <v>6.0999999999999997E-4</v>
      </c>
      <c r="C26" s="16">
        <v>2.5999999999999998E-4</v>
      </c>
      <c r="D26" s="16">
        <v>6.3000000000000003E-4</v>
      </c>
      <c r="E26" s="16">
        <v>3.1E-4</v>
      </c>
      <c r="F26" s="16">
        <v>6.7000000000000002E-4</v>
      </c>
      <c r="G26" s="16">
        <v>2.7999999999999998E-4</v>
      </c>
      <c r="H26" s="16">
        <v>7.3999999999999999E-4</v>
      </c>
      <c r="I26" s="16">
        <v>3.1E-4</v>
      </c>
      <c r="J26" s="16"/>
      <c r="K26" s="16"/>
      <c r="L26" s="16"/>
      <c r="M26" s="16"/>
    </row>
    <row r="27" spans="1:13" x14ac:dyDescent="0.2">
      <c r="A27" s="7">
        <v>23</v>
      </c>
      <c r="B27" s="16">
        <v>6.4000000000000005E-4</v>
      </c>
      <c r="C27" s="16">
        <v>2.5999999999999998E-4</v>
      </c>
      <c r="D27" s="16">
        <v>6.6E-4</v>
      </c>
      <c r="E27" s="16">
        <v>3.3E-4</v>
      </c>
      <c r="F27" s="16">
        <v>6.8999999999999997E-4</v>
      </c>
      <c r="G27" s="16">
        <v>2.9999999999999997E-4</v>
      </c>
      <c r="H27" s="16">
        <v>7.2999999999999996E-4</v>
      </c>
      <c r="I27" s="16">
        <v>2.9999999999999997E-4</v>
      </c>
      <c r="J27" s="16"/>
      <c r="K27" s="16"/>
      <c r="L27" s="16"/>
      <c r="M27" s="16"/>
    </row>
    <row r="28" spans="1:13" x14ac:dyDescent="0.2">
      <c r="A28" s="7">
        <v>24</v>
      </c>
      <c r="B28" s="16">
        <v>6.4000000000000005E-4</v>
      </c>
      <c r="C28" s="16">
        <v>2.5999999999999998E-4</v>
      </c>
      <c r="D28" s="16">
        <v>6.7000000000000002E-4</v>
      </c>
      <c r="E28" s="16">
        <v>3.3E-4</v>
      </c>
      <c r="F28" s="16">
        <v>6.8999999999999997E-4</v>
      </c>
      <c r="G28" s="16">
        <v>2.9999999999999997E-4</v>
      </c>
      <c r="H28" s="16">
        <v>7.2000000000000005E-4</v>
      </c>
      <c r="I28" s="16">
        <v>2.9E-4</v>
      </c>
      <c r="J28" s="16"/>
      <c r="K28" s="16"/>
      <c r="L28" s="16"/>
      <c r="M28" s="16"/>
    </row>
    <row r="29" spans="1:13" x14ac:dyDescent="0.2">
      <c r="A29" s="7">
        <v>25</v>
      </c>
      <c r="B29" s="16">
        <v>6.4000000000000005E-4</v>
      </c>
      <c r="C29" s="16">
        <v>2.5999999999999998E-4</v>
      </c>
      <c r="D29" s="16">
        <v>6.7000000000000002E-4</v>
      </c>
      <c r="E29" s="16">
        <v>3.2000000000000003E-4</v>
      </c>
      <c r="F29" s="16">
        <v>6.8000000000000005E-4</v>
      </c>
      <c r="G29" s="16">
        <v>3.1E-4</v>
      </c>
      <c r="H29" s="16">
        <v>7.1000000000000002E-4</v>
      </c>
      <c r="I29" s="16">
        <v>2.9999999999999997E-4</v>
      </c>
      <c r="J29" s="16"/>
      <c r="K29" s="16"/>
      <c r="L29" s="16"/>
      <c r="M29" s="16"/>
    </row>
    <row r="30" spans="1:13" x14ac:dyDescent="0.2">
      <c r="A30" s="7">
        <v>26</v>
      </c>
      <c r="B30" s="16">
        <v>6.4999999999999997E-4</v>
      </c>
      <c r="C30" s="16">
        <v>2.7E-4</v>
      </c>
      <c r="D30" s="16">
        <v>6.7000000000000002E-4</v>
      </c>
      <c r="E30" s="16">
        <v>3.1E-4</v>
      </c>
      <c r="F30" s="16">
        <v>6.6E-4</v>
      </c>
      <c r="G30" s="16">
        <v>3.1E-4</v>
      </c>
      <c r="H30" s="16">
        <v>7.1000000000000002E-4</v>
      </c>
      <c r="I30" s="16">
        <v>3.1E-4</v>
      </c>
      <c r="J30" s="16"/>
      <c r="K30" s="16"/>
      <c r="L30" s="16"/>
      <c r="M30" s="16"/>
    </row>
    <row r="31" spans="1:13" x14ac:dyDescent="0.2">
      <c r="A31" s="7">
        <v>27</v>
      </c>
      <c r="B31" s="16">
        <v>6.6E-4</v>
      </c>
      <c r="C31" s="16">
        <v>2.7999999999999998E-4</v>
      </c>
      <c r="D31" s="16">
        <v>6.8000000000000005E-4</v>
      </c>
      <c r="E31" s="16">
        <v>3.1E-4</v>
      </c>
      <c r="F31" s="16">
        <v>6.4999999999999997E-4</v>
      </c>
      <c r="G31" s="16">
        <v>3.2000000000000003E-4</v>
      </c>
      <c r="H31" s="16">
        <v>7.2000000000000005E-4</v>
      </c>
      <c r="I31" s="16">
        <v>3.4000000000000002E-4</v>
      </c>
      <c r="J31" s="16"/>
      <c r="K31" s="16"/>
      <c r="L31" s="16"/>
      <c r="M31" s="16"/>
    </row>
    <row r="32" spans="1:13" x14ac:dyDescent="0.2">
      <c r="A32" s="7">
        <v>28</v>
      </c>
      <c r="B32" s="16">
        <v>6.7000000000000002E-4</v>
      </c>
      <c r="C32" s="16">
        <v>3.1E-4</v>
      </c>
      <c r="D32" s="16">
        <v>6.9999999999999999E-4</v>
      </c>
      <c r="E32" s="16">
        <v>3.2000000000000003E-4</v>
      </c>
      <c r="F32" s="16">
        <v>6.7000000000000002E-4</v>
      </c>
      <c r="G32" s="16">
        <v>3.4000000000000002E-4</v>
      </c>
      <c r="H32" s="16">
        <v>7.5000000000000002E-4</v>
      </c>
      <c r="I32" s="16">
        <v>3.6000000000000002E-4</v>
      </c>
      <c r="J32" s="16"/>
      <c r="K32" s="16"/>
      <c r="L32" s="16"/>
      <c r="M32" s="16"/>
    </row>
    <row r="33" spans="1:13" x14ac:dyDescent="0.2">
      <c r="A33" s="7">
        <v>29</v>
      </c>
      <c r="B33" s="16">
        <v>6.8000000000000005E-4</v>
      </c>
      <c r="C33" s="16">
        <v>3.4000000000000002E-4</v>
      </c>
      <c r="D33" s="16">
        <v>7.2000000000000005E-4</v>
      </c>
      <c r="E33" s="16">
        <v>3.5E-4</v>
      </c>
      <c r="F33" s="16">
        <v>7.1000000000000002E-4</v>
      </c>
      <c r="G33" s="16">
        <v>3.6000000000000002E-4</v>
      </c>
      <c r="H33" s="16">
        <v>7.6999999999999996E-4</v>
      </c>
      <c r="I33" s="16">
        <v>3.8000000000000002E-4</v>
      </c>
      <c r="J33" s="16"/>
      <c r="K33" s="16"/>
      <c r="L33" s="16"/>
      <c r="M33" s="16"/>
    </row>
    <row r="34" spans="1:13" x14ac:dyDescent="0.2">
      <c r="A34" s="7">
        <v>30</v>
      </c>
      <c r="B34" s="16">
        <v>6.8999999999999997E-4</v>
      </c>
      <c r="C34" s="16">
        <v>3.6000000000000002E-4</v>
      </c>
      <c r="D34" s="16">
        <v>7.3999999999999999E-4</v>
      </c>
      <c r="E34" s="16">
        <v>3.6999999999999999E-4</v>
      </c>
      <c r="F34" s="16">
        <v>7.6999999999999996E-4</v>
      </c>
      <c r="G34" s="16">
        <v>3.8000000000000002E-4</v>
      </c>
      <c r="H34" s="16">
        <v>7.9000000000000001E-4</v>
      </c>
      <c r="I34" s="16">
        <v>4.0000000000000002E-4</v>
      </c>
      <c r="J34" s="16"/>
      <c r="K34" s="16"/>
      <c r="L34" s="16"/>
      <c r="M34" s="16"/>
    </row>
    <row r="35" spans="1:13" x14ac:dyDescent="0.2">
      <c r="A35" s="7">
        <v>31</v>
      </c>
      <c r="B35" s="16">
        <v>7.1000000000000002E-4</v>
      </c>
      <c r="C35" s="16">
        <v>3.8000000000000002E-4</v>
      </c>
      <c r="D35" s="16">
        <v>7.6000000000000004E-4</v>
      </c>
      <c r="E35" s="16">
        <v>4.0000000000000002E-4</v>
      </c>
      <c r="F35" s="16">
        <v>8.1999999999999998E-4</v>
      </c>
      <c r="G35" s="16">
        <v>4.0999999999999999E-4</v>
      </c>
      <c r="H35" s="16">
        <v>7.9000000000000001E-4</v>
      </c>
      <c r="I35" s="16">
        <v>4.2999999999999999E-4</v>
      </c>
      <c r="J35" s="16"/>
      <c r="K35" s="16"/>
      <c r="L35" s="16"/>
      <c r="M35" s="16"/>
    </row>
    <row r="36" spans="1:13" x14ac:dyDescent="0.2">
      <c r="A36" s="7">
        <v>32</v>
      </c>
      <c r="B36" s="16">
        <v>7.3999999999999999E-4</v>
      </c>
      <c r="C36" s="16">
        <v>4.0000000000000002E-4</v>
      </c>
      <c r="D36" s="16">
        <v>7.9000000000000001E-4</v>
      </c>
      <c r="E36" s="16">
        <v>4.2000000000000002E-4</v>
      </c>
      <c r="F36" s="16">
        <v>8.8000000000000003E-4</v>
      </c>
      <c r="G36" s="16">
        <v>4.4000000000000002E-4</v>
      </c>
      <c r="H36" s="16">
        <v>8.0999999999999996E-4</v>
      </c>
      <c r="I36" s="16">
        <v>4.6999999999999999E-4</v>
      </c>
      <c r="J36" s="16"/>
      <c r="K36" s="16"/>
      <c r="L36" s="16"/>
      <c r="M36" s="16"/>
    </row>
    <row r="37" spans="1:13" x14ac:dyDescent="0.2">
      <c r="A37" s="7">
        <v>33</v>
      </c>
      <c r="B37" s="16">
        <v>7.6999999999999996E-4</v>
      </c>
      <c r="C37" s="16">
        <v>4.2000000000000002E-4</v>
      </c>
      <c r="D37" s="16">
        <v>8.4999999999999995E-4</v>
      </c>
      <c r="E37" s="16">
        <v>4.6000000000000001E-4</v>
      </c>
      <c r="F37" s="16">
        <v>9.2000000000000003E-4</v>
      </c>
      <c r="G37" s="16">
        <v>4.6999999999999999E-4</v>
      </c>
      <c r="H37" s="16">
        <v>8.4999999999999995E-4</v>
      </c>
      <c r="I37" s="16">
        <v>5.0000000000000001E-4</v>
      </c>
      <c r="J37" s="16"/>
      <c r="K37" s="16"/>
      <c r="L37" s="16"/>
      <c r="M37" s="16"/>
    </row>
    <row r="38" spans="1:13" x14ac:dyDescent="0.2">
      <c r="A38" s="7">
        <v>34</v>
      </c>
      <c r="B38" s="16">
        <v>8.0999999999999996E-4</v>
      </c>
      <c r="C38" s="16">
        <v>4.4999999999999999E-4</v>
      </c>
      <c r="D38" s="16">
        <v>9.2000000000000003E-4</v>
      </c>
      <c r="E38" s="16">
        <v>4.8999999999999998E-4</v>
      </c>
      <c r="F38" s="16">
        <v>9.5E-4</v>
      </c>
      <c r="G38" s="16">
        <v>5.0000000000000001E-4</v>
      </c>
      <c r="H38" s="16">
        <v>9.1E-4</v>
      </c>
      <c r="I38" s="16">
        <v>5.1999999999999995E-4</v>
      </c>
      <c r="J38" s="16"/>
      <c r="K38" s="16"/>
      <c r="L38" s="16"/>
      <c r="M38" s="16"/>
    </row>
    <row r="39" spans="1:13" x14ac:dyDescent="0.2">
      <c r="A39" s="7">
        <v>35</v>
      </c>
      <c r="B39" s="16">
        <v>8.4999999999999995E-4</v>
      </c>
      <c r="C39" s="16">
        <v>4.8000000000000001E-4</v>
      </c>
      <c r="D39" s="16">
        <v>9.7999999999999997E-4</v>
      </c>
      <c r="E39" s="16">
        <v>5.2999999999999998E-4</v>
      </c>
      <c r="F39" s="16">
        <v>9.8999999999999999E-4</v>
      </c>
      <c r="G39" s="16">
        <v>5.4000000000000001E-4</v>
      </c>
      <c r="H39" s="16">
        <v>9.7999999999999997E-4</v>
      </c>
      <c r="I39" s="16">
        <v>5.4000000000000001E-4</v>
      </c>
      <c r="J39" s="16"/>
      <c r="K39" s="16"/>
      <c r="L39" s="16"/>
      <c r="M39" s="16"/>
    </row>
    <row r="40" spans="1:13" x14ac:dyDescent="0.2">
      <c r="A40" s="7">
        <v>36</v>
      </c>
      <c r="B40" s="16">
        <v>8.9999999999999998E-4</v>
      </c>
      <c r="C40" s="16">
        <v>5.1999999999999995E-4</v>
      </c>
      <c r="D40" s="16">
        <v>1.0499999999999999E-3</v>
      </c>
      <c r="E40" s="16">
        <v>5.6999999999999998E-4</v>
      </c>
      <c r="F40" s="16">
        <v>1.0499999999999999E-3</v>
      </c>
      <c r="G40" s="16">
        <v>5.8E-4</v>
      </c>
      <c r="H40" s="16">
        <v>1.06E-3</v>
      </c>
      <c r="I40" s="16">
        <v>5.6999999999999998E-4</v>
      </c>
      <c r="J40" s="16"/>
      <c r="K40" s="16"/>
      <c r="L40" s="16"/>
      <c r="M40" s="16"/>
    </row>
    <row r="41" spans="1:13" x14ac:dyDescent="0.2">
      <c r="A41" s="7">
        <v>37</v>
      </c>
      <c r="B41" s="16">
        <v>9.7999999999999997E-4</v>
      </c>
      <c r="C41" s="16">
        <v>5.5999999999999995E-4</v>
      </c>
      <c r="D41" s="16">
        <v>1.1299999999999999E-3</v>
      </c>
      <c r="E41" s="16">
        <v>5.9999999999999995E-4</v>
      </c>
      <c r="F41" s="16">
        <v>1.14E-3</v>
      </c>
      <c r="G41" s="16">
        <v>6.2E-4</v>
      </c>
      <c r="H41" s="16">
        <v>1.1299999999999999E-3</v>
      </c>
      <c r="I41" s="16">
        <v>6.2E-4</v>
      </c>
      <c r="J41" s="16"/>
      <c r="K41" s="16"/>
      <c r="L41" s="16"/>
      <c r="M41" s="16"/>
    </row>
    <row r="42" spans="1:13" x14ac:dyDescent="0.2">
      <c r="A42" s="7">
        <v>38</v>
      </c>
      <c r="B42" s="16">
        <v>1.08E-3</v>
      </c>
      <c r="C42" s="16">
        <v>6.0999999999999997E-4</v>
      </c>
      <c r="D42" s="16">
        <v>1.2199999999999999E-3</v>
      </c>
      <c r="E42" s="16">
        <v>6.4999999999999997E-4</v>
      </c>
      <c r="F42" s="16">
        <v>1.25E-3</v>
      </c>
      <c r="G42" s="16">
        <v>6.7000000000000002E-4</v>
      </c>
      <c r="H42" s="16">
        <v>1.2099999999999999E-3</v>
      </c>
      <c r="I42" s="16">
        <v>6.8999999999999997E-4</v>
      </c>
      <c r="J42" s="16"/>
      <c r="K42" s="16"/>
      <c r="L42" s="16"/>
      <c r="M42" s="16"/>
    </row>
    <row r="43" spans="1:13" x14ac:dyDescent="0.2">
      <c r="A43" s="7">
        <v>39</v>
      </c>
      <c r="B43" s="16">
        <v>1.1800000000000001E-3</v>
      </c>
      <c r="C43" s="16">
        <v>6.6E-4</v>
      </c>
      <c r="D43" s="16">
        <v>1.32E-3</v>
      </c>
      <c r="E43" s="16">
        <v>6.9999999999999999E-4</v>
      </c>
      <c r="F43" s="16">
        <v>1.3600000000000001E-3</v>
      </c>
      <c r="G43" s="16">
        <v>7.2000000000000005E-4</v>
      </c>
      <c r="H43" s="16">
        <v>1.31E-3</v>
      </c>
      <c r="I43" s="16">
        <v>7.6000000000000004E-4</v>
      </c>
      <c r="J43" s="16"/>
      <c r="K43" s="16"/>
      <c r="L43" s="16"/>
      <c r="M43" s="16"/>
    </row>
    <row r="44" spans="1:13" x14ac:dyDescent="0.2">
      <c r="A44" s="7">
        <v>40</v>
      </c>
      <c r="B44" s="16">
        <v>1.2800000000000001E-3</v>
      </c>
      <c r="C44" s="16">
        <v>7.1000000000000002E-4</v>
      </c>
      <c r="D44" s="16">
        <v>1.4300000000000001E-3</v>
      </c>
      <c r="E44" s="16">
        <v>7.5000000000000002E-4</v>
      </c>
      <c r="F44" s="16">
        <v>1.47E-3</v>
      </c>
      <c r="G44" s="16">
        <v>7.7999999999999999E-4</v>
      </c>
      <c r="H44" s="16">
        <v>1.4400000000000001E-3</v>
      </c>
      <c r="I44" s="16">
        <v>8.3000000000000001E-4</v>
      </c>
      <c r="J44" s="16"/>
      <c r="K44" s="16"/>
      <c r="L44" s="16"/>
      <c r="M44" s="16"/>
    </row>
    <row r="45" spans="1:13" x14ac:dyDescent="0.2">
      <c r="A45" s="7">
        <v>41</v>
      </c>
      <c r="B45" s="16">
        <v>1.4E-3</v>
      </c>
      <c r="C45" s="16">
        <v>7.6000000000000004E-4</v>
      </c>
      <c r="D45" s="16">
        <v>1.5399999999999999E-3</v>
      </c>
      <c r="E45" s="16">
        <v>8.0999999999999996E-4</v>
      </c>
      <c r="F45" s="16">
        <v>1.5900000000000001E-3</v>
      </c>
      <c r="G45" s="16">
        <v>8.4999999999999995E-4</v>
      </c>
      <c r="H45" s="16">
        <v>1.5900000000000001E-3</v>
      </c>
      <c r="I45" s="16">
        <v>8.9999999999999998E-4</v>
      </c>
      <c r="J45" s="16"/>
      <c r="K45" s="16"/>
      <c r="L45" s="16"/>
      <c r="M45" s="16"/>
    </row>
    <row r="46" spans="1:13" x14ac:dyDescent="0.2">
      <c r="A46" s="7">
        <v>42</v>
      </c>
      <c r="B46" s="16">
        <v>1.5200000000000001E-3</v>
      </c>
      <c r="C46" s="16">
        <v>8.1999999999999998E-4</v>
      </c>
      <c r="D46" s="16">
        <v>1.6800000000000001E-3</v>
      </c>
      <c r="E46" s="16">
        <v>8.7000000000000001E-4</v>
      </c>
      <c r="F46" s="16">
        <v>1.73E-3</v>
      </c>
      <c r="G46" s="16">
        <v>9.3999999999999997E-4</v>
      </c>
      <c r="H46" s="16">
        <v>1.7600000000000001E-3</v>
      </c>
      <c r="I46" s="16">
        <v>9.8999999999999999E-4</v>
      </c>
      <c r="J46" s="16"/>
      <c r="K46" s="16"/>
      <c r="L46" s="16"/>
      <c r="M46" s="16"/>
    </row>
    <row r="47" spans="1:13" x14ac:dyDescent="0.2">
      <c r="A47" s="7">
        <v>43</v>
      </c>
      <c r="B47" s="16">
        <v>1.66E-3</v>
      </c>
      <c r="C47" s="16">
        <v>9.1E-4</v>
      </c>
      <c r="D47" s="16">
        <v>1.8500000000000001E-3</v>
      </c>
      <c r="E47" s="16">
        <v>9.3999999999999997E-4</v>
      </c>
      <c r="F47" s="16">
        <v>1.9E-3</v>
      </c>
      <c r="G47" s="16">
        <v>1.0399999999999999E-3</v>
      </c>
      <c r="H47" s="16">
        <v>1.9599999999999999E-3</v>
      </c>
      <c r="I47" s="16">
        <v>1.1000000000000001E-3</v>
      </c>
      <c r="J47" s="16"/>
      <c r="K47" s="16"/>
      <c r="L47" s="16"/>
      <c r="M47" s="16"/>
    </row>
    <row r="48" spans="1:13" x14ac:dyDescent="0.2">
      <c r="A48" s="7">
        <v>44</v>
      </c>
      <c r="B48" s="16">
        <v>1.81E-3</v>
      </c>
      <c r="C48" s="16">
        <v>1E-3</v>
      </c>
      <c r="D48" s="16">
        <v>2.0500000000000002E-3</v>
      </c>
      <c r="E48" s="16">
        <v>1.0300000000000001E-3</v>
      </c>
      <c r="F48" s="16">
        <v>2.0999999999999999E-3</v>
      </c>
      <c r="G48" s="16">
        <v>1.1299999999999999E-3</v>
      </c>
      <c r="H48" s="16">
        <v>2.1800000000000001E-3</v>
      </c>
      <c r="I48" s="16">
        <v>1.23E-3</v>
      </c>
      <c r="J48" s="16"/>
      <c r="K48" s="16"/>
      <c r="L48" s="16"/>
      <c r="M48" s="16"/>
    </row>
    <row r="49" spans="1:13" x14ac:dyDescent="0.2">
      <c r="A49" s="7">
        <v>45</v>
      </c>
      <c r="B49" s="16">
        <v>1.98E-3</v>
      </c>
      <c r="C49" s="16">
        <v>1.08E-3</v>
      </c>
      <c r="D49" s="16">
        <v>2.2699999999999999E-3</v>
      </c>
      <c r="E49" s="16">
        <v>1.1299999999999999E-3</v>
      </c>
      <c r="F49" s="16">
        <v>2.32E-3</v>
      </c>
      <c r="G49" s="16">
        <v>1.2199999999999999E-3</v>
      </c>
      <c r="H49" s="16">
        <v>2.47E-3</v>
      </c>
      <c r="I49" s="16">
        <v>1.3699999999999999E-3</v>
      </c>
      <c r="J49" s="16"/>
      <c r="K49" s="16"/>
      <c r="L49" s="16"/>
      <c r="M49" s="16"/>
    </row>
    <row r="50" spans="1:13" x14ac:dyDescent="0.2">
      <c r="A50" s="7">
        <v>46</v>
      </c>
      <c r="B50" s="16">
        <v>2.16E-3</v>
      </c>
      <c r="C50" s="16">
        <v>1.15E-3</v>
      </c>
      <c r="D50" s="16">
        <v>2.5100000000000001E-3</v>
      </c>
      <c r="E50" s="16">
        <v>1.24E-3</v>
      </c>
      <c r="F50" s="16">
        <v>2.5799999999999998E-3</v>
      </c>
      <c r="G50" s="16">
        <v>1.31E-3</v>
      </c>
      <c r="H50" s="16">
        <v>2.7799999999999999E-3</v>
      </c>
      <c r="I50" s="16">
        <v>1.5200000000000001E-3</v>
      </c>
      <c r="J50" s="16"/>
      <c r="K50" s="16"/>
      <c r="L50" s="16"/>
      <c r="M50" s="16"/>
    </row>
    <row r="51" spans="1:13" x14ac:dyDescent="0.2">
      <c r="A51" s="7">
        <v>47</v>
      </c>
      <c r="B51" s="16">
        <v>2.3800000000000002E-3</v>
      </c>
      <c r="C51" s="16">
        <v>1.24E-3</v>
      </c>
      <c r="D51" s="16">
        <v>2.7399999999999998E-3</v>
      </c>
      <c r="E51" s="16">
        <v>1.3500000000000001E-3</v>
      </c>
      <c r="F51" s="16">
        <v>2.8700000000000002E-3</v>
      </c>
      <c r="G51" s="16">
        <v>1.4300000000000001E-3</v>
      </c>
      <c r="H51" s="16">
        <v>3.0500000000000002E-3</v>
      </c>
      <c r="I51" s="16">
        <v>1.67E-3</v>
      </c>
      <c r="J51" s="16"/>
      <c r="K51" s="16"/>
      <c r="L51" s="16"/>
      <c r="M51" s="16"/>
    </row>
    <row r="52" spans="1:13" x14ac:dyDescent="0.2">
      <c r="A52" s="7">
        <v>48</v>
      </c>
      <c r="B52" s="16">
        <v>2.63E-3</v>
      </c>
      <c r="C52" s="16">
        <v>1.3799999999999999E-3</v>
      </c>
      <c r="D52" s="16">
        <v>2.97E-3</v>
      </c>
      <c r="E52" s="16">
        <v>1.47E-3</v>
      </c>
      <c r="F52" s="16">
        <v>3.1800000000000001E-3</v>
      </c>
      <c r="G52" s="16">
        <v>1.58E-3</v>
      </c>
      <c r="H52" s="16">
        <v>3.3400000000000001E-3</v>
      </c>
      <c r="I52" s="16">
        <v>1.81E-3</v>
      </c>
      <c r="J52" s="16"/>
      <c r="K52" s="16"/>
      <c r="L52" s="16"/>
      <c r="M52" s="16"/>
    </row>
    <row r="53" spans="1:13" x14ac:dyDescent="0.2">
      <c r="A53" s="7">
        <v>49</v>
      </c>
      <c r="B53" s="16">
        <v>2.8900000000000002E-3</v>
      </c>
      <c r="C53" s="16">
        <v>1.5299999999999999E-3</v>
      </c>
      <c r="D53" s="16">
        <v>3.2499999999999999E-3</v>
      </c>
      <c r="E53" s="16">
        <v>1.6100000000000001E-3</v>
      </c>
      <c r="F53" s="16">
        <v>3.5200000000000001E-3</v>
      </c>
      <c r="G53" s="16">
        <v>1.75E-3</v>
      </c>
      <c r="H53" s="16">
        <v>3.6600000000000001E-3</v>
      </c>
      <c r="I53" s="16">
        <v>1.9499999999999999E-3</v>
      </c>
      <c r="J53" s="16"/>
      <c r="K53" s="16"/>
      <c r="L53" s="16"/>
      <c r="M53" s="16"/>
    </row>
    <row r="54" spans="1:13" x14ac:dyDescent="0.2">
      <c r="A54" s="7">
        <v>50</v>
      </c>
      <c r="B54" s="16">
        <v>3.1700000000000001E-3</v>
      </c>
      <c r="C54" s="16">
        <v>1.67E-3</v>
      </c>
      <c r="D54" s="16">
        <v>3.5699999999999998E-3</v>
      </c>
      <c r="E54" s="16">
        <v>1.7600000000000001E-3</v>
      </c>
      <c r="F54" s="16">
        <v>3.9199999999999999E-3</v>
      </c>
      <c r="G54" s="16">
        <v>1.9599999999999999E-3</v>
      </c>
      <c r="H54" s="16">
        <v>4.0600000000000002E-3</v>
      </c>
      <c r="I54" s="16">
        <v>2.1099999999999999E-3</v>
      </c>
      <c r="J54" s="16"/>
      <c r="K54" s="16"/>
      <c r="L54" s="16"/>
      <c r="M54" s="16"/>
    </row>
    <row r="55" spans="1:13" x14ac:dyDescent="0.2">
      <c r="A55" s="7">
        <v>51</v>
      </c>
      <c r="B55" s="16">
        <v>3.47E-3</v>
      </c>
      <c r="C55" s="16">
        <v>1.7899999999999999E-3</v>
      </c>
      <c r="D55" s="16">
        <v>3.9300000000000003E-3</v>
      </c>
      <c r="E55" s="16">
        <v>1.92E-3</v>
      </c>
      <c r="F55" s="16">
        <v>4.3499999999999997E-3</v>
      </c>
      <c r="G55" s="16">
        <v>2.15E-3</v>
      </c>
      <c r="H55" s="16">
        <v>4.4999999999999997E-3</v>
      </c>
      <c r="I55" s="16">
        <v>2.2699999999999999E-3</v>
      </c>
      <c r="J55" s="16"/>
      <c r="K55" s="16"/>
      <c r="L55" s="16"/>
      <c r="M55" s="16"/>
    </row>
    <row r="56" spans="1:13" x14ac:dyDescent="0.2">
      <c r="A56" s="7">
        <v>52</v>
      </c>
      <c r="B56" s="16">
        <v>3.81E-3</v>
      </c>
      <c r="C56" s="16">
        <v>1.91E-3</v>
      </c>
      <c r="D56" s="16">
        <v>4.3499999999999997E-3</v>
      </c>
      <c r="E56" s="16">
        <v>2.0899999999999998E-3</v>
      </c>
      <c r="F56" s="16">
        <v>4.7999999999999996E-3</v>
      </c>
      <c r="G56" s="16">
        <v>2.33E-3</v>
      </c>
      <c r="H56" s="16">
        <v>4.9500000000000004E-3</v>
      </c>
      <c r="I56" s="16">
        <v>2.4499999999999999E-3</v>
      </c>
      <c r="J56" s="16"/>
      <c r="K56" s="16"/>
      <c r="L56" s="16"/>
      <c r="M56" s="16"/>
    </row>
    <row r="57" spans="1:13" x14ac:dyDescent="0.2">
      <c r="A57" s="7">
        <v>53</v>
      </c>
      <c r="B57" s="16">
        <v>4.1900000000000001E-3</v>
      </c>
      <c r="C57" s="16">
        <v>2.0400000000000001E-3</v>
      </c>
      <c r="D57" s="16">
        <v>4.7800000000000004E-3</v>
      </c>
      <c r="E57" s="16">
        <v>2.2599999999999999E-3</v>
      </c>
      <c r="F57" s="16">
        <v>5.2700000000000004E-3</v>
      </c>
      <c r="G57" s="16">
        <v>2.5100000000000001E-3</v>
      </c>
      <c r="H57" s="16">
        <v>5.3800000000000002E-3</v>
      </c>
      <c r="I57" s="16">
        <v>2.63E-3</v>
      </c>
      <c r="J57" s="16"/>
      <c r="K57" s="16"/>
      <c r="L57" s="16"/>
      <c r="M57" s="16"/>
    </row>
    <row r="58" spans="1:13" x14ac:dyDescent="0.2">
      <c r="A58" s="7">
        <v>54</v>
      </c>
      <c r="B58" s="16">
        <v>4.6100000000000004E-3</v>
      </c>
      <c r="C58" s="16">
        <v>2.1900000000000001E-3</v>
      </c>
      <c r="D58" s="16">
        <v>5.2399999999999999E-3</v>
      </c>
      <c r="E58" s="16">
        <v>2.4299999999999999E-3</v>
      </c>
      <c r="F58" s="16">
        <v>5.7499999999999999E-3</v>
      </c>
      <c r="G58" s="16">
        <v>2.66E-3</v>
      </c>
      <c r="H58" s="16">
        <v>5.8199999999999997E-3</v>
      </c>
      <c r="I58" s="16">
        <v>2.82E-3</v>
      </c>
      <c r="J58" s="16"/>
      <c r="K58" s="16"/>
      <c r="L58" s="16"/>
      <c r="M58" s="16"/>
    </row>
    <row r="59" spans="1:13" x14ac:dyDescent="0.2">
      <c r="A59" s="7">
        <v>55</v>
      </c>
      <c r="B59" s="16">
        <v>5.0699999999999999E-3</v>
      </c>
      <c r="C59" s="16">
        <v>2.3600000000000001E-3</v>
      </c>
      <c r="D59" s="16">
        <v>5.79E-3</v>
      </c>
      <c r="E59" s="16">
        <v>2.65E-3</v>
      </c>
      <c r="F59" s="16">
        <v>6.2500000000000003E-3</v>
      </c>
      <c r="G59" s="16">
        <v>2.7899999999999999E-3</v>
      </c>
      <c r="H59" s="16">
        <v>6.3400000000000001E-3</v>
      </c>
      <c r="I59" s="16">
        <v>3.0200000000000001E-3</v>
      </c>
      <c r="J59" s="16"/>
      <c r="K59" s="16"/>
      <c r="L59" s="16"/>
      <c r="M59" s="16"/>
    </row>
    <row r="60" spans="1:13" x14ac:dyDescent="0.2">
      <c r="A60" s="7">
        <v>56</v>
      </c>
      <c r="B60" s="16">
        <v>5.5799999999999999E-3</v>
      </c>
      <c r="C60" s="16">
        <v>2.5400000000000002E-3</v>
      </c>
      <c r="D60" s="16">
        <v>6.3899999999999998E-3</v>
      </c>
      <c r="E60" s="16">
        <v>2.8700000000000002E-3</v>
      </c>
      <c r="F60" s="16">
        <v>6.7799999999999996E-3</v>
      </c>
      <c r="G60" s="16">
        <v>2.9399999999999999E-3</v>
      </c>
      <c r="H60" s="16">
        <v>6.96E-3</v>
      </c>
      <c r="I60" s="16">
        <v>3.2399999999999998E-3</v>
      </c>
      <c r="J60" s="16"/>
      <c r="K60" s="16"/>
      <c r="L60" s="16"/>
      <c r="M60" s="16"/>
    </row>
    <row r="61" spans="1:13" x14ac:dyDescent="0.2">
      <c r="A61" s="7">
        <v>57</v>
      </c>
      <c r="B61" s="16">
        <v>6.1199999999999996E-3</v>
      </c>
      <c r="C61" s="16">
        <v>2.7299999999999998E-3</v>
      </c>
      <c r="D61" s="16">
        <v>6.9699999999999996E-3</v>
      </c>
      <c r="E61" s="16">
        <v>3.0599999999999998E-3</v>
      </c>
      <c r="F61" s="16">
        <v>7.3699999999999998E-3</v>
      </c>
      <c r="G61" s="16">
        <v>3.13E-3</v>
      </c>
      <c r="H61" s="16">
        <v>7.6800000000000002E-3</v>
      </c>
      <c r="I61" s="16">
        <v>3.47E-3</v>
      </c>
      <c r="J61" s="16"/>
      <c r="K61" s="16"/>
      <c r="L61" s="16"/>
      <c r="M61" s="16"/>
    </row>
    <row r="62" spans="1:13" x14ac:dyDescent="0.2">
      <c r="A62" s="7">
        <v>58</v>
      </c>
      <c r="B62" s="16">
        <v>6.6899999999999998E-3</v>
      </c>
      <c r="C62" s="16">
        <v>2.9199999999999999E-3</v>
      </c>
      <c r="D62" s="16">
        <v>7.5599999999999999E-3</v>
      </c>
      <c r="E62" s="16">
        <v>3.2399999999999998E-3</v>
      </c>
      <c r="F62" s="16">
        <v>7.9500000000000005E-3</v>
      </c>
      <c r="G62" s="16">
        <v>3.3400000000000001E-3</v>
      </c>
      <c r="H62" s="16">
        <v>8.5400000000000007E-3</v>
      </c>
      <c r="I62" s="16">
        <v>3.7499999999999999E-3</v>
      </c>
      <c r="J62" s="16"/>
      <c r="K62" s="16"/>
      <c r="L62" s="16"/>
      <c r="M62" s="16"/>
    </row>
    <row r="63" spans="1:13" x14ac:dyDescent="0.2">
      <c r="A63" s="7">
        <v>59</v>
      </c>
      <c r="B63" s="16">
        <v>7.3200000000000001E-3</v>
      </c>
      <c r="C63" s="16">
        <v>3.13E-3</v>
      </c>
      <c r="D63" s="16">
        <v>8.1799999999999998E-3</v>
      </c>
      <c r="E63" s="16">
        <v>3.4299999999999999E-3</v>
      </c>
      <c r="F63" s="16">
        <v>8.5400000000000007E-3</v>
      </c>
      <c r="G63" s="16">
        <v>3.5599999999999998E-3</v>
      </c>
      <c r="H63" s="16">
        <v>9.5399999999999999E-3</v>
      </c>
      <c r="I63" s="16">
        <v>4.13E-3</v>
      </c>
      <c r="J63" s="16"/>
      <c r="K63" s="16"/>
      <c r="L63" s="16"/>
      <c r="M63" s="16"/>
    </row>
    <row r="64" spans="1:13" x14ac:dyDescent="0.2">
      <c r="A64" s="7">
        <v>60</v>
      </c>
      <c r="B64" s="16">
        <v>8.0999999999999996E-3</v>
      </c>
      <c r="C64" s="16">
        <v>3.3999999999999998E-3</v>
      </c>
      <c r="D64" s="16">
        <v>8.8299999999999993E-3</v>
      </c>
      <c r="E64" s="16">
        <v>3.64E-3</v>
      </c>
      <c r="F64" s="16">
        <v>9.2300000000000004E-3</v>
      </c>
      <c r="G64" s="16">
        <v>3.8300000000000001E-3</v>
      </c>
      <c r="H64" s="16">
        <v>1.0659999999999999E-2</v>
      </c>
      <c r="I64" s="16">
        <v>4.5700000000000003E-3</v>
      </c>
      <c r="J64" s="16"/>
      <c r="K64" s="16"/>
      <c r="L64" s="16"/>
      <c r="M64" s="16"/>
    </row>
    <row r="65" spans="1:13" x14ac:dyDescent="0.2">
      <c r="A65" s="7">
        <v>61</v>
      </c>
      <c r="B65" s="16">
        <v>8.8800000000000007E-3</v>
      </c>
      <c r="C65" s="16">
        <v>3.7000000000000002E-3</v>
      </c>
      <c r="D65" s="16">
        <v>9.5600000000000008E-3</v>
      </c>
      <c r="E65" s="16">
        <v>3.9100000000000003E-3</v>
      </c>
      <c r="F65" s="16">
        <v>1.0070000000000001E-2</v>
      </c>
      <c r="G65" s="16">
        <v>4.1599999999999996E-3</v>
      </c>
      <c r="H65" s="16">
        <v>1.188E-2</v>
      </c>
      <c r="I65" s="16">
        <v>5.0400000000000002E-3</v>
      </c>
      <c r="J65" s="16"/>
      <c r="K65" s="16"/>
      <c r="L65" s="16"/>
      <c r="M65" s="16"/>
    </row>
    <row r="66" spans="1:13" x14ac:dyDescent="0.2">
      <c r="A66" s="7">
        <v>62</v>
      </c>
      <c r="B66" s="16">
        <v>9.6100000000000005E-3</v>
      </c>
      <c r="C66" s="16">
        <v>4.0099999999999997E-3</v>
      </c>
      <c r="D66" s="16">
        <v>1.034E-2</v>
      </c>
      <c r="E66" s="16">
        <v>4.2500000000000003E-3</v>
      </c>
      <c r="F66" s="16">
        <v>1.106E-2</v>
      </c>
      <c r="G66" s="16">
        <v>4.5799999999999999E-3</v>
      </c>
      <c r="H66" s="16">
        <v>1.311E-2</v>
      </c>
      <c r="I66" s="16">
        <v>5.4900000000000001E-3</v>
      </c>
      <c r="J66" s="16"/>
      <c r="K66" s="16"/>
      <c r="L66" s="16"/>
      <c r="M66" s="16"/>
    </row>
    <row r="67" spans="1:13" x14ac:dyDescent="0.2">
      <c r="A67" s="7">
        <v>63</v>
      </c>
      <c r="B67" s="16">
        <v>1.0370000000000001E-2</v>
      </c>
      <c r="C67" s="16">
        <v>4.3400000000000001E-3</v>
      </c>
      <c r="D67" s="16">
        <v>1.1089999999999999E-2</v>
      </c>
      <c r="E67" s="16">
        <v>4.5799999999999999E-3</v>
      </c>
      <c r="F67" s="16">
        <v>1.226E-2</v>
      </c>
      <c r="G67" s="16">
        <v>5.0699999999999999E-3</v>
      </c>
      <c r="H67" s="16">
        <v>1.4370000000000001E-2</v>
      </c>
      <c r="I67" s="16">
        <v>5.9800000000000001E-3</v>
      </c>
      <c r="J67" s="16"/>
      <c r="K67" s="16"/>
      <c r="L67" s="16"/>
      <c r="M67" s="16"/>
    </row>
    <row r="68" spans="1:13" x14ac:dyDescent="0.2">
      <c r="A68" s="7">
        <v>64</v>
      </c>
      <c r="B68" s="16">
        <v>1.1209999999999999E-2</v>
      </c>
      <c r="C68" s="16">
        <v>4.6499999999999996E-3</v>
      </c>
      <c r="D68" s="16">
        <v>1.187E-2</v>
      </c>
      <c r="E68" s="16">
        <v>4.9199999999999999E-3</v>
      </c>
      <c r="F68" s="16">
        <v>1.359E-2</v>
      </c>
      <c r="G68" s="16">
        <v>5.62E-3</v>
      </c>
      <c r="H68" s="16">
        <v>1.5699999999999999E-2</v>
      </c>
      <c r="I68" s="16">
        <v>6.5300000000000002E-3</v>
      </c>
      <c r="J68" s="16"/>
      <c r="K68" s="16"/>
      <c r="L68" s="16"/>
      <c r="M68" s="16"/>
    </row>
    <row r="69" spans="1:13" x14ac:dyDescent="0.2">
      <c r="A69" s="7">
        <v>65</v>
      </c>
      <c r="B69" s="16">
        <v>1.214E-2</v>
      </c>
      <c r="C69" s="16">
        <v>4.9800000000000001E-3</v>
      </c>
      <c r="D69" s="16">
        <v>1.277E-2</v>
      </c>
      <c r="E69" s="16">
        <v>5.3600000000000002E-3</v>
      </c>
      <c r="F69" s="16">
        <v>1.498E-2</v>
      </c>
      <c r="G69" s="16">
        <v>6.1799999999999997E-3</v>
      </c>
      <c r="H69" s="16">
        <v>1.704E-2</v>
      </c>
      <c r="I69" s="16">
        <v>7.1500000000000001E-3</v>
      </c>
      <c r="J69" s="16"/>
      <c r="K69" s="16"/>
      <c r="L69" s="16"/>
      <c r="M69" s="16"/>
    </row>
    <row r="70" spans="1:13" x14ac:dyDescent="0.2">
      <c r="A70" s="7">
        <v>66</v>
      </c>
      <c r="B70" s="16">
        <v>1.319E-2</v>
      </c>
      <c r="C70" s="16">
        <v>5.3699999999999998E-3</v>
      </c>
      <c r="D70" s="16">
        <v>1.3860000000000001E-2</v>
      </c>
      <c r="E70" s="16">
        <v>5.8900000000000003E-3</v>
      </c>
      <c r="F70" s="16">
        <v>1.6459999999999999E-2</v>
      </c>
      <c r="G70" s="16">
        <v>6.7999999999999996E-3</v>
      </c>
      <c r="H70" s="16">
        <v>1.8429999999999998E-2</v>
      </c>
      <c r="I70" s="16">
        <v>7.8300000000000002E-3</v>
      </c>
      <c r="J70" s="16"/>
      <c r="K70" s="16"/>
      <c r="L70" s="16"/>
      <c r="M70" s="16"/>
    </row>
    <row r="71" spans="1:13" x14ac:dyDescent="0.2">
      <c r="A71" s="7">
        <v>67</v>
      </c>
      <c r="B71" s="16">
        <v>1.434E-2</v>
      </c>
      <c r="C71" s="16">
        <v>5.8399999999999997E-3</v>
      </c>
      <c r="D71" s="16">
        <v>1.525E-2</v>
      </c>
      <c r="E71" s="16">
        <v>6.4799999999999996E-3</v>
      </c>
      <c r="F71" s="16">
        <v>1.8079999999999999E-2</v>
      </c>
      <c r="G71" s="16">
        <v>7.4799999999999997E-3</v>
      </c>
      <c r="H71" s="16">
        <v>1.9959999999999999E-2</v>
      </c>
      <c r="I71" s="16">
        <v>8.5699999999999995E-3</v>
      </c>
      <c r="J71" s="16"/>
      <c r="K71" s="16"/>
      <c r="L71" s="16"/>
      <c r="M71" s="16"/>
    </row>
    <row r="72" spans="1:13" x14ac:dyDescent="0.2">
      <c r="A72" s="7">
        <v>68</v>
      </c>
      <c r="B72" s="16">
        <v>1.553E-2</v>
      </c>
      <c r="C72" s="16">
        <v>6.3400000000000001E-3</v>
      </c>
      <c r="D72" s="16">
        <v>1.6990000000000002E-2</v>
      </c>
      <c r="E72" s="16">
        <v>7.1599999999999997E-3</v>
      </c>
      <c r="F72" s="16">
        <v>1.9879999999999998E-2</v>
      </c>
      <c r="G72" s="16">
        <v>8.2500000000000004E-3</v>
      </c>
      <c r="H72" s="16">
        <v>2.1749999999999999E-2</v>
      </c>
      <c r="I72" s="16">
        <v>9.4599999999999997E-3</v>
      </c>
      <c r="J72" s="16"/>
      <c r="K72" s="16"/>
      <c r="L72" s="16"/>
      <c r="M72" s="16"/>
    </row>
    <row r="73" spans="1:13" x14ac:dyDescent="0.2">
      <c r="A73" s="7">
        <v>69</v>
      </c>
      <c r="B73" s="16">
        <v>1.685E-2</v>
      </c>
      <c r="C73" s="16">
        <v>6.9199999999999999E-3</v>
      </c>
      <c r="D73" s="16">
        <v>1.9029999999999998E-2</v>
      </c>
      <c r="E73" s="16">
        <v>7.9699999999999997E-3</v>
      </c>
      <c r="F73" s="16">
        <v>2.181E-2</v>
      </c>
      <c r="G73" s="16">
        <v>9.0699999999999999E-3</v>
      </c>
      <c r="H73" s="16">
        <v>2.3869999999999999E-2</v>
      </c>
      <c r="I73" s="16">
        <v>1.0540000000000001E-2</v>
      </c>
      <c r="J73" s="16"/>
      <c r="K73" s="16"/>
      <c r="L73" s="16"/>
      <c r="M73" s="16"/>
    </row>
    <row r="74" spans="1:13" x14ac:dyDescent="0.2">
      <c r="A74" s="7">
        <v>70</v>
      </c>
      <c r="B74" s="16">
        <v>1.8419999999999999E-2</v>
      </c>
      <c r="C74" s="16">
        <v>7.6699999999999997E-3</v>
      </c>
      <c r="D74" s="16">
        <v>2.1229999999999999E-2</v>
      </c>
      <c r="E74" s="16">
        <v>8.8999999999999999E-3</v>
      </c>
      <c r="F74" s="16">
        <v>2.384E-2</v>
      </c>
      <c r="G74" s="16">
        <v>9.9900000000000006E-3</v>
      </c>
      <c r="H74" s="16">
        <v>2.6239999999999999E-2</v>
      </c>
      <c r="I74" s="16">
        <v>1.1820000000000001E-2</v>
      </c>
      <c r="J74" s="16"/>
      <c r="K74" s="16"/>
      <c r="L74" s="16"/>
      <c r="M74" s="16"/>
    </row>
    <row r="75" spans="1:13" x14ac:dyDescent="0.2">
      <c r="A75" s="7">
        <v>71</v>
      </c>
      <c r="B75" s="16">
        <v>2.0230000000000001E-2</v>
      </c>
      <c r="C75" s="16">
        <v>8.5599999999999999E-3</v>
      </c>
      <c r="D75" s="16">
        <v>2.3609999999999999E-2</v>
      </c>
      <c r="E75" s="16">
        <v>9.9900000000000006E-3</v>
      </c>
      <c r="F75" s="16">
        <v>2.605E-2</v>
      </c>
      <c r="G75" s="16">
        <v>1.106E-2</v>
      </c>
      <c r="H75" s="16">
        <v>2.8830000000000001E-2</v>
      </c>
      <c r="I75" s="16">
        <v>1.328E-2</v>
      </c>
      <c r="J75" s="16"/>
      <c r="K75" s="16"/>
      <c r="L75" s="16"/>
      <c r="M75" s="16"/>
    </row>
    <row r="76" spans="1:13" x14ac:dyDescent="0.2">
      <c r="A76" s="7">
        <v>72</v>
      </c>
      <c r="B76" s="16">
        <v>2.2270000000000002E-2</v>
      </c>
      <c r="C76" s="16">
        <v>9.6100000000000005E-3</v>
      </c>
      <c r="D76" s="16">
        <v>2.615E-2</v>
      </c>
      <c r="E76" s="16">
        <v>1.124E-2</v>
      </c>
      <c r="F76" s="16">
        <v>2.8500000000000001E-2</v>
      </c>
      <c r="G76" s="16">
        <v>1.2279999999999999E-2</v>
      </c>
      <c r="H76" s="16">
        <v>3.1789999999999999E-2</v>
      </c>
      <c r="I76" s="16">
        <v>1.499E-2</v>
      </c>
      <c r="J76" s="16"/>
      <c r="K76" s="16"/>
      <c r="L76" s="16"/>
      <c r="M76" s="16"/>
    </row>
    <row r="77" spans="1:13" x14ac:dyDescent="0.2">
      <c r="A77" s="7">
        <v>73</v>
      </c>
      <c r="B77" s="16">
        <v>2.4660000000000001E-2</v>
      </c>
      <c r="C77" s="16">
        <v>1.0829999999999999E-2</v>
      </c>
      <c r="D77" s="16">
        <v>2.895E-2</v>
      </c>
      <c r="E77" s="16">
        <v>1.26E-2</v>
      </c>
      <c r="F77" s="16">
        <v>3.1260000000000003E-2</v>
      </c>
      <c r="G77" s="16">
        <v>1.371E-2</v>
      </c>
      <c r="H77" s="16">
        <v>3.5220000000000001E-2</v>
      </c>
      <c r="I77" s="16">
        <v>1.6979999999999999E-2</v>
      </c>
      <c r="J77" s="16"/>
      <c r="K77" s="16"/>
      <c r="L77" s="16"/>
      <c r="M77" s="16"/>
    </row>
    <row r="78" spans="1:13" x14ac:dyDescent="0.2">
      <c r="A78" s="7">
        <v>74</v>
      </c>
      <c r="B78" s="16">
        <v>2.7529999999999999E-2</v>
      </c>
      <c r="C78" s="16">
        <v>1.2239999999999999E-2</v>
      </c>
      <c r="D78" s="16">
        <v>3.2079999999999997E-2</v>
      </c>
      <c r="E78" s="16">
        <v>1.409E-2</v>
      </c>
      <c r="F78" s="16">
        <v>3.4369999999999998E-2</v>
      </c>
      <c r="G78" s="16">
        <v>1.5389999999999999E-2</v>
      </c>
      <c r="H78" s="16">
        <v>3.9109999999999999E-2</v>
      </c>
      <c r="I78" s="16">
        <v>1.9279999999999999E-2</v>
      </c>
      <c r="J78" s="16"/>
      <c r="K78" s="16"/>
      <c r="L78" s="16"/>
      <c r="M78" s="16"/>
    </row>
    <row r="79" spans="1:13" x14ac:dyDescent="0.2">
      <c r="A79" s="7">
        <v>75</v>
      </c>
      <c r="B79" s="16">
        <v>3.0870000000000002E-2</v>
      </c>
      <c r="C79" s="16">
        <v>1.3809999999999999E-2</v>
      </c>
      <c r="D79" s="16">
        <v>3.5549999999999998E-2</v>
      </c>
      <c r="E79" s="16">
        <v>1.5740000000000001E-2</v>
      </c>
      <c r="F79" s="16">
        <v>3.7839999999999999E-2</v>
      </c>
      <c r="G79" s="16">
        <v>1.7399999999999999E-2</v>
      </c>
      <c r="H79" s="16">
        <v>4.3430000000000003E-2</v>
      </c>
      <c r="I79" s="16">
        <v>2.1850000000000001E-2</v>
      </c>
      <c r="J79" s="16"/>
      <c r="K79" s="16"/>
      <c r="L79" s="16"/>
      <c r="M79" s="16"/>
    </row>
    <row r="80" spans="1:13" x14ac:dyDescent="0.2">
      <c r="A80" s="7">
        <v>76</v>
      </c>
      <c r="B80" s="16">
        <v>3.4779999999999998E-2</v>
      </c>
      <c r="C80" s="16">
        <v>1.558E-2</v>
      </c>
      <c r="D80" s="16">
        <v>3.9390000000000001E-2</v>
      </c>
      <c r="E80" s="16">
        <v>1.7590000000000001E-2</v>
      </c>
      <c r="F80" s="16">
        <v>4.1619999999999997E-2</v>
      </c>
      <c r="G80" s="16">
        <v>1.9740000000000001E-2</v>
      </c>
      <c r="H80" s="16">
        <v>4.8309999999999999E-2</v>
      </c>
      <c r="I80" s="16">
        <v>2.4760000000000001E-2</v>
      </c>
      <c r="J80" s="16"/>
      <c r="K80" s="16"/>
      <c r="L80" s="16"/>
      <c r="M80" s="16"/>
    </row>
    <row r="81" spans="1:13" x14ac:dyDescent="0.2">
      <c r="A81" s="7">
        <v>77</v>
      </c>
      <c r="B81" s="16">
        <v>3.9190000000000003E-2</v>
      </c>
      <c r="C81" s="16">
        <v>1.763E-2</v>
      </c>
      <c r="D81" s="16">
        <v>4.3679999999999997E-2</v>
      </c>
      <c r="E81" s="16">
        <v>1.9699999999999999E-2</v>
      </c>
      <c r="F81" s="16">
        <v>4.6059999999999997E-2</v>
      </c>
      <c r="G81" s="16">
        <v>2.249E-2</v>
      </c>
      <c r="H81" s="16">
        <v>5.3839999999999999E-2</v>
      </c>
      <c r="I81" s="16">
        <v>2.81E-2</v>
      </c>
      <c r="J81" s="16"/>
      <c r="K81" s="16"/>
      <c r="L81" s="16"/>
      <c r="M81" s="16"/>
    </row>
    <row r="82" spans="1:13" x14ac:dyDescent="0.2">
      <c r="A82" s="7">
        <v>78</v>
      </c>
      <c r="B82" s="16">
        <v>4.4200000000000003E-2</v>
      </c>
      <c r="C82" s="16">
        <v>2.0060000000000001E-2</v>
      </c>
      <c r="D82" s="16">
        <v>4.8559999999999999E-2</v>
      </c>
      <c r="E82" s="16">
        <v>2.2210000000000001E-2</v>
      </c>
      <c r="F82" s="16">
        <v>5.1270000000000003E-2</v>
      </c>
      <c r="G82" s="16">
        <v>2.5729999999999999E-2</v>
      </c>
      <c r="H82" s="16">
        <v>6.003E-2</v>
      </c>
      <c r="I82" s="16">
        <v>3.1949999999999999E-2</v>
      </c>
      <c r="J82" s="16"/>
      <c r="K82" s="16"/>
      <c r="L82" s="16"/>
      <c r="M82" s="16"/>
    </row>
    <row r="83" spans="1:13" x14ac:dyDescent="0.2">
      <c r="A83" s="7">
        <v>79</v>
      </c>
      <c r="B83" s="16">
        <v>4.9739999999999999E-2</v>
      </c>
      <c r="C83" s="16">
        <v>2.2839999999999999E-2</v>
      </c>
      <c r="D83" s="16">
        <v>5.4019999999999999E-2</v>
      </c>
      <c r="E83" s="16">
        <v>2.528E-2</v>
      </c>
      <c r="F83" s="16">
        <v>5.731E-2</v>
      </c>
      <c r="G83" s="16">
        <v>2.9440000000000001E-2</v>
      </c>
      <c r="H83" s="16">
        <v>6.6900000000000001E-2</v>
      </c>
      <c r="I83" s="16">
        <v>3.6319999999999998E-2</v>
      </c>
      <c r="J83" s="16"/>
      <c r="K83" s="16"/>
      <c r="L83" s="16"/>
      <c r="M83" s="16"/>
    </row>
    <row r="84" spans="1:13" x14ac:dyDescent="0.2">
      <c r="A84" s="7">
        <v>80</v>
      </c>
      <c r="B84" s="16">
        <v>5.568E-2</v>
      </c>
      <c r="C84" s="16">
        <v>2.5999999999999999E-2</v>
      </c>
      <c r="D84" s="16">
        <v>5.9979999999999999E-2</v>
      </c>
      <c r="E84" s="16">
        <v>2.8979999999999999E-2</v>
      </c>
      <c r="F84" s="16">
        <v>6.4009999999999997E-2</v>
      </c>
      <c r="G84" s="16">
        <v>3.3649999999999999E-2</v>
      </c>
      <c r="H84" s="16">
        <v>7.4529999999999999E-2</v>
      </c>
      <c r="I84" s="16">
        <v>4.1300000000000003E-2</v>
      </c>
      <c r="J84" s="16"/>
      <c r="K84" s="16"/>
      <c r="L84" s="16"/>
      <c r="M84" s="16"/>
    </row>
    <row r="85" spans="1:13" x14ac:dyDescent="0.2">
      <c r="A85" s="7">
        <v>81</v>
      </c>
      <c r="B85" s="16">
        <v>6.2080000000000003E-2</v>
      </c>
      <c r="C85" s="16">
        <v>2.9559999999999999E-2</v>
      </c>
      <c r="D85" s="16">
        <v>6.6390000000000005E-2</v>
      </c>
      <c r="E85" s="16">
        <v>3.3320000000000002E-2</v>
      </c>
      <c r="F85" s="16">
        <v>7.1559999999999999E-2</v>
      </c>
      <c r="G85" s="16">
        <v>3.8370000000000001E-2</v>
      </c>
      <c r="H85" s="16">
        <v>8.3129999999999996E-2</v>
      </c>
      <c r="I85" s="16">
        <v>4.7010000000000003E-2</v>
      </c>
      <c r="J85" s="16"/>
      <c r="K85" s="16"/>
      <c r="L85" s="16"/>
      <c r="M85" s="16"/>
    </row>
    <row r="86" spans="1:13" x14ac:dyDescent="0.2">
      <c r="A86" s="7">
        <v>82</v>
      </c>
      <c r="B86" s="16">
        <v>6.9370000000000001E-2</v>
      </c>
      <c r="C86" s="16">
        <v>3.3709999999999997E-2</v>
      </c>
      <c r="D86" s="16">
        <v>7.3609999999999995E-2</v>
      </c>
      <c r="E86" s="16">
        <v>3.8440000000000002E-2</v>
      </c>
      <c r="F86" s="16">
        <v>7.9619999999999996E-2</v>
      </c>
      <c r="G86" s="16">
        <v>4.3560000000000001E-2</v>
      </c>
      <c r="H86" s="16">
        <v>9.2649999999999996E-2</v>
      </c>
      <c r="I86" s="16">
        <v>5.3560000000000003E-2</v>
      </c>
      <c r="J86" s="16"/>
      <c r="K86" s="16"/>
      <c r="L86" s="16"/>
      <c r="M86" s="16"/>
    </row>
    <row r="87" spans="1:13" x14ac:dyDescent="0.2">
      <c r="A87" s="7">
        <v>83</v>
      </c>
      <c r="B87" s="16">
        <v>7.7929999999999999E-2</v>
      </c>
      <c r="C87" s="16">
        <v>3.8670000000000003E-2</v>
      </c>
      <c r="D87" s="16">
        <v>8.1759999999999999E-2</v>
      </c>
      <c r="E87" s="16">
        <v>4.41E-2</v>
      </c>
      <c r="F87" s="16">
        <v>8.813E-2</v>
      </c>
      <c r="G87" s="16">
        <v>4.9340000000000002E-2</v>
      </c>
      <c r="H87" s="16">
        <v>0.10295</v>
      </c>
      <c r="I87" s="16">
        <v>6.0999999999999999E-2</v>
      </c>
      <c r="J87" s="16"/>
      <c r="K87" s="16"/>
      <c r="L87" s="16"/>
      <c r="M87" s="16"/>
    </row>
    <row r="88" spans="1:13" x14ac:dyDescent="0.2">
      <c r="A88" s="7">
        <v>84</v>
      </c>
      <c r="B88" s="16">
        <v>8.7520000000000001E-2</v>
      </c>
      <c r="C88" s="16">
        <v>4.4580000000000002E-2</v>
      </c>
      <c r="D88" s="16">
        <v>9.0810000000000002E-2</v>
      </c>
      <c r="E88" s="16">
        <v>5.0229999999999997E-2</v>
      </c>
      <c r="F88" s="16">
        <v>9.6990000000000007E-2</v>
      </c>
      <c r="G88" s="16">
        <v>5.5809999999999998E-2</v>
      </c>
      <c r="H88" s="16">
        <v>0.11379</v>
      </c>
      <c r="I88" s="16">
        <v>6.9370000000000001E-2</v>
      </c>
      <c r="J88" s="16"/>
      <c r="K88" s="16"/>
      <c r="L88" s="16"/>
      <c r="M88" s="16"/>
    </row>
    <row r="89" spans="1:13" x14ac:dyDescent="0.2">
      <c r="A89" s="7">
        <v>85</v>
      </c>
      <c r="B89" s="16">
        <v>9.7850000000000006E-2</v>
      </c>
      <c r="C89" s="16">
        <v>5.1549999999999999E-2</v>
      </c>
      <c r="D89" s="16">
        <v>0.10068000000000001</v>
      </c>
      <c r="E89" s="16">
        <v>5.6959999999999997E-2</v>
      </c>
      <c r="F89" s="16">
        <v>0.10639999999999999</v>
      </c>
      <c r="G89" s="16">
        <v>6.3159999999999994E-2</v>
      </c>
      <c r="H89" s="16">
        <v>0.12615000000000001</v>
      </c>
      <c r="I89" s="16">
        <v>7.9140000000000002E-2</v>
      </c>
      <c r="J89" s="16"/>
      <c r="K89" s="16"/>
      <c r="L89" s="16"/>
      <c r="M89" s="16"/>
    </row>
    <row r="90" spans="1:13" x14ac:dyDescent="0.2">
      <c r="A90" s="7">
        <v>86</v>
      </c>
      <c r="B90" s="16">
        <v>0.10827000000000001</v>
      </c>
      <c r="C90" s="16">
        <v>5.9369999999999999E-2</v>
      </c>
      <c r="D90" s="16">
        <v>0.11164</v>
      </c>
      <c r="E90" s="16">
        <v>6.4680000000000001E-2</v>
      </c>
      <c r="F90" s="16">
        <v>0.11677999999999999</v>
      </c>
      <c r="G90" s="16">
        <v>7.1550000000000002E-2</v>
      </c>
      <c r="H90" s="16">
        <v>0.13985</v>
      </c>
      <c r="I90" s="16">
        <v>9.0289999999999995E-2</v>
      </c>
      <c r="J90" s="16"/>
      <c r="K90" s="16"/>
      <c r="L90" s="16"/>
      <c r="M90" s="16"/>
    </row>
    <row r="91" spans="1:13" x14ac:dyDescent="0.2">
      <c r="A91" s="7">
        <v>87</v>
      </c>
      <c r="B91" s="16">
        <v>0.11926</v>
      </c>
      <c r="C91" s="16">
        <v>6.837E-2</v>
      </c>
      <c r="D91" s="16">
        <v>0.12361</v>
      </c>
      <c r="E91" s="16">
        <v>7.3529999999999998E-2</v>
      </c>
      <c r="F91" s="16">
        <v>0.12806000000000001</v>
      </c>
      <c r="G91" s="16">
        <v>8.0850000000000005E-2</v>
      </c>
      <c r="H91" s="16">
        <v>0.15401000000000001</v>
      </c>
      <c r="I91" s="16">
        <v>0.10206</v>
      </c>
      <c r="J91" s="16"/>
      <c r="K91" s="16"/>
      <c r="L91" s="16"/>
      <c r="M91" s="16"/>
    </row>
    <row r="92" spans="1:13" x14ac:dyDescent="0.2">
      <c r="A92" s="7">
        <v>88</v>
      </c>
      <c r="B92" s="16">
        <v>0.13134999999999999</v>
      </c>
      <c r="C92" s="16">
        <v>7.843E-2</v>
      </c>
      <c r="D92" s="16">
        <v>0.13642000000000001</v>
      </c>
      <c r="E92" s="16">
        <v>8.3589999999999998E-2</v>
      </c>
      <c r="F92" s="16">
        <v>0.14041999999999999</v>
      </c>
      <c r="G92" s="16">
        <v>9.1170000000000001E-2</v>
      </c>
      <c r="H92" s="16">
        <v>0.16794999999999999</v>
      </c>
      <c r="I92" s="16">
        <v>0.11413</v>
      </c>
      <c r="J92" s="16"/>
      <c r="K92" s="16"/>
      <c r="L92" s="16"/>
      <c r="M92" s="16"/>
    </row>
    <row r="93" spans="1:13" x14ac:dyDescent="0.2">
      <c r="A93" s="7">
        <v>89</v>
      </c>
      <c r="B93" s="16">
        <v>0.14502999999999999</v>
      </c>
      <c r="C93" s="16">
        <v>8.949E-2</v>
      </c>
      <c r="D93" s="16">
        <v>0.14935999999999999</v>
      </c>
      <c r="E93" s="16">
        <v>9.4310000000000005E-2</v>
      </c>
      <c r="F93" s="16">
        <v>0.15378</v>
      </c>
      <c r="G93" s="16">
        <v>0.10252</v>
      </c>
      <c r="H93" s="16">
        <v>0.18221000000000001</v>
      </c>
      <c r="I93" s="16">
        <v>0.12690000000000001</v>
      </c>
      <c r="J93" s="16"/>
      <c r="K93" s="16"/>
      <c r="L93" s="16"/>
      <c r="M93" s="16"/>
    </row>
    <row r="94" spans="1:13" x14ac:dyDescent="0.2">
      <c r="A94" s="7">
        <v>90</v>
      </c>
      <c r="B94" s="16">
        <v>0.16041</v>
      </c>
      <c r="C94" s="16">
        <v>0.1016</v>
      </c>
      <c r="D94" s="16">
        <v>0.16453000000000001</v>
      </c>
      <c r="E94" s="16">
        <v>0.10563</v>
      </c>
      <c r="F94" s="16">
        <v>0.17013</v>
      </c>
      <c r="G94" s="16">
        <v>0.11550000000000001</v>
      </c>
      <c r="H94" s="16">
        <v>0.19961000000000001</v>
      </c>
      <c r="I94" s="16">
        <v>0.14091000000000001</v>
      </c>
      <c r="J94" s="16"/>
      <c r="K94" s="16"/>
      <c r="L94" s="16"/>
      <c r="M94" s="16"/>
    </row>
    <row r="95" spans="1:13" x14ac:dyDescent="0.2">
      <c r="A95" s="7">
        <v>91</v>
      </c>
      <c r="B95" s="16">
        <v>0.17569000000000001</v>
      </c>
      <c r="C95" s="16">
        <v>0.1149</v>
      </c>
      <c r="D95" s="16">
        <v>0.17971000000000001</v>
      </c>
      <c r="E95" s="16">
        <v>0.11799999999999999</v>
      </c>
      <c r="F95" s="16">
        <v>0.18465000000000001</v>
      </c>
      <c r="G95" s="16">
        <v>0.12978999999999999</v>
      </c>
      <c r="H95" s="16">
        <v>0.21573999999999999</v>
      </c>
      <c r="I95" s="16">
        <v>0.15637999999999999</v>
      </c>
      <c r="J95" s="16"/>
      <c r="K95" s="16"/>
      <c r="L95" s="16"/>
      <c r="M95" s="16"/>
    </row>
    <row r="96" spans="1:13" x14ac:dyDescent="0.2">
      <c r="A96" s="7">
        <v>92</v>
      </c>
      <c r="B96" s="16">
        <v>0.19195000000000001</v>
      </c>
      <c r="C96" s="16">
        <v>0.12964000000000001</v>
      </c>
      <c r="D96" s="16">
        <v>0.1956</v>
      </c>
      <c r="E96" s="16">
        <v>0.13200000000000001</v>
      </c>
      <c r="F96" s="16">
        <v>0.19968</v>
      </c>
      <c r="G96" s="16">
        <v>0.14471999999999999</v>
      </c>
      <c r="H96" s="16">
        <v>0.23232</v>
      </c>
      <c r="I96" s="16">
        <v>0.17294000000000001</v>
      </c>
      <c r="J96" s="16"/>
      <c r="K96" s="16"/>
      <c r="L96" s="16"/>
      <c r="M96" s="16"/>
    </row>
    <row r="97" spans="1:13" x14ac:dyDescent="0.2">
      <c r="A97" s="7">
        <v>93</v>
      </c>
      <c r="B97" s="16">
        <v>0.20921999999999999</v>
      </c>
      <c r="C97" s="16">
        <v>0.14627999999999999</v>
      </c>
      <c r="D97" s="16">
        <v>0.2122</v>
      </c>
      <c r="E97" s="16">
        <v>0.14746999999999999</v>
      </c>
      <c r="F97" s="16">
        <v>0.21523</v>
      </c>
      <c r="G97" s="16">
        <v>0.15966</v>
      </c>
      <c r="H97" s="16">
        <v>0.24934000000000001</v>
      </c>
      <c r="I97" s="16">
        <v>0.18962999999999999</v>
      </c>
      <c r="J97" s="16"/>
      <c r="K97" s="16"/>
      <c r="L97" s="16"/>
      <c r="M97" s="16"/>
    </row>
    <row r="98" spans="1:13" x14ac:dyDescent="0.2">
      <c r="A98" s="7">
        <v>94</v>
      </c>
      <c r="B98" s="16">
        <v>0.22755</v>
      </c>
      <c r="C98" s="16">
        <v>0.16458</v>
      </c>
      <c r="D98" s="16">
        <v>0.22953000000000001</v>
      </c>
      <c r="E98" s="16">
        <v>0.16403000000000001</v>
      </c>
      <c r="F98" s="16">
        <v>0.23129</v>
      </c>
      <c r="G98" s="16">
        <v>0.17498</v>
      </c>
      <c r="H98" s="16">
        <v>0.26679999999999998</v>
      </c>
      <c r="I98" s="16">
        <v>0.20518</v>
      </c>
      <c r="J98" s="16"/>
      <c r="K98" s="16"/>
      <c r="L98" s="16"/>
      <c r="M98" s="16"/>
    </row>
    <row r="99" spans="1:13" x14ac:dyDescent="0.2">
      <c r="A99" s="7">
        <v>95</v>
      </c>
      <c r="B99" s="16">
        <v>0.24695</v>
      </c>
      <c r="C99" s="16">
        <v>0.18367</v>
      </c>
      <c r="D99" s="16">
        <v>0.24757999999999999</v>
      </c>
      <c r="E99" s="16">
        <v>0.17946999999999999</v>
      </c>
      <c r="F99" s="16">
        <v>0.24787000000000001</v>
      </c>
      <c r="G99" s="16">
        <v>0.19062000000000001</v>
      </c>
      <c r="H99" s="16">
        <v>0.28467999999999999</v>
      </c>
      <c r="I99" s="16">
        <v>0.22054000000000001</v>
      </c>
      <c r="J99" s="16"/>
      <c r="K99" s="16"/>
      <c r="L99" s="16"/>
      <c r="M99" s="16"/>
    </row>
    <row r="100" spans="1:13" x14ac:dyDescent="0.2">
      <c r="A100" s="7">
        <v>96</v>
      </c>
      <c r="B100" s="16">
        <v>0.26744000000000001</v>
      </c>
      <c r="C100" s="16">
        <v>0.20330000000000001</v>
      </c>
      <c r="D100" s="16">
        <v>0.26637</v>
      </c>
      <c r="E100" s="16">
        <v>0.19736000000000001</v>
      </c>
      <c r="F100" s="16">
        <v>0.26495999999999997</v>
      </c>
      <c r="G100" s="16">
        <v>0.20655000000000001</v>
      </c>
      <c r="H100" s="16">
        <v>0.30298000000000003</v>
      </c>
      <c r="I100" s="16">
        <v>0.23646</v>
      </c>
      <c r="J100" s="16"/>
      <c r="K100" s="16"/>
      <c r="L100" s="16"/>
      <c r="M100" s="16"/>
    </row>
    <row r="101" spans="1:13" x14ac:dyDescent="0.2">
      <c r="A101" s="7">
        <v>97</v>
      </c>
      <c r="B101" s="16">
        <v>0.28904999999999997</v>
      </c>
      <c r="C101" s="16">
        <v>0.22398000000000001</v>
      </c>
      <c r="D101" s="16">
        <v>0.28588000000000002</v>
      </c>
      <c r="E101" s="16">
        <v>0.21640999999999999</v>
      </c>
      <c r="F101" s="16">
        <v>0.28255000000000002</v>
      </c>
      <c r="G101" s="16">
        <v>0.22278000000000001</v>
      </c>
      <c r="H101" s="16">
        <v>0.32168000000000002</v>
      </c>
      <c r="I101" s="16">
        <v>0.25237999999999999</v>
      </c>
      <c r="J101" s="16"/>
      <c r="K101" s="16"/>
      <c r="L101" s="16"/>
      <c r="M101" s="16"/>
    </row>
    <row r="102" spans="1:13" x14ac:dyDescent="0.2">
      <c r="A102" s="7">
        <v>98</v>
      </c>
      <c r="B102" s="16">
        <v>0.31176999999999999</v>
      </c>
      <c r="C102" s="16">
        <v>0.24573</v>
      </c>
      <c r="D102" s="16">
        <v>0.30610999999999999</v>
      </c>
      <c r="E102" s="16">
        <v>0.23666999999999999</v>
      </c>
      <c r="F102" s="16">
        <v>0.30064999999999997</v>
      </c>
      <c r="G102" s="16">
        <v>0.23929</v>
      </c>
      <c r="H102" s="16">
        <v>0.34076000000000001</v>
      </c>
      <c r="I102" s="16">
        <v>0.26829999999999998</v>
      </c>
      <c r="J102" s="16"/>
      <c r="K102" s="16"/>
      <c r="L102" s="16"/>
      <c r="M102" s="16"/>
    </row>
    <row r="103" spans="1:13" x14ac:dyDescent="0.2">
      <c r="A103" s="7">
        <v>99</v>
      </c>
      <c r="B103" s="16">
        <v>0.33560000000000001</v>
      </c>
      <c r="C103" s="16">
        <v>0.26854</v>
      </c>
      <c r="D103" s="16">
        <v>0.32706000000000002</v>
      </c>
      <c r="E103" s="16">
        <v>0.25814999999999999</v>
      </c>
      <c r="F103" s="16">
        <v>0.31923000000000001</v>
      </c>
      <c r="G103" s="16">
        <v>0.25608999999999998</v>
      </c>
      <c r="H103" s="16">
        <v>0.36020999999999997</v>
      </c>
      <c r="I103" s="16">
        <v>0.28420000000000001</v>
      </c>
      <c r="J103" s="16"/>
      <c r="K103" s="16"/>
      <c r="L103" s="16"/>
      <c r="M103" s="16"/>
    </row>
    <row r="104" spans="1:13" x14ac:dyDescent="0.2">
      <c r="A104" s="7">
        <v>100</v>
      </c>
      <c r="B104" s="16">
        <v>0.36051</v>
      </c>
      <c r="C104" s="16">
        <v>0.29242000000000001</v>
      </c>
      <c r="D104" s="16">
        <v>0.34869</v>
      </c>
      <c r="E104" s="16">
        <v>0.28088000000000002</v>
      </c>
      <c r="F104" s="16">
        <v>0.33828000000000003</v>
      </c>
      <c r="G104" s="16">
        <v>0.27316000000000001</v>
      </c>
      <c r="H104" s="16">
        <v>0.38</v>
      </c>
      <c r="I104" s="16">
        <v>0.30009000000000002</v>
      </c>
      <c r="J104" s="16"/>
      <c r="K104" s="16"/>
      <c r="L104" s="16"/>
      <c r="M104" s="16"/>
    </row>
    <row r="105" spans="1:13" x14ac:dyDescent="0.2">
      <c r="A105" s="7">
        <v>101</v>
      </c>
      <c r="B105" s="16">
        <v>0.38649</v>
      </c>
      <c r="C105" s="16">
        <v>0.31734000000000001</v>
      </c>
      <c r="D105" s="16">
        <v>0.37098999999999999</v>
      </c>
      <c r="E105" s="16">
        <v>0.30486999999999997</v>
      </c>
      <c r="F105" s="16">
        <v>0.35777999999999999</v>
      </c>
      <c r="G105" s="16">
        <v>0.29048000000000002</v>
      </c>
      <c r="H105" s="16">
        <v>0.40011000000000002</v>
      </c>
      <c r="I105" s="16">
        <v>0.31594</v>
      </c>
      <c r="J105" s="16"/>
      <c r="K105" s="16"/>
      <c r="L105" s="16"/>
      <c r="M105" s="16"/>
    </row>
    <row r="106" spans="1:13" x14ac:dyDescent="0.2">
      <c r="A106" s="7">
        <v>102</v>
      </c>
      <c r="B106" s="16">
        <v>0.41348000000000001</v>
      </c>
      <c r="C106" s="16">
        <v>0.34327999999999997</v>
      </c>
      <c r="D106" s="16">
        <v>0.39393</v>
      </c>
      <c r="E106" s="16">
        <v>0.3301</v>
      </c>
      <c r="F106" s="16">
        <v>0.37772</v>
      </c>
      <c r="G106" s="16">
        <v>0.30804999999999999</v>
      </c>
      <c r="H106" s="16">
        <v>0.42050999999999999</v>
      </c>
      <c r="I106" s="16">
        <v>0.33177000000000001</v>
      </c>
      <c r="J106" s="16"/>
      <c r="K106" s="16"/>
      <c r="L106" s="16"/>
      <c r="M106" s="16"/>
    </row>
    <row r="107" spans="1:13" x14ac:dyDescent="0.2">
      <c r="A107" s="7">
        <v>103</v>
      </c>
      <c r="B107" s="16">
        <v>0.44141999999999998</v>
      </c>
      <c r="C107" s="16">
        <v>0.37020999999999998</v>
      </c>
      <c r="D107" s="16">
        <v>0.41747000000000001</v>
      </c>
      <c r="E107" s="16">
        <v>0.35655999999999999</v>
      </c>
      <c r="F107" s="16">
        <v>0.39807999999999999</v>
      </c>
      <c r="G107" s="16">
        <v>0.32584999999999997</v>
      </c>
      <c r="H107" s="16">
        <v>0.44117000000000001</v>
      </c>
      <c r="I107" s="16">
        <v>0.34755000000000003</v>
      </c>
      <c r="J107" s="16"/>
      <c r="K107" s="16"/>
      <c r="L107" s="16"/>
      <c r="M107" s="16"/>
    </row>
    <row r="108" spans="1:13" x14ac:dyDescent="0.2">
      <c r="A108" s="7">
        <v>104</v>
      </c>
      <c r="B108" s="16">
        <v>0.47022999999999998</v>
      </c>
      <c r="C108" s="16">
        <v>0.39806000000000002</v>
      </c>
      <c r="D108" s="16">
        <v>0.44156000000000001</v>
      </c>
      <c r="E108" s="16">
        <v>0.38422000000000001</v>
      </c>
      <c r="F108" s="16">
        <v>0.41881000000000002</v>
      </c>
      <c r="G108" s="16">
        <v>0.34387000000000001</v>
      </c>
      <c r="H108" s="16">
        <v>0.46206000000000003</v>
      </c>
      <c r="I108" s="16">
        <v>0.36327999999999999</v>
      </c>
      <c r="J108" s="16"/>
      <c r="K108" s="16"/>
      <c r="L108" s="16"/>
      <c r="M108" s="16"/>
    </row>
    <row r="109" spans="1:13" x14ac:dyDescent="0.2">
      <c r="A109" s="7">
        <v>105</v>
      </c>
      <c r="B109" s="16">
        <v>0.49980000000000002</v>
      </c>
      <c r="C109" s="16">
        <v>0.42677999999999999</v>
      </c>
      <c r="D109" s="16">
        <v>0.46615000000000001</v>
      </c>
      <c r="E109" s="16">
        <v>0.41302</v>
      </c>
      <c r="F109" s="16">
        <v>0.43989</v>
      </c>
      <c r="G109" s="16">
        <v>0.36209999999999998</v>
      </c>
      <c r="H109" s="16">
        <v>0.48315000000000002</v>
      </c>
      <c r="I109" s="16">
        <v>0.37895000000000001</v>
      </c>
      <c r="J109" s="16"/>
      <c r="K109" s="16"/>
      <c r="L109" s="16"/>
      <c r="M109" s="16"/>
    </row>
    <row r="110" spans="1:13" x14ac:dyDescent="0.2">
      <c r="A110" s="7">
        <v>106</v>
      </c>
      <c r="B110" s="16">
        <v>0.53002000000000005</v>
      </c>
      <c r="C110" s="16">
        <v>0.45627000000000001</v>
      </c>
      <c r="D110" s="16">
        <v>0.49118000000000001</v>
      </c>
      <c r="E110" s="16">
        <v>0.44286999999999999</v>
      </c>
      <c r="F110" s="16">
        <v>0.46128999999999998</v>
      </c>
      <c r="G110" s="16">
        <v>0.3805</v>
      </c>
      <c r="H110" s="16">
        <v>0.50438000000000005</v>
      </c>
      <c r="I110" s="16">
        <v>0.39456000000000002</v>
      </c>
      <c r="J110" s="16"/>
      <c r="K110" s="16"/>
      <c r="L110" s="16"/>
      <c r="M110" s="16"/>
    </row>
    <row r="111" spans="1:13" x14ac:dyDescent="0.2">
      <c r="A111" s="7">
        <v>107</v>
      </c>
      <c r="B111" s="16">
        <v>0.56074999999999997</v>
      </c>
      <c r="C111" s="16">
        <v>0.48642999999999997</v>
      </c>
      <c r="D111" s="16">
        <v>0.51656999999999997</v>
      </c>
      <c r="E111" s="16">
        <v>0.47369</v>
      </c>
      <c r="F111" s="16">
        <v>0.48297000000000001</v>
      </c>
      <c r="G111" s="16">
        <v>0.39906999999999998</v>
      </c>
      <c r="H111" s="16">
        <v>0.52573000000000003</v>
      </c>
      <c r="I111" s="16">
        <v>0.41009000000000001</v>
      </c>
      <c r="J111" s="16"/>
      <c r="K111" s="16"/>
      <c r="L111" s="16"/>
      <c r="M111" s="16"/>
    </row>
    <row r="112" spans="1:13" x14ac:dyDescent="0.2">
      <c r="A112" s="7">
        <v>108</v>
      </c>
      <c r="B112" s="16">
        <v>0.59182000000000001</v>
      </c>
      <c r="C112" s="16">
        <v>0.51715</v>
      </c>
      <c r="D112" s="16">
        <v>0.54225999999999996</v>
      </c>
      <c r="E112" s="16">
        <v>0.50534000000000001</v>
      </c>
      <c r="F112" s="16">
        <v>0.50487000000000004</v>
      </c>
      <c r="G112" s="16">
        <v>0.41777999999999998</v>
      </c>
      <c r="H112" s="16">
        <v>0.54715000000000003</v>
      </c>
      <c r="I112" s="16">
        <v>0.42553999999999997</v>
      </c>
      <c r="J112" s="16"/>
      <c r="K112" s="16"/>
      <c r="L112" s="16"/>
      <c r="M112" s="16"/>
    </row>
    <row r="113" spans="1:13" x14ac:dyDescent="0.2">
      <c r="A113" s="7">
        <v>109</v>
      </c>
      <c r="B113" s="16">
        <v>0.62304000000000004</v>
      </c>
      <c r="C113" s="16">
        <v>0.54827000000000004</v>
      </c>
      <c r="D113" s="16">
        <v>0.56813999999999998</v>
      </c>
      <c r="E113" s="16">
        <v>0.53768000000000005</v>
      </c>
      <c r="F113" s="16">
        <v>0.52695999999999998</v>
      </c>
      <c r="G113" s="16">
        <v>0.43661</v>
      </c>
      <c r="H113" s="16">
        <v>0.56857999999999997</v>
      </c>
      <c r="I113" s="16">
        <v>0.44091000000000002</v>
      </c>
      <c r="J113" s="16"/>
      <c r="K113" s="16"/>
      <c r="L113" s="16"/>
      <c r="M113" s="16"/>
    </row>
    <row r="114" spans="1:13" x14ac:dyDescent="0.2">
      <c r="A114" s="7">
        <v>110</v>
      </c>
      <c r="B114" s="16">
        <v>0.65422000000000002</v>
      </c>
      <c r="C114" s="16">
        <v>0.57965</v>
      </c>
      <c r="D114" s="16">
        <v>0.59413000000000005</v>
      </c>
      <c r="E114" s="16">
        <v>0.57052999999999998</v>
      </c>
      <c r="F114" s="16">
        <v>0.54918</v>
      </c>
      <c r="G114" s="16">
        <v>0.45554</v>
      </c>
      <c r="H114" s="16">
        <v>0.58997999999999995</v>
      </c>
      <c r="I114" s="16">
        <v>0.45617000000000002</v>
      </c>
      <c r="J114" s="16"/>
      <c r="K114" s="16"/>
      <c r="L114" s="16"/>
      <c r="M114" s="16"/>
    </row>
    <row r="115" spans="1:13" x14ac:dyDescent="0.2">
      <c r="A115" s="7">
        <v>111</v>
      </c>
      <c r="B115" s="16">
        <v>1</v>
      </c>
      <c r="C115" s="16">
        <v>0.61112</v>
      </c>
      <c r="D115" s="16">
        <v>0.62011000000000005</v>
      </c>
      <c r="E115" s="16">
        <v>0.60368999999999995</v>
      </c>
      <c r="F115" s="16">
        <v>0.57147000000000003</v>
      </c>
      <c r="G115" s="16">
        <v>0.47454000000000002</v>
      </c>
      <c r="H115" s="16">
        <v>1</v>
      </c>
      <c r="I115" s="16">
        <v>0.47133000000000003</v>
      </c>
      <c r="J115" s="16"/>
      <c r="K115" s="16"/>
      <c r="L115" s="16"/>
      <c r="M115" s="16"/>
    </row>
    <row r="116" spans="1:13" x14ac:dyDescent="0.2">
      <c r="A116" s="7">
        <v>112</v>
      </c>
      <c r="B116" s="16">
        <v>1</v>
      </c>
      <c r="C116" s="16">
        <v>0.64246999999999999</v>
      </c>
      <c r="D116" s="16">
        <v>1</v>
      </c>
      <c r="E116" s="16">
        <v>0.63692000000000004</v>
      </c>
      <c r="F116" s="16">
        <v>0.59377999999999997</v>
      </c>
      <c r="G116" s="16">
        <v>0.49358999999999997</v>
      </c>
      <c r="H116" s="16">
        <v>1</v>
      </c>
      <c r="I116" s="16">
        <v>0.48637000000000002</v>
      </c>
      <c r="J116" s="16"/>
      <c r="K116" s="16"/>
      <c r="L116" s="16"/>
      <c r="M116" s="16"/>
    </row>
    <row r="117" spans="1:13" x14ac:dyDescent="0.2">
      <c r="A117" s="7">
        <v>113</v>
      </c>
      <c r="B117" s="16">
        <v>1</v>
      </c>
      <c r="C117" s="16">
        <v>0.67352000000000001</v>
      </c>
      <c r="D117" s="16">
        <v>1</v>
      </c>
      <c r="E117" s="16">
        <v>0.66996999999999995</v>
      </c>
      <c r="F117" s="16">
        <v>1</v>
      </c>
      <c r="G117" s="16">
        <v>0.51266</v>
      </c>
      <c r="H117" s="16">
        <v>1</v>
      </c>
      <c r="I117" s="16">
        <v>0.50129000000000001</v>
      </c>
      <c r="J117" s="16"/>
      <c r="K117" s="16"/>
      <c r="L117" s="16"/>
      <c r="M117" s="16"/>
    </row>
    <row r="118" spans="1:13" x14ac:dyDescent="0.2">
      <c r="A118" s="7">
        <v>114</v>
      </c>
      <c r="B118" s="16">
        <v>1</v>
      </c>
      <c r="C118" s="16">
        <v>0.70404</v>
      </c>
      <c r="D118" s="16">
        <v>1</v>
      </c>
      <c r="E118" s="16">
        <v>0.70259000000000005</v>
      </c>
      <c r="F118" s="16">
        <v>1</v>
      </c>
      <c r="G118" s="16">
        <v>0.53171999999999997</v>
      </c>
      <c r="H118" s="16">
        <v>1</v>
      </c>
      <c r="I118" s="16">
        <v>0.51607999999999998</v>
      </c>
      <c r="J118" s="16"/>
      <c r="K118" s="16"/>
      <c r="L118" s="16"/>
      <c r="M118" s="16"/>
    </row>
    <row r="119" spans="1:13" x14ac:dyDescent="0.2">
      <c r="A119" s="7">
        <v>115</v>
      </c>
      <c r="B119" s="16">
        <v>1</v>
      </c>
      <c r="C119" s="16">
        <v>1</v>
      </c>
      <c r="D119" s="16">
        <v>1</v>
      </c>
      <c r="E119" s="16">
        <v>1</v>
      </c>
      <c r="F119" s="16">
        <v>1</v>
      </c>
      <c r="G119" s="16">
        <v>0.55074999999999996</v>
      </c>
      <c r="H119" s="16">
        <v>1</v>
      </c>
      <c r="I119" s="16">
        <v>0.53073000000000004</v>
      </c>
      <c r="J119" s="16"/>
      <c r="K119" s="16"/>
      <c r="L119" s="16"/>
      <c r="M119" s="16"/>
    </row>
    <row r="120" spans="1:13" x14ac:dyDescent="0.2">
      <c r="A120" s="7">
        <v>116</v>
      </c>
      <c r="B120" s="16">
        <v>1</v>
      </c>
      <c r="C120" s="16">
        <v>1</v>
      </c>
      <c r="D120" s="16">
        <v>1</v>
      </c>
      <c r="E120" s="16">
        <v>1</v>
      </c>
      <c r="F120" s="16">
        <v>1</v>
      </c>
      <c r="G120" s="16">
        <v>0.56969999999999998</v>
      </c>
      <c r="H120" s="16">
        <v>1</v>
      </c>
      <c r="I120" s="16">
        <v>1</v>
      </c>
      <c r="J120" s="16"/>
      <c r="K120" s="16"/>
      <c r="L120" s="16"/>
      <c r="M120" s="16"/>
    </row>
    <row r="121" spans="1:13" x14ac:dyDescent="0.2">
      <c r="A121" s="7">
        <v>117</v>
      </c>
      <c r="B121" s="16">
        <v>1</v>
      </c>
      <c r="C121" s="16">
        <v>1</v>
      </c>
      <c r="D121" s="16">
        <v>1</v>
      </c>
      <c r="E121" s="16">
        <v>1</v>
      </c>
      <c r="F121" s="16">
        <v>1</v>
      </c>
      <c r="G121" s="16">
        <v>1</v>
      </c>
      <c r="H121" s="16">
        <v>1</v>
      </c>
      <c r="I121" s="16">
        <v>1</v>
      </c>
      <c r="J121" s="16"/>
      <c r="K121" s="16"/>
      <c r="L121" s="16"/>
      <c r="M121" s="16"/>
    </row>
    <row r="122" spans="1:13" x14ac:dyDescent="0.2">
      <c r="A122" s="7">
        <v>118</v>
      </c>
      <c r="B122" s="16">
        <v>1</v>
      </c>
      <c r="C122" s="16">
        <v>1</v>
      </c>
      <c r="D122" s="16">
        <v>1</v>
      </c>
      <c r="E122" s="16">
        <v>1</v>
      </c>
      <c r="F122" s="16">
        <v>1</v>
      </c>
      <c r="G122" s="16">
        <v>1</v>
      </c>
      <c r="H122" s="16">
        <v>1</v>
      </c>
      <c r="I122" s="16">
        <v>1</v>
      </c>
      <c r="J122" s="16"/>
      <c r="K122" s="16"/>
      <c r="L122" s="16"/>
      <c r="M122" s="16"/>
    </row>
    <row r="123" spans="1:13" x14ac:dyDescent="0.2">
      <c r="A123" s="7">
        <v>119</v>
      </c>
      <c r="B123" s="16">
        <v>1</v>
      </c>
      <c r="C123" s="16">
        <v>1</v>
      </c>
      <c r="D123" s="16">
        <v>1</v>
      </c>
      <c r="E123" s="16">
        <v>1</v>
      </c>
      <c r="F123" s="16">
        <v>1</v>
      </c>
      <c r="G123" s="16">
        <v>1</v>
      </c>
      <c r="H123" s="16">
        <v>1</v>
      </c>
      <c r="I123" s="16">
        <v>1</v>
      </c>
      <c r="J123" s="16"/>
      <c r="K123" s="16"/>
      <c r="L123" s="16"/>
      <c r="M123" s="16"/>
    </row>
    <row r="124" spans="1:13" x14ac:dyDescent="0.2">
      <c r="A124" s="7">
        <v>120</v>
      </c>
      <c r="B124" s="16">
        <v>1</v>
      </c>
      <c r="C124" s="16">
        <v>1</v>
      </c>
      <c r="D124" s="16">
        <v>1</v>
      </c>
      <c r="E124" s="16">
        <v>1</v>
      </c>
      <c r="F124" s="16">
        <v>1</v>
      </c>
      <c r="G124" s="16">
        <v>1</v>
      </c>
      <c r="H124" s="16">
        <v>1</v>
      </c>
      <c r="I124" s="16">
        <v>1</v>
      </c>
      <c r="J124" s="16"/>
      <c r="K124" s="16"/>
      <c r="L124" s="16"/>
      <c r="M124" s="16"/>
    </row>
    <row r="125" spans="1:13" x14ac:dyDescent="0.2">
      <c r="A125" s="7">
        <v>121</v>
      </c>
      <c r="B125" s="16">
        <v>1</v>
      </c>
      <c r="C125" s="16">
        <v>1</v>
      </c>
      <c r="D125" s="16">
        <v>1</v>
      </c>
      <c r="E125" s="16">
        <v>1</v>
      </c>
      <c r="F125" s="16">
        <v>1</v>
      </c>
      <c r="G125" s="16">
        <v>1</v>
      </c>
      <c r="H125" s="16">
        <v>1</v>
      </c>
      <c r="I125" s="16">
        <v>1</v>
      </c>
      <c r="J125" s="16"/>
      <c r="K125" s="16"/>
      <c r="L125" s="16"/>
      <c r="M125" s="16"/>
    </row>
    <row r="126" spans="1:13" x14ac:dyDescent="0.2">
      <c r="A126" s="7">
        <v>122</v>
      </c>
      <c r="B126" s="16">
        <v>1</v>
      </c>
      <c r="C126" s="16">
        <v>1</v>
      </c>
      <c r="D126" s="16">
        <v>1</v>
      </c>
      <c r="E126" s="16">
        <v>1</v>
      </c>
      <c r="F126" s="16">
        <v>1</v>
      </c>
      <c r="G126" s="16">
        <v>1</v>
      </c>
      <c r="H126" s="16">
        <v>1</v>
      </c>
      <c r="I126" s="16">
        <v>1</v>
      </c>
      <c r="J126" s="16"/>
      <c r="K126" s="16"/>
      <c r="L126" s="16"/>
      <c r="M126" s="16"/>
    </row>
    <row r="127" spans="1:13" x14ac:dyDescent="0.2">
      <c r="A127" s="7">
        <v>123</v>
      </c>
      <c r="B127" s="16">
        <v>1</v>
      </c>
      <c r="C127" s="16">
        <v>1</v>
      </c>
      <c r="D127" s="16">
        <v>1</v>
      </c>
      <c r="E127" s="16">
        <v>1</v>
      </c>
      <c r="F127" s="16">
        <v>1</v>
      </c>
      <c r="G127" s="16">
        <v>1</v>
      </c>
      <c r="H127" s="16">
        <v>1</v>
      </c>
      <c r="I127" s="16">
        <v>1</v>
      </c>
      <c r="J127" s="16"/>
      <c r="K127" s="16"/>
      <c r="L127" s="16"/>
      <c r="M127" s="16"/>
    </row>
    <row r="128" spans="1:13" x14ac:dyDescent="0.2">
      <c r="A128" s="7">
        <v>124</v>
      </c>
      <c r="B128" s="16">
        <v>1</v>
      </c>
      <c r="C128" s="16">
        <v>1</v>
      </c>
      <c r="D128" s="16">
        <v>1</v>
      </c>
      <c r="E128" s="16">
        <v>1</v>
      </c>
      <c r="F128" s="16">
        <v>1</v>
      </c>
      <c r="G128" s="16">
        <v>1</v>
      </c>
      <c r="H128" s="16">
        <v>1</v>
      </c>
      <c r="I128" s="16">
        <v>1</v>
      </c>
      <c r="J128" s="16"/>
      <c r="K128" s="16"/>
      <c r="L128" s="16"/>
      <c r="M128" s="16"/>
    </row>
    <row r="129" spans="1:13" x14ac:dyDescent="0.2">
      <c r="A129" s="7">
        <v>125</v>
      </c>
      <c r="B129" s="16">
        <v>1</v>
      </c>
      <c r="C129" s="16">
        <v>1</v>
      </c>
      <c r="D129" s="16">
        <v>1</v>
      </c>
      <c r="E129" s="16">
        <v>1</v>
      </c>
      <c r="F129" s="16">
        <v>1</v>
      </c>
      <c r="G129" s="16">
        <v>1</v>
      </c>
      <c r="H129" s="16">
        <v>1</v>
      </c>
      <c r="I129" s="16">
        <v>1</v>
      </c>
      <c r="J129" s="16"/>
      <c r="K129" s="16"/>
      <c r="L129" s="16"/>
      <c r="M129" s="16"/>
    </row>
    <row r="130" spans="1:13" x14ac:dyDescent="0.2">
      <c r="A130" s="7">
        <v>126</v>
      </c>
      <c r="B130" s="16">
        <v>1</v>
      </c>
      <c r="C130" s="16">
        <v>1</v>
      </c>
      <c r="D130" s="16">
        <v>1</v>
      </c>
      <c r="E130" s="16">
        <v>1</v>
      </c>
      <c r="F130" s="16">
        <v>1</v>
      </c>
      <c r="G130" s="16">
        <v>1</v>
      </c>
      <c r="H130" s="16">
        <v>1</v>
      </c>
      <c r="I130" s="16">
        <v>1</v>
      </c>
      <c r="J130" s="16"/>
      <c r="K130" s="16"/>
      <c r="L130" s="16"/>
      <c r="M130" s="16"/>
    </row>
    <row r="131" spans="1:13" x14ac:dyDescent="0.2">
      <c r="A131" s="7">
        <v>127</v>
      </c>
      <c r="B131" s="16">
        <v>1</v>
      </c>
      <c r="C131" s="16">
        <v>1</v>
      </c>
      <c r="D131" s="16">
        <v>1</v>
      </c>
      <c r="E131" s="16">
        <v>1</v>
      </c>
      <c r="F131" s="16">
        <v>1</v>
      </c>
      <c r="G131" s="16">
        <v>1</v>
      </c>
      <c r="H131" s="16">
        <v>1</v>
      </c>
      <c r="I131" s="16">
        <v>1</v>
      </c>
      <c r="J131" s="16"/>
      <c r="K131" s="16"/>
      <c r="L131" s="16"/>
      <c r="M131" s="16"/>
    </row>
    <row r="132" spans="1:13" x14ac:dyDescent="0.2">
      <c r="A132" s="7">
        <v>128</v>
      </c>
      <c r="B132" s="16">
        <v>1</v>
      </c>
      <c r="C132" s="16">
        <v>1</v>
      </c>
      <c r="D132" s="16">
        <v>1</v>
      </c>
      <c r="E132" s="16">
        <v>1</v>
      </c>
      <c r="F132" s="16">
        <v>1</v>
      </c>
      <c r="G132" s="16">
        <v>1</v>
      </c>
      <c r="H132" s="16">
        <v>1</v>
      </c>
      <c r="I132" s="16">
        <v>1</v>
      </c>
      <c r="J132" s="16"/>
      <c r="K132" s="16"/>
      <c r="L132" s="16"/>
      <c r="M132" s="16"/>
    </row>
    <row r="133" spans="1:13" x14ac:dyDescent="0.2">
      <c r="A133" s="7">
        <v>129</v>
      </c>
      <c r="B133" s="16">
        <v>1</v>
      </c>
      <c r="C133" s="16">
        <v>1</v>
      </c>
      <c r="D133" s="16">
        <v>1</v>
      </c>
      <c r="E133" s="16">
        <v>1</v>
      </c>
      <c r="F133" s="16">
        <v>1</v>
      </c>
      <c r="G133" s="16">
        <v>1</v>
      </c>
      <c r="H133" s="16">
        <v>1</v>
      </c>
      <c r="I133" s="16">
        <v>1</v>
      </c>
      <c r="J133" s="16"/>
      <c r="K133" s="16"/>
      <c r="L133" s="16"/>
      <c r="M133" s="16"/>
    </row>
    <row r="134" spans="1:13" x14ac:dyDescent="0.2">
      <c r="A134" s="7">
        <v>130</v>
      </c>
      <c r="B134" s="16">
        <v>1</v>
      </c>
      <c r="C134" s="16">
        <v>1</v>
      </c>
      <c r="D134" s="16">
        <v>1</v>
      </c>
      <c r="E134" s="16">
        <v>1</v>
      </c>
      <c r="F134" s="16">
        <v>1</v>
      </c>
      <c r="G134" s="16">
        <v>1</v>
      </c>
      <c r="H134" s="16">
        <v>1</v>
      </c>
      <c r="I134" s="16">
        <v>1</v>
      </c>
      <c r="J134" s="16"/>
      <c r="K134" s="16"/>
      <c r="L134" s="16"/>
      <c r="M134" s="16"/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154"/>
  <sheetViews>
    <sheetView workbookViewId="0">
      <pane xSplit="1" ySplit="3" topLeftCell="B4" activePane="bottomRight" state="frozen"/>
      <selection pane="topRight"/>
      <selection pane="bottomLeft"/>
      <selection pane="bottomRight"/>
    </sheetView>
  </sheetViews>
  <sheetFormatPr baseColWidth="10" defaultColWidth="8.83203125" defaultRowHeight="15" x14ac:dyDescent="0.2"/>
  <cols>
    <col min="1" max="1" width="6" customWidth="1"/>
    <col min="2" max="11" width="9" customWidth="1"/>
  </cols>
  <sheetData>
    <row r="1" spans="1:11" x14ac:dyDescent="0.2">
      <c r="A1" s="3" t="s">
        <v>184</v>
      </c>
    </row>
    <row r="2" spans="1:11" x14ac:dyDescent="0.2">
      <c r="A2" s="10" t="s">
        <v>185</v>
      </c>
      <c r="B2" s="10" t="s">
        <v>186</v>
      </c>
      <c r="C2" s="10" t="s">
        <v>187</v>
      </c>
      <c r="D2" s="10" t="s">
        <v>188</v>
      </c>
      <c r="E2" s="10" t="s">
        <v>189</v>
      </c>
      <c r="F2" s="10" t="s">
        <v>190</v>
      </c>
      <c r="G2" s="10" t="s">
        <v>191</v>
      </c>
      <c r="H2" s="10" t="s">
        <v>192</v>
      </c>
      <c r="I2" s="10" t="s">
        <v>193</v>
      </c>
      <c r="J2" s="10" t="s">
        <v>194</v>
      </c>
      <c r="K2" s="10" t="s">
        <v>195</v>
      </c>
    </row>
    <row r="3" spans="1:11" x14ac:dyDescent="0.2">
      <c r="A3" s="14" t="s">
        <v>185</v>
      </c>
      <c r="B3" s="14" t="s">
        <v>196</v>
      </c>
    </row>
    <row r="4" spans="1:11" x14ac:dyDescent="0.2">
      <c r="A4" s="7">
        <v>0</v>
      </c>
      <c r="B4" s="18">
        <v>1.4999999999999999E-2</v>
      </c>
      <c r="C4" s="18">
        <v>0.02</v>
      </c>
      <c r="D4" s="18">
        <v>0.01</v>
      </c>
      <c r="E4" s="18">
        <v>0.01</v>
      </c>
      <c r="F4" s="18">
        <v>0.03</v>
      </c>
      <c r="G4" s="18">
        <v>0.03</v>
      </c>
      <c r="H4" s="18">
        <v>0.03</v>
      </c>
      <c r="I4" s="18">
        <v>0.03</v>
      </c>
      <c r="J4" s="18">
        <v>0.03</v>
      </c>
      <c r="K4" s="18">
        <v>0.03</v>
      </c>
    </row>
    <row r="5" spans="1:11" x14ac:dyDescent="0.2">
      <c r="A5" s="7">
        <v>1</v>
      </c>
      <c r="B5" s="18">
        <v>1.4999999999999999E-2</v>
      </c>
      <c r="C5" s="18">
        <v>0.02</v>
      </c>
      <c r="D5" s="18">
        <v>0.01</v>
      </c>
      <c r="E5" s="18">
        <v>1.0999999999999999E-2</v>
      </c>
      <c r="F5" s="18">
        <v>0.03</v>
      </c>
      <c r="G5" s="18">
        <v>0.03</v>
      </c>
      <c r="H5" s="18">
        <v>0.03</v>
      </c>
      <c r="I5" s="18">
        <v>0.03</v>
      </c>
      <c r="J5" s="18">
        <v>0.03</v>
      </c>
      <c r="K5" s="18">
        <v>0.03</v>
      </c>
    </row>
    <row r="6" spans="1:11" x14ac:dyDescent="0.2">
      <c r="A6" s="7">
        <v>2</v>
      </c>
      <c r="B6" s="18">
        <v>1.4999999999999999E-2</v>
      </c>
      <c r="C6" s="18">
        <v>0.02</v>
      </c>
      <c r="D6" s="18">
        <v>0.01</v>
      </c>
      <c r="E6" s="18">
        <v>1.2E-2</v>
      </c>
      <c r="F6" s="18">
        <v>0.03</v>
      </c>
      <c r="G6" s="18">
        <v>0.03</v>
      </c>
      <c r="H6" s="18">
        <v>0.03</v>
      </c>
      <c r="I6" s="18">
        <v>0.03</v>
      </c>
      <c r="J6" s="18">
        <v>0.03</v>
      </c>
      <c r="K6" s="18">
        <v>0.03</v>
      </c>
    </row>
    <row r="7" spans="1:11" x14ac:dyDescent="0.2">
      <c r="A7" s="7">
        <v>3</v>
      </c>
      <c r="B7" s="18">
        <v>1.4999999999999999E-2</v>
      </c>
      <c r="C7" s="18">
        <v>0.02</v>
      </c>
      <c r="D7" s="18">
        <v>0.01</v>
      </c>
      <c r="E7" s="18">
        <v>1.2999999999999999E-2</v>
      </c>
      <c r="F7" s="18">
        <v>0.03</v>
      </c>
      <c r="G7" s="18">
        <v>0.03</v>
      </c>
      <c r="H7" s="18">
        <v>0.03</v>
      </c>
      <c r="I7" s="18">
        <v>0.03</v>
      </c>
      <c r="J7" s="18">
        <v>0.03</v>
      </c>
      <c r="K7" s="18">
        <v>0.03</v>
      </c>
    </row>
    <row r="8" spans="1:11" x14ac:dyDescent="0.2">
      <c r="A8" s="7">
        <v>4</v>
      </c>
      <c r="B8" s="18">
        <v>1.4999999999999999E-2</v>
      </c>
      <c r="C8" s="18">
        <v>0.02</v>
      </c>
      <c r="D8" s="18">
        <v>0.01</v>
      </c>
      <c r="E8" s="18">
        <v>1.4E-2</v>
      </c>
      <c r="F8" s="18">
        <v>0.03</v>
      </c>
      <c r="G8" s="18">
        <v>0.03</v>
      </c>
      <c r="H8" s="18">
        <v>0.03</v>
      </c>
      <c r="I8" s="18">
        <v>0.03</v>
      </c>
      <c r="J8" s="18">
        <v>0.03</v>
      </c>
      <c r="K8" s="18">
        <v>0.03</v>
      </c>
    </row>
    <row r="9" spans="1:11" x14ac:dyDescent="0.2">
      <c r="A9" s="7">
        <v>5</v>
      </c>
      <c r="B9" s="18">
        <v>1.4999999999999999E-2</v>
      </c>
      <c r="C9" s="18">
        <v>0.02</v>
      </c>
      <c r="D9" s="18">
        <v>0.01</v>
      </c>
      <c r="E9" s="18">
        <v>1.4999999999999999E-2</v>
      </c>
      <c r="F9" s="18">
        <v>0.03</v>
      </c>
      <c r="G9" s="18">
        <v>0.03</v>
      </c>
      <c r="H9" s="18">
        <v>0.03</v>
      </c>
      <c r="I9" s="18">
        <v>0.03</v>
      </c>
      <c r="J9" s="18">
        <v>0.03</v>
      </c>
      <c r="K9" s="18">
        <v>0.03</v>
      </c>
    </row>
    <row r="10" spans="1:11" x14ac:dyDescent="0.2">
      <c r="A10" s="7">
        <v>6</v>
      </c>
      <c r="B10" s="18">
        <v>1.4999999999999999E-2</v>
      </c>
      <c r="C10" s="18">
        <v>0.02</v>
      </c>
      <c r="D10" s="18">
        <v>0.01</v>
      </c>
      <c r="E10" s="18">
        <v>1.4999999999999999E-2</v>
      </c>
      <c r="F10" s="18">
        <v>0.03</v>
      </c>
      <c r="G10" s="18">
        <v>0.03</v>
      </c>
      <c r="H10" s="18">
        <v>0.03</v>
      </c>
      <c r="I10" s="18">
        <v>0.03</v>
      </c>
      <c r="J10" s="18">
        <v>0.03</v>
      </c>
      <c r="K10" s="18">
        <v>0.03</v>
      </c>
    </row>
    <row r="11" spans="1:11" x14ac:dyDescent="0.2">
      <c r="A11" s="7">
        <v>7</v>
      </c>
      <c r="B11" s="18">
        <v>1.4999999999999999E-2</v>
      </c>
      <c r="C11" s="18">
        <v>0.02</v>
      </c>
      <c r="D11" s="18">
        <v>0.01</v>
      </c>
      <c r="E11" s="18">
        <v>1.4999999999999999E-2</v>
      </c>
      <c r="F11" s="18">
        <v>0.03</v>
      </c>
      <c r="G11" s="18">
        <v>0.03</v>
      </c>
      <c r="H11" s="18">
        <v>0.03</v>
      </c>
      <c r="I11" s="18">
        <v>0.03</v>
      </c>
      <c r="J11" s="18">
        <v>0.03</v>
      </c>
      <c r="K11" s="18">
        <v>0.03</v>
      </c>
    </row>
    <row r="12" spans="1:11" x14ac:dyDescent="0.2">
      <c r="A12" s="7">
        <v>8</v>
      </c>
      <c r="B12" s="18">
        <v>1.4999999999999999E-2</v>
      </c>
      <c r="C12" s="18">
        <v>0.02</v>
      </c>
      <c r="D12" s="18">
        <v>0.01</v>
      </c>
      <c r="E12" s="18">
        <v>1.4999999999999999E-2</v>
      </c>
      <c r="F12" s="18">
        <v>0.03</v>
      </c>
      <c r="G12" s="18">
        <v>0.03</v>
      </c>
      <c r="H12" s="18">
        <v>0.03</v>
      </c>
      <c r="I12" s="18">
        <v>0.03</v>
      </c>
      <c r="J12" s="18">
        <v>0.03</v>
      </c>
      <c r="K12" s="18">
        <v>0.03</v>
      </c>
    </row>
    <row r="13" spans="1:11" x14ac:dyDescent="0.2">
      <c r="A13" s="7">
        <v>9</v>
      </c>
      <c r="B13" s="18">
        <v>1.4999999999999999E-2</v>
      </c>
      <c r="C13" s="18">
        <v>0.02</v>
      </c>
      <c r="D13" s="18">
        <v>0.01</v>
      </c>
      <c r="E13" s="18">
        <v>1.4999999999999999E-2</v>
      </c>
      <c r="F13" s="18">
        <v>0.03</v>
      </c>
      <c r="G13" s="18">
        <v>0.03</v>
      </c>
      <c r="H13" s="18">
        <v>0.03</v>
      </c>
      <c r="I13" s="18">
        <v>0.03</v>
      </c>
      <c r="J13" s="18">
        <v>0.03</v>
      </c>
      <c r="K13" s="18">
        <v>0.03</v>
      </c>
    </row>
    <row r="14" spans="1:11" x14ac:dyDescent="0.2">
      <c r="A14" s="7">
        <v>10</v>
      </c>
      <c r="B14" s="18">
        <v>1.4999999999999999E-2</v>
      </c>
      <c r="C14" s="18">
        <v>0.02</v>
      </c>
      <c r="D14" s="18">
        <v>0.01</v>
      </c>
      <c r="E14" s="18">
        <v>1.4999999999999999E-2</v>
      </c>
      <c r="F14" s="18">
        <v>0.03</v>
      </c>
      <c r="G14" s="18">
        <v>0.03</v>
      </c>
      <c r="H14" s="18">
        <v>0.03</v>
      </c>
      <c r="I14" s="18">
        <v>0.03</v>
      </c>
      <c r="J14" s="18">
        <v>0.03</v>
      </c>
      <c r="K14" s="18">
        <v>0.03</v>
      </c>
    </row>
    <row r="15" spans="1:11" x14ac:dyDescent="0.2">
      <c r="A15" s="7">
        <v>11</v>
      </c>
      <c r="B15" s="18">
        <v>1.4999999999999999E-2</v>
      </c>
      <c r="C15" s="18">
        <v>0.02</v>
      </c>
      <c r="D15" s="18">
        <v>0.01</v>
      </c>
      <c r="E15" s="18">
        <v>1.4999999999999999E-2</v>
      </c>
      <c r="F15" s="18">
        <v>0.03</v>
      </c>
      <c r="G15" s="18">
        <v>0.03</v>
      </c>
      <c r="H15" s="18">
        <v>0.03</v>
      </c>
      <c r="I15" s="18">
        <v>0.03</v>
      </c>
      <c r="J15" s="18">
        <v>0.03</v>
      </c>
      <c r="K15" s="18">
        <v>0.03</v>
      </c>
    </row>
    <row r="16" spans="1:11" x14ac:dyDescent="0.2">
      <c r="A16" s="7">
        <v>12</v>
      </c>
      <c r="B16" s="18">
        <v>1.4999999999999999E-2</v>
      </c>
      <c r="C16" s="18">
        <v>0.02</v>
      </c>
      <c r="D16" s="18">
        <v>0.01</v>
      </c>
      <c r="E16" s="18">
        <v>1.4999999999999999E-2</v>
      </c>
      <c r="F16" s="18">
        <v>0.03</v>
      </c>
      <c r="G16" s="18">
        <v>0.03</v>
      </c>
      <c r="H16" s="18">
        <v>0.03</v>
      </c>
      <c r="I16" s="18">
        <v>0.03</v>
      </c>
      <c r="J16" s="18">
        <v>0.03</v>
      </c>
      <c r="K16" s="18">
        <v>0.03</v>
      </c>
    </row>
    <row r="17" spans="1:11" x14ac:dyDescent="0.2">
      <c r="A17" s="7">
        <v>13</v>
      </c>
      <c r="B17" s="18">
        <v>1.4999999999999999E-2</v>
      </c>
      <c r="C17" s="18">
        <v>0.02</v>
      </c>
      <c r="D17" s="18">
        <v>0.01</v>
      </c>
      <c r="E17" s="18">
        <v>1.4999999999999999E-2</v>
      </c>
      <c r="F17" s="18">
        <v>0.03</v>
      </c>
      <c r="G17" s="18">
        <v>0.03</v>
      </c>
      <c r="H17" s="18">
        <v>0.03</v>
      </c>
      <c r="I17" s="18">
        <v>0.03</v>
      </c>
      <c r="J17" s="18">
        <v>0.03</v>
      </c>
      <c r="K17" s="18">
        <v>0.03</v>
      </c>
    </row>
    <row r="18" spans="1:11" x14ac:dyDescent="0.2">
      <c r="A18" s="7">
        <v>14</v>
      </c>
      <c r="B18" s="18">
        <v>1.4999999999999999E-2</v>
      </c>
      <c r="C18" s="18">
        <v>0.02</v>
      </c>
      <c r="D18" s="18">
        <v>0.01</v>
      </c>
      <c r="E18" s="18">
        <v>1.4999999999999999E-2</v>
      </c>
      <c r="F18" s="18">
        <v>0.03</v>
      </c>
      <c r="G18" s="18">
        <v>0.03</v>
      </c>
      <c r="H18" s="18">
        <v>0.03</v>
      </c>
      <c r="I18" s="18">
        <v>0.03</v>
      </c>
      <c r="J18" s="18">
        <v>0.03</v>
      </c>
      <c r="K18" s="18">
        <v>0.03</v>
      </c>
    </row>
    <row r="19" spans="1:11" x14ac:dyDescent="0.2">
      <c r="A19" s="7">
        <v>15</v>
      </c>
      <c r="B19" s="18">
        <v>1.4999999999999999E-2</v>
      </c>
      <c r="C19" s="18">
        <v>0.02</v>
      </c>
      <c r="D19" s="18">
        <v>0.01</v>
      </c>
      <c r="E19" s="18">
        <v>1.4999999999999999E-2</v>
      </c>
      <c r="F19" s="18">
        <v>0.03</v>
      </c>
      <c r="G19" s="18">
        <v>0.03</v>
      </c>
      <c r="H19" s="18">
        <v>0.03</v>
      </c>
      <c r="I19" s="18">
        <v>0.03</v>
      </c>
      <c r="J19" s="18">
        <v>0.03</v>
      </c>
      <c r="K19" s="18">
        <v>0.03</v>
      </c>
    </row>
    <row r="20" spans="1:11" x14ac:dyDescent="0.2">
      <c r="A20" s="7">
        <v>16</v>
      </c>
      <c r="B20" s="18">
        <v>1.4999999999999999E-2</v>
      </c>
      <c r="C20" s="18">
        <v>0.02</v>
      </c>
      <c r="D20" s="18">
        <v>0.01</v>
      </c>
      <c r="E20" s="18">
        <v>1.4999999999999999E-2</v>
      </c>
      <c r="F20" s="18">
        <v>0.03</v>
      </c>
      <c r="G20" s="18">
        <v>0.03</v>
      </c>
      <c r="H20" s="18">
        <v>0.03</v>
      </c>
      <c r="I20" s="18">
        <v>0.03</v>
      </c>
      <c r="J20" s="18">
        <v>0.03</v>
      </c>
      <c r="K20" s="18">
        <v>0.03</v>
      </c>
    </row>
    <row r="21" spans="1:11" x14ac:dyDescent="0.2">
      <c r="A21" s="7">
        <v>17</v>
      </c>
      <c r="B21" s="18">
        <v>1.4999999999999999E-2</v>
      </c>
      <c r="C21" s="18">
        <v>0.02</v>
      </c>
      <c r="D21" s="18">
        <v>0.01</v>
      </c>
      <c r="E21" s="18">
        <v>1.4999999999999999E-2</v>
      </c>
      <c r="F21" s="18">
        <v>0.03</v>
      </c>
      <c r="G21" s="18">
        <v>0.03</v>
      </c>
      <c r="H21" s="18">
        <v>0.03</v>
      </c>
      <c r="I21" s="18">
        <v>0.03</v>
      </c>
      <c r="J21" s="18">
        <v>0.03</v>
      </c>
      <c r="K21" s="18">
        <v>0.03</v>
      </c>
    </row>
    <row r="22" spans="1:11" x14ac:dyDescent="0.2">
      <c r="A22" s="7">
        <v>18</v>
      </c>
      <c r="B22" s="18">
        <v>1.4999999999999999E-2</v>
      </c>
      <c r="C22" s="18">
        <v>0.02</v>
      </c>
      <c r="D22" s="18">
        <v>0.01</v>
      </c>
      <c r="E22" s="18">
        <v>1.4999999999999999E-2</v>
      </c>
      <c r="F22" s="18">
        <v>0.03</v>
      </c>
      <c r="G22" s="18">
        <v>0.03</v>
      </c>
      <c r="H22" s="18">
        <v>0.03</v>
      </c>
      <c r="I22" s="18">
        <v>0.03</v>
      </c>
      <c r="J22" s="18">
        <v>0.03</v>
      </c>
      <c r="K22" s="18">
        <v>0.03</v>
      </c>
    </row>
    <row r="23" spans="1:11" x14ac:dyDescent="0.2">
      <c r="A23" s="7">
        <v>19</v>
      </c>
      <c r="B23" s="18">
        <v>1.4999999999999999E-2</v>
      </c>
      <c r="C23" s="18">
        <v>0.02</v>
      </c>
      <c r="D23" s="18">
        <v>0.01</v>
      </c>
      <c r="E23" s="18">
        <v>1.4999999999999999E-2</v>
      </c>
      <c r="F23" s="18">
        <v>0.03</v>
      </c>
      <c r="G23" s="18">
        <v>0.03</v>
      </c>
      <c r="H23" s="18">
        <v>0.03</v>
      </c>
      <c r="I23" s="18">
        <v>0.03</v>
      </c>
      <c r="J23" s="18">
        <v>0.03</v>
      </c>
      <c r="K23" s="18">
        <v>0.03</v>
      </c>
    </row>
    <row r="24" spans="1:11" x14ac:dyDescent="0.2">
      <c r="A24" s="7">
        <v>20</v>
      </c>
      <c r="B24" s="18">
        <v>1.4999999999999999E-2</v>
      </c>
      <c r="C24" s="18">
        <v>0.02</v>
      </c>
      <c r="D24" s="18">
        <v>0.01</v>
      </c>
      <c r="E24" s="18">
        <v>1.4999999999999999E-2</v>
      </c>
      <c r="F24" s="18">
        <v>0.03</v>
      </c>
      <c r="G24" s="18">
        <v>0.03</v>
      </c>
      <c r="H24" s="18">
        <v>0.03</v>
      </c>
      <c r="I24" s="18">
        <v>0.03</v>
      </c>
      <c r="J24" s="18">
        <v>0.03</v>
      </c>
      <c r="K24" s="18">
        <v>0.03</v>
      </c>
    </row>
    <row r="25" spans="1:11" x14ac:dyDescent="0.2">
      <c r="A25" s="7">
        <v>21</v>
      </c>
      <c r="B25" s="18">
        <v>1.4999999999999999E-2</v>
      </c>
      <c r="C25" s="18">
        <v>0.02</v>
      </c>
      <c r="D25" s="18">
        <v>0.01</v>
      </c>
      <c r="E25" s="18">
        <v>1.4999999999999999E-2</v>
      </c>
      <c r="F25" s="18">
        <v>0.03</v>
      </c>
      <c r="G25" s="18">
        <v>0.03</v>
      </c>
      <c r="H25" s="18">
        <v>0.03</v>
      </c>
      <c r="I25" s="18">
        <v>0.03</v>
      </c>
      <c r="J25" s="18">
        <v>0.03</v>
      </c>
      <c r="K25" s="18">
        <v>0.03</v>
      </c>
    </row>
    <row r="26" spans="1:11" x14ac:dyDescent="0.2">
      <c r="A26" s="7">
        <v>22</v>
      </c>
      <c r="B26" s="18">
        <v>1.4999999999999999E-2</v>
      </c>
      <c r="C26" s="18">
        <v>0.02</v>
      </c>
      <c r="D26" s="18">
        <v>0.01</v>
      </c>
      <c r="E26" s="18">
        <v>1.4999999999999999E-2</v>
      </c>
      <c r="F26" s="18">
        <v>0.03</v>
      </c>
      <c r="G26" s="18">
        <v>0.03</v>
      </c>
      <c r="H26" s="18">
        <v>0.03</v>
      </c>
      <c r="I26" s="18">
        <v>0.03</v>
      </c>
      <c r="J26" s="18">
        <v>0.03</v>
      </c>
      <c r="K26" s="18">
        <v>0.03</v>
      </c>
    </row>
    <row r="27" spans="1:11" x14ac:dyDescent="0.2">
      <c r="A27" s="7">
        <v>23</v>
      </c>
      <c r="B27" s="18">
        <v>1.4999999999999999E-2</v>
      </c>
      <c r="C27" s="18">
        <v>0.02</v>
      </c>
      <c r="D27" s="18">
        <v>0.01</v>
      </c>
      <c r="E27" s="18">
        <v>1.4999999999999999E-2</v>
      </c>
      <c r="F27" s="18">
        <v>0.03</v>
      </c>
      <c r="G27" s="18">
        <v>0.03</v>
      </c>
      <c r="H27" s="18">
        <v>0.03</v>
      </c>
      <c r="I27" s="18">
        <v>0.03</v>
      </c>
      <c r="J27" s="18">
        <v>0.03</v>
      </c>
      <c r="K27" s="18">
        <v>0.03</v>
      </c>
    </row>
    <row r="28" spans="1:11" x14ac:dyDescent="0.2">
      <c r="A28" s="7">
        <v>24</v>
      </c>
      <c r="B28" s="18">
        <v>1.4999999999999999E-2</v>
      </c>
      <c r="C28" s="18">
        <v>0.02</v>
      </c>
      <c r="D28" s="18">
        <v>0.01</v>
      </c>
      <c r="E28" s="18">
        <v>1.4999999999999999E-2</v>
      </c>
      <c r="F28" s="18">
        <v>0.03</v>
      </c>
      <c r="G28" s="18">
        <v>0.03</v>
      </c>
      <c r="H28" s="18">
        <v>0.03</v>
      </c>
      <c r="I28" s="18">
        <v>0.03</v>
      </c>
      <c r="J28" s="18">
        <v>0.03</v>
      </c>
      <c r="K28" s="18">
        <v>0.03</v>
      </c>
    </row>
    <row r="29" spans="1:11" x14ac:dyDescent="0.2">
      <c r="A29" s="7">
        <v>25</v>
      </c>
      <c r="B29" s="18">
        <v>1.4999999999999999E-2</v>
      </c>
      <c r="C29" s="18">
        <v>0.02</v>
      </c>
      <c r="D29" s="18">
        <v>0.01</v>
      </c>
      <c r="E29" s="18">
        <v>1.4999999999999999E-2</v>
      </c>
      <c r="F29" s="18">
        <v>0.03</v>
      </c>
      <c r="G29" s="18">
        <v>0.03</v>
      </c>
      <c r="H29" s="18">
        <v>0.03</v>
      </c>
      <c r="I29" s="18">
        <v>0.03</v>
      </c>
      <c r="J29" s="18">
        <v>0.03</v>
      </c>
      <c r="K29" s="18">
        <v>0.03</v>
      </c>
    </row>
    <row r="30" spans="1:11" x14ac:dyDescent="0.2">
      <c r="A30" s="7">
        <v>26</v>
      </c>
      <c r="B30" s="18">
        <v>1.4999999999999999E-2</v>
      </c>
      <c r="C30" s="18">
        <v>0.02</v>
      </c>
      <c r="D30" s="18">
        <v>0.01</v>
      </c>
      <c r="E30" s="18">
        <v>1.4999999999999999E-2</v>
      </c>
      <c r="F30" s="18">
        <v>0.03</v>
      </c>
      <c r="G30" s="18">
        <v>0.03</v>
      </c>
      <c r="H30" s="18">
        <v>0.03</v>
      </c>
      <c r="I30" s="18">
        <v>0.03</v>
      </c>
      <c r="J30" s="18">
        <v>0.03</v>
      </c>
      <c r="K30" s="18">
        <v>0.03</v>
      </c>
    </row>
    <row r="31" spans="1:11" x14ac:dyDescent="0.2">
      <c r="A31" s="7">
        <v>27</v>
      </c>
      <c r="B31" s="18">
        <v>1.4999999999999999E-2</v>
      </c>
      <c r="C31" s="18">
        <v>0.02</v>
      </c>
      <c r="D31" s="18">
        <v>0.01</v>
      </c>
      <c r="E31" s="18">
        <v>1.4999999999999999E-2</v>
      </c>
      <c r="F31" s="18">
        <v>0.03</v>
      </c>
      <c r="G31" s="18">
        <v>0.03</v>
      </c>
      <c r="H31" s="18">
        <v>0.03</v>
      </c>
      <c r="I31" s="18">
        <v>0.03</v>
      </c>
      <c r="J31" s="18">
        <v>0.03</v>
      </c>
      <c r="K31" s="18">
        <v>0.03</v>
      </c>
    </row>
    <row r="32" spans="1:11" x14ac:dyDescent="0.2">
      <c r="A32" s="7">
        <v>28</v>
      </c>
      <c r="B32" s="18">
        <v>1.4999999999999999E-2</v>
      </c>
      <c r="C32" s="18">
        <v>0.02</v>
      </c>
      <c r="D32" s="18">
        <v>0.01</v>
      </c>
      <c r="E32" s="18">
        <v>1.4999999999999999E-2</v>
      </c>
      <c r="F32" s="18">
        <v>0.03</v>
      </c>
      <c r="G32" s="18">
        <v>0.03</v>
      </c>
      <c r="H32" s="18">
        <v>0.03</v>
      </c>
      <c r="I32" s="18">
        <v>0.03</v>
      </c>
      <c r="J32" s="18">
        <v>0.03</v>
      </c>
      <c r="K32" s="18">
        <v>0.03</v>
      </c>
    </row>
    <row r="33" spans="1:11" x14ac:dyDescent="0.2">
      <c r="A33" s="7">
        <v>29</v>
      </c>
      <c r="B33" s="18">
        <v>1.4999999999999999E-2</v>
      </c>
      <c r="C33" s="18">
        <v>0.02</v>
      </c>
      <c r="D33" s="18">
        <v>0.01</v>
      </c>
      <c r="E33" s="18">
        <v>1.4999999999999999E-2</v>
      </c>
      <c r="F33" s="18">
        <v>0.03</v>
      </c>
      <c r="G33" s="18">
        <v>0.03</v>
      </c>
      <c r="H33" s="18">
        <v>0.03</v>
      </c>
      <c r="I33" s="18">
        <v>0.03</v>
      </c>
      <c r="J33" s="18">
        <v>0.03</v>
      </c>
      <c r="K33" s="18">
        <v>0.03</v>
      </c>
    </row>
    <row r="34" spans="1:11" x14ac:dyDescent="0.2">
      <c r="A34" s="7">
        <v>30</v>
      </c>
      <c r="B34" s="18">
        <v>1.4999999999999999E-2</v>
      </c>
      <c r="C34" s="18">
        <v>0.02</v>
      </c>
      <c r="D34" s="18">
        <v>0.01</v>
      </c>
      <c r="E34" s="18">
        <v>1.4999999999999999E-2</v>
      </c>
      <c r="F34" s="18">
        <v>0.03</v>
      </c>
      <c r="G34" s="18">
        <v>0.03</v>
      </c>
      <c r="H34" s="18">
        <v>0.03</v>
      </c>
      <c r="I34" s="18">
        <v>0.03</v>
      </c>
      <c r="J34" s="18">
        <v>0.03</v>
      </c>
      <c r="K34" s="18">
        <v>0.03</v>
      </c>
    </row>
    <row r="35" spans="1:11" x14ac:dyDescent="0.2">
      <c r="A35" s="7">
        <v>31</v>
      </c>
      <c r="B35" s="18">
        <v>1.4999999999999999E-2</v>
      </c>
      <c r="C35" s="18">
        <v>0.02</v>
      </c>
      <c r="D35" s="18">
        <v>0.01</v>
      </c>
      <c r="E35" s="18">
        <v>1.4999999999999999E-2</v>
      </c>
      <c r="F35" s="18">
        <v>0.03</v>
      </c>
      <c r="G35" s="18">
        <v>0.03</v>
      </c>
      <c r="H35" s="18">
        <v>0.03</v>
      </c>
      <c r="I35" s="18">
        <v>0.03</v>
      </c>
      <c r="J35" s="18">
        <v>0.03</v>
      </c>
      <c r="K35" s="18">
        <v>0.03</v>
      </c>
    </row>
    <row r="36" spans="1:11" x14ac:dyDescent="0.2">
      <c r="A36" s="7">
        <v>32</v>
      </c>
      <c r="B36" s="18">
        <v>1.4999999999999999E-2</v>
      </c>
      <c r="C36" s="18">
        <v>0.02</v>
      </c>
      <c r="D36" s="18">
        <v>0.01</v>
      </c>
      <c r="E36" s="18">
        <v>1.4999999999999999E-2</v>
      </c>
      <c r="F36" s="18">
        <v>0.03</v>
      </c>
      <c r="G36" s="18">
        <v>0.03</v>
      </c>
      <c r="H36" s="18">
        <v>0.03</v>
      </c>
      <c r="I36" s="18">
        <v>0.03</v>
      </c>
      <c r="J36" s="18">
        <v>0.03</v>
      </c>
      <c r="K36" s="18">
        <v>0.03</v>
      </c>
    </row>
    <row r="37" spans="1:11" x14ac:dyDescent="0.2">
      <c r="A37" s="7">
        <v>33</v>
      </c>
      <c r="B37" s="18">
        <v>1.4999999999999999E-2</v>
      </c>
      <c r="C37" s="18">
        <v>0.02</v>
      </c>
      <c r="D37" s="18">
        <v>0.01</v>
      </c>
      <c r="E37" s="18">
        <v>1.4999999999999999E-2</v>
      </c>
      <c r="F37" s="18">
        <v>0.03</v>
      </c>
      <c r="G37" s="18">
        <v>0.03</v>
      </c>
      <c r="H37" s="18">
        <v>0.03</v>
      </c>
      <c r="I37" s="18">
        <v>0.03</v>
      </c>
      <c r="J37" s="18">
        <v>0.03</v>
      </c>
      <c r="K37" s="18">
        <v>0.03</v>
      </c>
    </row>
    <row r="38" spans="1:11" x14ac:dyDescent="0.2">
      <c r="A38" s="7">
        <v>34</v>
      </c>
      <c r="B38" s="18">
        <v>1.4999999999999999E-2</v>
      </c>
      <c r="C38" s="18">
        <v>0.02</v>
      </c>
      <c r="D38" s="18">
        <v>0.01</v>
      </c>
      <c r="E38" s="18">
        <v>1.4999999999999999E-2</v>
      </c>
      <c r="F38" s="18">
        <v>0.03</v>
      </c>
      <c r="G38" s="18">
        <v>0.03</v>
      </c>
      <c r="H38" s="18">
        <v>0.03</v>
      </c>
      <c r="I38" s="18">
        <v>0.03</v>
      </c>
      <c r="J38" s="18">
        <v>0.03</v>
      </c>
      <c r="K38" s="18">
        <v>0.03</v>
      </c>
    </row>
    <row r="39" spans="1:11" x14ac:dyDescent="0.2">
      <c r="A39" s="7">
        <v>35</v>
      </c>
      <c r="B39" s="18">
        <v>1.4999999999999999E-2</v>
      </c>
      <c r="C39" s="18">
        <v>0.02</v>
      </c>
      <c r="D39" s="18">
        <v>0.01</v>
      </c>
      <c r="E39" s="18">
        <v>1.4999999999999999E-2</v>
      </c>
      <c r="F39" s="18">
        <v>0.03</v>
      </c>
      <c r="G39" s="18">
        <v>0.03</v>
      </c>
      <c r="H39" s="18">
        <v>0.03</v>
      </c>
      <c r="I39" s="18">
        <v>0.03</v>
      </c>
      <c r="J39" s="18">
        <v>0.03</v>
      </c>
      <c r="K39" s="18">
        <v>0.03</v>
      </c>
    </row>
    <row r="40" spans="1:11" x14ac:dyDescent="0.2">
      <c r="A40" s="7">
        <v>36</v>
      </c>
      <c r="B40" s="18">
        <v>1.4999999999999999E-2</v>
      </c>
      <c r="C40" s="18">
        <v>0.02</v>
      </c>
      <c r="D40" s="18">
        <v>0.01</v>
      </c>
      <c r="E40" s="18">
        <v>1.4999999999999999E-2</v>
      </c>
      <c r="F40" s="18">
        <v>0.03</v>
      </c>
      <c r="G40" s="18">
        <v>0.03</v>
      </c>
      <c r="H40" s="18">
        <v>0.03</v>
      </c>
      <c r="I40" s="18">
        <v>0.03</v>
      </c>
      <c r="J40" s="18">
        <v>0.03</v>
      </c>
      <c r="K40" s="18">
        <v>0.03</v>
      </c>
    </row>
    <row r="41" spans="1:11" x14ac:dyDescent="0.2">
      <c r="A41" s="7">
        <v>37</v>
      </c>
      <c r="B41" s="18">
        <v>1.4999999999999999E-2</v>
      </c>
      <c r="C41" s="18">
        <v>0.02</v>
      </c>
      <c r="D41" s="18">
        <v>0.01</v>
      </c>
      <c r="E41" s="18">
        <v>1.4999999999999999E-2</v>
      </c>
      <c r="F41" s="18">
        <v>0.03</v>
      </c>
      <c r="G41" s="18">
        <v>0.03</v>
      </c>
      <c r="H41" s="18">
        <v>0.03</v>
      </c>
      <c r="I41" s="18">
        <v>0.03</v>
      </c>
      <c r="J41" s="18">
        <v>0.03</v>
      </c>
      <c r="K41" s="18">
        <v>0.03</v>
      </c>
    </row>
    <row r="42" spans="1:11" x14ac:dyDescent="0.2">
      <c r="A42" s="7">
        <v>38</v>
      </c>
      <c r="B42" s="18">
        <v>1.4999999999999999E-2</v>
      </c>
      <c r="C42" s="18">
        <v>0.02</v>
      </c>
      <c r="D42" s="18">
        <v>0.01</v>
      </c>
      <c r="E42" s="18">
        <v>1.4999999999999999E-2</v>
      </c>
      <c r="F42" s="18">
        <v>0.03</v>
      </c>
      <c r="G42" s="18">
        <v>0.03</v>
      </c>
      <c r="H42" s="18">
        <v>0.03</v>
      </c>
      <c r="I42" s="18">
        <v>0.03</v>
      </c>
      <c r="J42" s="18">
        <v>0.03</v>
      </c>
      <c r="K42" s="18">
        <v>0.03</v>
      </c>
    </row>
    <row r="43" spans="1:11" x14ac:dyDescent="0.2">
      <c r="A43" s="7">
        <v>39</v>
      </c>
      <c r="B43" s="18">
        <v>1.4999999999999999E-2</v>
      </c>
      <c r="C43" s="18">
        <v>0.02</v>
      </c>
      <c r="D43" s="18">
        <v>0.01</v>
      </c>
      <c r="E43" s="18">
        <v>1.4999999999999999E-2</v>
      </c>
      <c r="F43" s="18">
        <v>0.03</v>
      </c>
      <c r="G43" s="18">
        <v>0.03</v>
      </c>
      <c r="H43" s="18">
        <v>0.03</v>
      </c>
      <c r="I43" s="18">
        <v>0.03</v>
      </c>
      <c r="J43" s="18">
        <v>0.03</v>
      </c>
      <c r="K43" s="18">
        <v>0.03</v>
      </c>
    </row>
    <row r="44" spans="1:11" x14ac:dyDescent="0.2">
      <c r="A44" s="7">
        <v>40</v>
      </c>
      <c r="B44" s="18">
        <v>1.4999999999999999E-2</v>
      </c>
      <c r="C44" s="18">
        <v>0.02</v>
      </c>
      <c r="D44" s="18">
        <v>0.01</v>
      </c>
      <c r="E44" s="18">
        <v>1.4999999999999999E-2</v>
      </c>
      <c r="F44" s="18">
        <v>0.03</v>
      </c>
      <c r="G44" s="18">
        <v>0.03</v>
      </c>
      <c r="H44" s="18">
        <v>0.03</v>
      </c>
      <c r="I44" s="18">
        <v>0.03</v>
      </c>
      <c r="J44" s="18">
        <v>0.03</v>
      </c>
      <c r="K44" s="18">
        <v>0.03</v>
      </c>
    </row>
    <row r="45" spans="1:11" x14ac:dyDescent="0.2">
      <c r="A45" s="7">
        <v>41</v>
      </c>
      <c r="B45" s="18">
        <v>1.4999999999999999E-2</v>
      </c>
      <c r="C45" s="18">
        <v>0.02</v>
      </c>
      <c r="D45" s="18">
        <v>0.01</v>
      </c>
      <c r="E45" s="18">
        <v>1.4999999999999999E-2</v>
      </c>
      <c r="F45" s="18">
        <v>0.03</v>
      </c>
      <c r="G45" s="18">
        <v>0.03</v>
      </c>
      <c r="H45" s="18">
        <v>0.03</v>
      </c>
      <c r="I45" s="18">
        <v>0.03</v>
      </c>
      <c r="J45" s="18">
        <v>0.03</v>
      </c>
      <c r="K45" s="18">
        <v>0.03</v>
      </c>
    </row>
    <row r="46" spans="1:11" x14ac:dyDescent="0.2">
      <c r="A46" s="7">
        <v>42</v>
      </c>
      <c r="B46" s="18">
        <v>1.4999999999999999E-2</v>
      </c>
      <c r="C46" s="18">
        <v>0.02</v>
      </c>
      <c r="D46" s="18">
        <v>0.01</v>
      </c>
      <c r="E46" s="18">
        <v>1.4999999999999999E-2</v>
      </c>
      <c r="F46" s="18">
        <v>0.03</v>
      </c>
      <c r="G46" s="18">
        <v>0.03</v>
      </c>
      <c r="H46" s="18">
        <v>0.03</v>
      </c>
      <c r="I46" s="18">
        <v>0.03</v>
      </c>
      <c r="J46" s="18">
        <v>0.03</v>
      </c>
      <c r="K46" s="18">
        <v>0.03</v>
      </c>
    </row>
    <row r="47" spans="1:11" x14ac:dyDescent="0.2">
      <c r="A47" s="7">
        <v>43</v>
      </c>
      <c r="B47" s="18">
        <v>1.4999999999999999E-2</v>
      </c>
      <c r="C47" s="18">
        <v>0.02</v>
      </c>
      <c r="D47" s="18">
        <v>0.01</v>
      </c>
      <c r="E47" s="18">
        <v>1.4999999999999999E-2</v>
      </c>
      <c r="F47" s="18">
        <v>0.03</v>
      </c>
      <c r="G47" s="18">
        <v>0.03</v>
      </c>
      <c r="H47" s="18">
        <v>0.03</v>
      </c>
      <c r="I47" s="18">
        <v>0.03</v>
      </c>
      <c r="J47" s="18">
        <v>0.03</v>
      </c>
      <c r="K47" s="18">
        <v>0.03</v>
      </c>
    </row>
    <row r="48" spans="1:11" x14ac:dyDescent="0.2">
      <c r="A48" s="7">
        <v>44</v>
      </c>
      <c r="B48" s="18">
        <v>1.4999999999999999E-2</v>
      </c>
      <c r="C48" s="18">
        <v>0.02</v>
      </c>
      <c r="D48" s="18">
        <v>0.01</v>
      </c>
      <c r="E48" s="18">
        <v>1.4999999999999999E-2</v>
      </c>
      <c r="F48" s="18">
        <v>0.03</v>
      </c>
      <c r="G48" s="18">
        <v>0.03</v>
      </c>
      <c r="H48" s="18">
        <v>0.03</v>
      </c>
      <c r="I48" s="18">
        <v>0.03</v>
      </c>
      <c r="J48" s="18">
        <v>0.03</v>
      </c>
      <c r="K48" s="18">
        <v>0.03</v>
      </c>
    </row>
    <row r="49" spans="1:11" x14ac:dyDescent="0.2">
      <c r="A49" s="7">
        <v>45</v>
      </c>
      <c r="B49" s="18">
        <v>1.4999999999999999E-2</v>
      </c>
      <c r="C49" s="18">
        <v>0.02</v>
      </c>
      <c r="D49" s="18">
        <v>0.01</v>
      </c>
      <c r="E49" s="18">
        <v>1.4999999999999999E-2</v>
      </c>
      <c r="F49" s="18">
        <v>0.03</v>
      </c>
      <c r="G49" s="18">
        <v>0.03</v>
      </c>
      <c r="H49" s="18">
        <v>0.03</v>
      </c>
      <c r="I49" s="18">
        <v>0.03</v>
      </c>
      <c r="J49" s="18">
        <v>0.03</v>
      </c>
      <c r="K49" s="18">
        <v>0.03</v>
      </c>
    </row>
    <row r="50" spans="1:11" x14ac:dyDescent="0.2">
      <c r="A50" s="7">
        <v>46</v>
      </c>
      <c r="B50" s="18">
        <v>1.4999999999999999E-2</v>
      </c>
      <c r="C50" s="18">
        <v>0.02</v>
      </c>
      <c r="D50" s="18">
        <v>0.01</v>
      </c>
      <c r="E50" s="18">
        <v>1.4999999999999999E-2</v>
      </c>
      <c r="F50" s="18">
        <v>0.03</v>
      </c>
      <c r="G50" s="18">
        <v>0.03</v>
      </c>
      <c r="H50" s="18">
        <v>0.03</v>
      </c>
      <c r="I50" s="18">
        <v>0.03</v>
      </c>
      <c r="J50" s="18">
        <v>0.03</v>
      </c>
      <c r="K50" s="18">
        <v>0.03</v>
      </c>
    </row>
    <row r="51" spans="1:11" x14ac:dyDescent="0.2">
      <c r="A51" s="7">
        <v>47</v>
      </c>
      <c r="B51" s="18">
        <v>1.4999999999999999E-2</v>
      </c>
      <c r="C51" s="18">
        <v>0.02</v>
      </c>
      <c r="D51" s="18">
        <v>0.01</v>
      </c>
      <c r="E51" s="18">
        <v>1.4999999999999999E-2</v>
      </c>
      <c r="F51" s="18">
        <v>0.03</v>
      </c>
      <c r="G51" s="18">
        <v>0.03</v>
      </c>
      <c r="H51" s="18">
        <v>0.03</v>
      </c>
      <c r="I51" s="18">
        <v>0.03</v>
      </c>
      <c r="J51" s="18">
        <v>0.03</v>
      </c>
      <c r="K51" s="18">
        <v>0.03</v>
      </c>
    </row>
    <row r="52" spans="1:11" x14ac:dyDescent="0.2">
      <c r="A52" s="7">
        <v>48</v>
      </c>
      <c r="B52" s="18">
        <v>1.4999999999999999E-2</v>
      </c>
      <c r="C52" s="18">
        <v>0.02</v>
      </c>
      <c r="D52" s="18">
        <v>0.01</v>
      </c>
      <c r="E52" s="18">
        <v>1.4999999999999999E-2</v>
      </c>
      <c r="F52" s="18">
        <v>0.03</v>
      </c>
      <c r="G52" s="18">
        <v>0.03</v>
      </c>
      <c r="H52" s="18">
        <v>0.03</v>
      </c>
      <c r="I52" s="18">
        <v>0.03</v>
      </c>
      <c r="J52" s="18">
        <v>0.03</v>
      </c>
      <c r="K52" s="18">
        <v>0.03</v>
      </c>
    </row>
    <row r="53" spans="1:11" x14ac:dyDescent="0.2">
      <c r="A53" s="7">
        <v>49</v>
      </c>
      <c r="B53" s="18">
        <v>1.4999999999999999E-2</v>
      </c>
      <c r="C53" s="18">
        <v>0.02</v>
      </c>
      <c r="D53" s="18">
        <v>0.01</v>
      </c>
      <c r="E53" s="18">
        <v>1.4999999999999999E-2</v>
      </c>
      <c r="F53" s="18">
        <v>0.03</v>
      </c>
      <c r="G53" s="18">
        <v>0.03</v>
      </c>
      <c r="H53" s="18">
        <v>0.03</v>
      </c>
      <c r="I53" s="18">
        <v>0.03</v>
      </c>
      <c r="J53" s="18">
        <v>0.03</v>
      </c>
      <c r="K53" s="18">
        <v>0.03</v>
      </c>
    </row>
    <row r="54" spans="1:11" x14ac:dyDescent="0.2">
      <c r="A54" s="7">
        <v>50</v>
      </c>
      <c r="B54" s="18">
        <v>1.4999999999999999E-2</v>
      </c>
      <c r="C54" s="18">
        <v>0.02</v>
      </c>
      <c r="D54" s="18">
        <v>0.01</v>
      </c>
      <c r="E54" s="18">
        <v>1.4999999999999999E-2</v>
      </c>
      <c r="F54" s="18">
        <v>0.03</v>
      </c>
      <c r="G54" s="18">
        <v>0.03</v>
      </c>
      <c r="H54" s="18">
        <v>0.03</v>
      </c>
      <c r="I54" s="18">
        <v>0.03</v>
      </c>
      <c r="J54" s="18">
        <v>0.03</v>
      </c>
      <c r="K54" s="18">
        <v>0.03</v>
      </c>
    </row>
    <row r="55" spans="1:11" x14ac:dyDescent="0.2">
      <c r="A55" s="7">
        <v>51</v>
      </c>
      <c r="B55" s="18">
        <v>1.4999999999999999E-2</v>
      </c>
      <c r="C55" s="18">
        <v>0.02</v>
      </c>
      <c r="D55" s="18">
        <v>0.01</v>
      </c>
      <c r="E55" s="18">
        <v>1.4999999999999999E-2</v>
      </c>
      <c r="F55" s="18">
        <v>0.03</v>
      </c>
      <c r="G55" s="18">
        <v>0.03</v>
      </c>
      <c r="H55" s="18">
        <v>0.03</v>
      </c>
      <c r="I55" s="18">
        <v>0.03</v>
      </c>
      <c r="J55" s="18">
        <v>0.03</v>
      </c>
      <c r="K55" s="18">
        <v>0.03</v>
      </c>
    </row>
    <row r="56" spans="1:11" x14ac:dyDescent="0.2">
      <c r="A56" s="7">
        <v>52</v>
      </c>
      <c r="B56" s="18">
        <v>1.4999999999999999E-2</v>
      </c>
      <c r="C56" s="18">
        <v>0.02</v>
      </c>
      <c r="D56" s="18">
        <v>0.01</v>
      </c>
      <c r="E56" s="18">
        <v>1.4999999999999999E-2</v>
      </c>
      <c r="F56" s="18">
        <v>0.03</v>
      </c>
      <c r="G56" s="18">
        <v>0.03</v>
      </c>
      <c r="H56" s="18">
        <v>0.03</v>
      </c>
      <c r="I56" s="18">
        <v>0.03</v>
      </c>
      <c r="J56" s="18">
        <v>0.03</v>
      </c>
      <c r="K56" s="18">
        <v>0.03</v>
      </c>
    </row>
    <row r="57" spans="1:11" x14ac:dyDescent="0.2">
      <c r="A57" s="7">
        <v>53</v>
      </c>
      <c r="B57" s="18">
        <v>1.4999999999999999E-2</v>
      </c>
      <c r="C57" s="18">
        <v>0.02</v>
      </c>
      <c r="D57" s="18">
        <v>0.01</v>
      </c>
      <c r="E57" s="18">
        <v>1.4999999999999999E-2</v>
      </c>
      <c r="F57" s="18">
        <v>0.03</v>
      </c>
      <c r="G57" s="18">
        <v>0.03</v>
      </c>
      <c r="H57" s="18">
        <v>0.03</v>
      </c>
      <c r="I57" s="18">
        <v>0.03</v>
      </c>
      <c r="J57" s="18">
        <v>0.03</v>
      </c>
      <c r="K57" s="18">
        <v>0.03</v>
      </c>
    </row>
    <row r="58" spans="1:11" x14ac:dyDescent="0.2">
      <c r="A58" s="7">
        <v>54</v>
      </c>
      <c r="B58" s="18">
        <v>1.4999999999999999E-2</v>
      </c>
      <c r="C58" s="18">
        <v>0.02</v>
      </c>
      <c r="D58" s="18">
        <v>0.01</v>
      </c>
      <c r="E58" s="18">
        <v>1.4999999999999999E-2</v>
      </c>
      <c r="F58" s="18">
        <v>0.03</v>
      </c>
      <c r="G58" s="18">
        <v>0.03</v>
      </c>
      <c r="H58" s="18">
        <v>0.03</v>
      </c>
      <c r="I58" s="18">
        <v>0.03</v>
      </c>
      <c r="J58" s="18">
        <v>0.03</v>
      </c>
      <c r="K58" s="18">
        <v>0.03</v>
      </c>
    </row>
    <row r="59" spans="1:11" x14ac:dyDescent="0.2">
      <c r="A59" s="7">
        <v>55</v>
      </c>
      <c r="B59" s="18">
        <v>1.4999999999999999E-2</v>
      </c>
      <c r="C59" s="18">
        <v>0.02</v>
      </c>
      <c r="D59" s="18">
        <v>0.01</v>
      </c>
      <c r="E59" s="18">
        <v>1.4999999999999999E-2</v>
      </c>
      <c r="F59" s="18">
        <v>0.03</v>
      </c>
      <c r="G59" s="18">
        <v>0.03</v>
      </c>
      <c r="H59" s="18">
        <v>0.03</v>
      </c>
      <c r="I59" s="18">
        <v>0.03</v>
      </c>
      <c r="J59" s="18">
        <v>0.03</v>
      </c>
      <c r="K59" s="18">
        <v>0.03</v>
      </c>
    </row>
    <row r="60" spans="1:11" x14ac:dyDescent="0.2">
      <c r="A60" s="7">
        <v>56</v>
      </c>
      <c r="B60" s="18">
        <v>1.4999999999999999E-2</v>
      </c>
      <c r="C60" s="18">
        <v>0.02</v>
      </c>
      <c r="D60" s="18">
        <v>0.01</v>
      </c>
      <c r="E60" s="18">
        <v>1.4999999999999999E-2</v>
      </c>
      <c r="F60" s="18">
        <v>0.03</v>
      </c>
      <c r="G60" s="18">
        <v>0.03</v>
      </c>
      <c r="H60" s="18">
        <v>0.03</v>
      </c>
      <c r="I60" s="18">
        <v>0.03</v>
      </c>
      <c r="J60" s="18">
        <v>0.03</v>
      </c>
      <c r="K60" s="18">
        <v>0.03</v>
      </c>
    </row>
    <row r="61" spans="1:11" x14ac:dyDescent="0.2">
      <c r="A61" s="7">
        <v>57</v>
      </c>
      <c r="B61" s="18">
        <v>1.4999999999999999E-2</v>
      </c>
      <c r="C61" s="18">
        <v>0.02</v>
      </c>
      <c r="D61" s="18">
        <v>0.01</v>
      </c>
      <c r="E61" s="18">
        <v>1.4999999999999999E-2</v>
      </c>
      <c r="F61" s="18">
        <v>0.03</v>
      </c>
      <c r="G61" s="18">
        <v>0.03</v>
      </c>
      <c r="H61" s="18">
        <v>0.03</v>
      </c>
      <c r="I61" s="18">
        <v>0.03</v>
      </c>
      <c r="J61" s="18">
        <v>0.03</v>
      </c>
      <c r="K61" s="18">
        <v>0.03</v>
      </c>
    </row>
    <row r="62" spans="1:11" x14ac:dyDescent="0.2">
      <c r="A62" s="7">
        <v>58</v>
      </c>
      <c r="B62" s="18">
        <v>1.4999999999999999E-2</v>
      </c>
      <c r="C62" s="18">
        <v>0.02</v>
      </c>
      <c r="D62" s="18">
        <v>0.01</v>
      </c>
      <c r="E62" s="18">
        <v>1.4999999999999999E-2</v>
      </c>
      <c r="F62" s="18">
        <v>0.03</v>
      </c>
      <c r="G62" s="18">
        <v>0.03</v>
      </c>
      <c r="H62" s="18">
        <v>0.03</v>
      </c>
      <c r="I62" s="18">
        <v>0.03</v>
      </c>
      <c r="J62" s="18">
        <v>0.03</v>
      </c>
      <c r="K62" s="18">
        <v>0.03</v>
      </c>
    </row>
    <row r="63" spans="1:11" x14ac:dyDescent="0.2">
      <c r="A63" s="7">
        <v>59</v>
      </c>
      <c r="B63" s="18">
        <v>1.4999999999999999E-2</v>
      </c>
      <c r="C63" s="18">
        <v>0.02</v>
      </c>
      <c r="D63" s="18">
        <v>0.01</v>
      </c>
      <c r="E63" s="18">
        <v>1.4999999999999999E-2</v>
      </c>
      <c r="F63" s="18">
        <v>0.03</v>
      </c>
      <c r="G63" s="18">
        <v>0.03</v>
      </c>
      <c r="H63" s="18">
        <v>0.03</v>
      </c>
      <c r="I63" s="18">
        <v>0.03</v>
      </c>
      <c r="J63" s="18">
        <v>0.03</v>
      </c>
      <c r="K63" s="18">
        <v>0.03</v>
      </c>
    </row>
    <row r="64" spans="1:11" x14ac:dyDescent="0.2">
      <c r="A64" s="7">
        <v>60</v>
      </c>
      <c r="B64" s="18">
        <v>1.4999999999999999E-2</v>
      </c>
      <c r="C64" s="18">
        <v>0.02</v>
      </c>
      <c r="D64" s="18">
        <v>0.01</v>
      </c>
      <c r="E64" s="18">
        <v>1.4999999999999999E-2</v>
      </c>
      <c r="F64" s="18">
        <v>0.03</v>
      </c>
      <c r="G64" s="18">
        <v>0.03</v>
      </c>
      <c r="H64" s="18">
        <v>0.03</v>
      </c>
      <c r="I64" s="18">
        <v>0.03</v>
      </c>
      <c r="J64" s="18">
        <v>0.03</v>
      </c>
      <c r="K64" s="18">
        <v>0.03</v>
      </c>
    </row>
    <row r="65" spans="1:11" x14ac:dyDescent="0.2">
      <c r="A65" s="7">
        <v>61</v>
      </c>
      <c r="B65" s="18">
        <v>1.4999999999999999E-2</v>
      </c>
      <c r="C65" s="18">
        <v>0.02</v>
      </c>
      <c r="D65" s="18">
        <v>0.01</v>
      </c>
      <c r="E65" s="18">
        <v>1.4999999999999999E-2</v>
      </c>
      <c r="F65" s="18">
        <v>0.03</v>
      </c>
      <c r="G65" s="18">
        <v>0.03</v>
      </c>
      <c r="H65" s="18">
        <v>0.03</v>
      </c>
      <c r="I65" s="18">
        <v>0.03</v>
      </c>
      <c r="J65" s="18">
        <v>0.03</v>
      </c>
      <c r="K65" s="18">
        <v>0.03</v>
      </c>
    </row>
    <row r="66" spans="1:11" x14ac:dyDescent="0.2">
      <c r="A66" s="7">
        <v>62</v>
      </c>
      <c r="B66" s="18">
        <v>1.4999999999999999E-2</v>
      </c>
      <c r="C66" s="18">
        <v>0.02</v>
      </c>
      <c r="D66" s="18">
        <v>0.01</v>
      </c>
      <c r="E66" s="18">
        <v>1.4999999999999999E-2</v>
      </c>
      <c r="F66" s="18">
        <v>0.03</v>
      </c>
      <c r="G66" s="18">
        <v>0.03</v>
      </c>
      <c r="H66" s="18">
        <v>0.03</v>
      </c>
      <c r="I66" s="18">
        <v>0.03</v>
      </c>
      <c r="J66" s="18">
        <v>0.03</v>
      </c>
      <c r="K66" s="18">
        <v>0.03</v>
      </c>
    </row>
    <row r="67" spans="1:11" x14ac:dyDescent="0.2">
      <c r="A67" s="7">
        <v>63</v>
      </c>
      <c r="B67" s="18">
        <v>1.4999999999999999E-2</v>
      </c>
      <c r="C67" s="18">
        <v>0.02</v>
      </c>
      <c r="D67" s="18">
        <v>0.01</v>
      </c>
      <c r="E67" s="18">
        <v>1.4999999999999999E-2</v>
      </c>
      <c r="F67" s="18">
        <v>0.03</v>
      </c>
      <c r="G67" s="18">
        <v>0.03</v>
      </c>
      <c r="H67" s="18">
        <v>0.03</v>
      </c>
      <c r="I67" s="18">
        <v>0.03</v>
      </c>
      <c r="J67" s="18">
        <v>0.03</v>
      </c>
      <c r="K67" s="18">
        <v>0.03</v>
      </c>
    </row>
    <row r="68" spans="1:11" x14ac:dyDescent="0.2">
      <c r="A68" s="7">
        <v>64</v>
      </c>
      <c r="B68" s="18">
        <v>1.4999999999999999E-2</v>
      </c>
      <c r="C68" s="18">
        <v>0.02</v>
      </c>
      <c r="D68" s="18">
        <v>0.01</v>
      </c>
      <c r="E68" s="18">
        <v>1.4999999999999999E-2</v>
      </c>
      <c r="F68" s="18">
        <v>0.03</v>
      </c>
      <c r="G68" s="18">
        <v>0.03</v>
      </c>
      <c r="H68" s="18">
        <v>0.03</v>
      </c>
      <c r="I68" s="18">
        <v>0.03</v>
      </c>
      <c r="J68" s="18">
        <v>0.03</v>
      </c>
      <c r="K68" s="18">
        <v>0.03</v>
      </c>
    </row>
    <row r="69" spans="1:11" x14ac:dyDescent="0.2">
      <c r="A69" s="7">
        <v>65</v>
      </c>
      <c r="B69" s="18">
        <v>1.4999999999999999E-2</v>
      </c>
      <c r="C69" s="18">
        <v>0.02</v>
      </c>
      <c r="D69" s="18">
        <v>0.01</v>
      </c>
      <c r="E69" s="18">
        <v>1.4999999999999999E-2</v>
      </c>
      <c r="F69" s="18">
        <v>0.03</v>
      </c>
      <c r="G69" s="18">
        <v>0.03</v>
      </c>
      <c r="H69" s="18">
        <v>0.03</v>
      </c>
      <c r="I69" s="18">
        <v>0.03</v>
      </c>
      <c r="J69" s="18">
        <v>0.03</v>
      </c>
      <c r="K69" s="18">
        <v>0.03</v>
      </c>
    </row>
    <row r="70" spans="1:11" x14ac:dyDescent="0.2">
      <c r="A70" s="7">
        <v>66</v>
      </c>
      <c r="B70" s="18">
        <v>1.4999999999999999E-2</v>
      </c>
      <c r="C70" s="18">
        <v>0.02</v>
      </c>
      <c r="D70" s="18">
        <v>0.01</v>
      </c>
      <c r="E70" s="18">
        <v>1.4999999999999999E-2</v>
      </c>
      <c r="F70" s="18">
        <v>0.03</v>
      </c>
      <c r="G70" s="18">
        <v>0.03</v>
      </c>
      <c r="H70" s="18">
        <v>0.03</v>
      </c>
      <c r="I70" s="18">
        <v>0.03</v>
      </c>
      <c r="J70" s="18">
        <v>0.03</v>
      </c>
      <c r="K70" s="18">
        <v>0.03</v>
      </c>
    </row>
    <row r="71" spans="1:11" x14ac:dyDescent="0.2">
      <c r="A71" s="7">
        <v>67</v>
      </c>
      <c r="B71" s="18">
        <v>1.4999999999999999E-2</v>
      </c>
      <c r="C71" s="18">
        <v>0.02</v>
      </c>
      <c r="D71" s="18">
        <v>0.01</v>
      </c>
      <c r="E71" s="18">
        <v>1.4999999999999999E-2</v>
      </c>
      <c r="F71" s="18">
        <v>0.03</v>
      </c>
      <c r="G71" s="18">
        <v>0.03</v>
      </c>
      <c r="H71" s="18">
        <v>0.03</v>
      </c>
      <c r="I71" s="18">
        <v>0.03</v>
      </c>
      <c r="J71" s="18">
        <v>0.03</v>
      </c>
      <c r="K71" s="18">
        <v>0.03</v>
      </c>
    </row>
    <row r="72" spans="1:11" x14ac:dyDescent="0.2">
      <c r="A72" s="7">
        <v>68</v>
      </c>
      <c r="B72" s="18">
        <v>1.4999999999999999E-2</v>
      </c>
      <c r="C72" s="18">
        <v>0.02</v>
      </c>
      <c r="D72" s="18">
        <v>0.01</v>
      </c>
      <c r="E72" s="18">
        <v>1.4999999999999999E-2</v>
      </c>
      <c r="F72" s="18">
        <v>0.03</v>
      </c>
      <c r="G72" s="18">
        <v>0.03</v>
      </c>
      <c r="H72" s="18">
        <v>0.03</v>
      </c>
      <c r="I72" s="18">
        <v>0.03</v>
      </c>
      <c r="J72" s="18">
        <v>0.03</v>
      </c>
      <c r="K72" s="18">
        <v>0.03</v>
      </c>
    </row>
    <row r="73" spans="1:11" x14ac:dyDescent="0.2">
      <c r="A73" s="7">
        <v>69</v>
      </c>
      <c r="B73" s="18">
        <v>1.4999999999999999E-2</v>
      </c>
      <c r="C73" s="18">
        <v>0.02</v>
      </c>
      <c r="D73" s="18">
        <v>0.01</v>
      </c>
      <c r="E73" s="18">
        <v>1.4999999999999999E-2</v>
      </c>
      <c r="F73" s="18">
        <v>0.03</v>
      </c>
      <c r="G73" s="18">
        <v>0.03</v>
      </c>
      <c r="H73" s="18">
        <v>0.03</v>
      </c>
      <c r="I73" s="18">
        <v>0.03</v>
      </c>
      <c r="J73" s="18">
        <v>0.03</v>
      </c>
      <c r="K73" s="18">
        <v>0.03</v>
      </c>
    </row>
    <row r="74" spans="1:11" x14ac:dyDescent="0.2">
      <c r="A74" s="7">
        <v>70</v>
      </c>
      <c r="B74" s="18">
        <v>1.4999999999999999E-2</v>
      </c>
      <c r="C74" s="18">
        <v>0.02</v>
      </c>
      <c r="D74" s="18">
        <v>0.01</v>
      </c>
      <c r="E74" s="18">
        <v>1.4999999999999999E-2</v>
      </c>
      <c r="F74" s="18">
        <v>0.03</v>
      </c>
      <c r="G74" s="18">
        <v>0.03</v>
      </c>
      <c r="H74" s="18">
        <v>0.03</v>
      </c>
      <c r="I74" s="18">
        <v>0.03</v>
      </c>
      <c r="J74" s="18">
        <v>0.03</v>
      </c>
      <c r="K74" s="18">
        <v>0.03</v>
      </c>
    </row>
    <row r="75" spans="1:11" x14ac:dyDescent="0.2">
      <c r="A75" s="7">
        <v>71</v>
      </c>
      <c r="B75" s="18">
        <v>1.4999999999999999E-2</v>
      </c>
      <c r="C75" s="18">
        <v>0.02</v>
      </c>
      <c r="D75" s="18">
        <v>0.01</v>
      </c>
      <c r="E75" s="18">
        <v>1.4999999999999999E-2</v>
      </c>
      <c r="F75" s="18">
        <v>0.03</v>
      </c>
      <c r="G75" s="18">
        <v>0.03</v>
      </c>
      <c r="H75" s="18">
        <v>0.03</v>
      </c>
      <c r="I75" s="18">
        <v>0.03</v>
      </c>
      <c r="J75" s="18">
        <v>0.03</v>
      </c>
      <c r="K75" s="18">
        <v>0.03</v>
      </c>
    </row>
    <row r="76" spans="1:11" x14ac:dyDescent="0.2">
      <c r="A76" s="7">
        <v>72</v>
      </c>
      <c r="B76" s="18">
        <v>1.4999999999999999E-2</v>
      </c>
      <c r="C76" s="18">
        <v>0.02</v>
      </c>
      <c r="D76" s="18">
        <v>0.01</v>
      </c>
      <c r="E76" s="18">
        <v>1.4999999999999999E-2</v>
      </c>
      <c r="F76" s="18">
        <v>0.03</v>
      </c>
      <c r="G76" s="18">
        <v>0.03</v>
      </c>
      <c r="H76" s="18">
        <v>0.03</v>
      </c>
      <c r="I76" s="18">
        <v>0.03</v>
      </c>
      <c r="J76" s="18">
        <v>0.03</v>
      </c>
      <c r="K76" s="18">
        <v>0.03</v>
      </c>
    </row>
    <row r="77" spans="1:11" x14ac:dyDescent="0.2">
      <c r="A77" s="7">
        <v>73</v>
      </c>
      <c r="B77" s="18">
        <v>1.4999999999999999E-2</v>
      </c>
      <c r="C77" s="18">
        <v>0.02</v>
      </c>
      <c r="D77" s="18">
        <v>0.01</v>
      </c>
      <c r="E77" s="18">
        <v>1.4999999999999999E-2</v>
      </c>
      <c r="F77" s="18">
        <v>0.03</v>
      </c>
      <c r="G77" s="18">
        <v>0.03</v>
      </c>
      <c r="H77" s="18">
        <v>0.03</v>
      </c>
      <c r="I77" s="18">
        <v>0.03</v>
      </c>
      <c r="J77" s="18">
        <v>0.03</v>
      </c>
      <c r="K77" s="18">
        <v>0.03</v>
      </c>
    </row>
    <row r="78" spans="1:11" x14ac:dyDescent="0.2">
      <c r="A78" s="7">
        <v>74</v>
      </c>
      <c r="B78" s="18">
        <v>1.4999999999999999E-2</v>
      </c>
      <c r="C78" s="18">
        <v>0.02</v>
      </c>
      <c r="D78" s="18">
        <v>0.01</v>
      </c>
      <c r="E78" s="18">
        <v>1.4999999999999999E-2</v>
      </c>
      <c r="F78" s="18">
        <v>0.03</v>
      </c>
      <c r="G78" s="18">
        <v>0.03</v>
      </c>
      <c r="H78" s="18">
        <v>0.03</v>
      </c>
      <c r="I78" s="18">
        <v>0.03</v>
      </c>
      <c r="J78" s="18">
        <v>0.03</v>
      </c>
      <c r="K78" s="18">
        <v>0.03</v>
      </c>
    </row>
    <row r="79" spans="1:11" x14ac:dyDescent="0.2">
      <c r="A79" s="7">
        <v>75</v>
      </c>
      <c r="B79" s="18">
        <v>1.4999999999999999E-2</v>
      </c>
      <c r="C79" s="18">
        <v>0.02</v>
      </c>
      <c r="D79" s="18">
        <v>0.01</v>
      </c>
      <c r="E79" s="18">
        <v>1.4999999999999999E-2</v>
      </c>
      <c r="F79" s="18">
        <v>0.03</v>
      </c>
      <c r="G79" s="18">
        <v>0.03</v>
      </c>
      <c r="H79" s="18">
        <v>0.03</v>
      </c>
      <c r="I79" s="18">
        <v>0.03</v>
      </c>
      <c r="J79" s="18">
        <v>0.03</v>
      </c>
      <c r="K79" s="18">
        <v>0.03</v>
      </c>
    </row>
    <row r="80" spans="1:11" x14ac:dyDescent="0.2">
      <c r="A80" s="7">
        <v>76</v>
      </c>
      <c r="B80" s="18">
        <v>1.4999999999999999E-2</v>
      </c>
      <c r="C80" s="18">
        <v>0.02</v>
      </c>
      <c r="D80" s="18">
        <v>0.01</v>
      </c>
      <c r="E80" s="18">
        <v>1.4999999999999999E-2</v>
      </c>
      <c r="F80" s="18">
        <v>0.03</v>
      </c>
      <c r="G80" s="18">
        <v>0.03</v>
      </c>
      <c r="H80" s="18">
        <v>0.03</v>
      </c>
      <c r="I80" s="18">
        <v>0.03</v>
      </c>
      <c r="J80" s="18">
        <v>0.03</v>
      </c>
      <c r="K80" s="18">
        <v>0.03</v>
      </c>
    </row>
    <row r="81" spans="1:11" x14ac:dyDescent="0.2">
      <c r="A81" s="7">
        <v>77</v>
      </c>
      <c r="B81" s="18">
        <v>1.4999999999999999E-2</v>
      </c>
      <c r="C81" s="18">
        <v>0.02</v>
      </c>
      <c r="D81" s="18">
        <v>0.01</v>
      </c>
      <c r="E81" s="18">
        <v>1.4999999999999999E-2</v>
      </c>
      <c r="F81" s="18">
        <v>0.03</v>
      </c>
      <c r="G81" s="18">
        <v>0.03</v>
      </c>
      <c r="H81" s="18">
        <v>0.03</v>
      </c>
      <c r="I81" s="18">
        <v>0.03</v>
      </c>
      <c r="J81" s="18">
        <v>0.03</v>
      </c>
      <c r="K81" s="18">
        <v>0.03</v>
      </c>
    </row>
    <row r="82" spans="1:11" x14ac:dyDescent="0.2">
      <c r="A82" s="7">
        <v>78</v>
      </c>
      <c r="B82" s="18">
        <v>1.4999999999999999E-2</v>
      </c>
      <c r="C82" s="18">
        <v>0.02</v>
      </c>
      <c r="D82" s="18">
        <v>0.01</v>
      </c>
      <c r="E82" s="18">
        <v>1.4999999999999999E-2</v>
      </c>
      <c r="F82" s="18">
        <v>0.03</v>
      </c>
      <c r="G82" s="18">
        <v>0.03</v>
      </c>
      <c r="H82" s="18">
        <v>0.03</v>
      </c>
      <c r="I82" s="18">
        <v>0.03</v>
      </c>
      <c r="J82" s="18">
        <v>0.03</v>
      </c>
      <c r="K82" s="18">
        <v>0.03</v>
      </c>
    </row>
    <row r="83" spans="1:11" x14ac:dyDescent="0.2">
      <c r="A83" s="7">
        <v>79</v>
      </c>
      <c r="B83" s="18">
        <v>1.4999999999999999E-2</v>
      </c>
      <c r="C83" s="18">
        <v>0.02</v>
      </c>
      <c r="D83" s="18">
        <v>0.01</v>
      </c>
      <c r="E83" s="18">
        <v>1.4999999999999999E-2</v>
      </c>
      <c r="F83" s="18">
        <v>0.03</v>
      </c>
      <c r="G83" s="18">
        <v>0.03</v>
      </c>
      <c r="H83" s="18">
        <v>0.03</v>
      </c>
      <c r="I83" s="18">
        <v>0.03</v>
      </c>
      <c r="J83" s="18">
        <v>0.03</v>
      </c>
      <c r="K83" s="18">
        <v>0.03</v>
      </c>
    </row>
    <row r="84" spans="1:11" x14ac:dyDescent="0.2">
      <c r="A84" s="7">
        <v>80</v>
      </c>
      <c r="B84" s="18">
        <v>1.4999999999999999E-2</v>
      </c>
      <c r="C84" s="18">
        <v>0.02</v>
      </c>
      <c r="D84" s="18">
        <v>0.01</v>
      </c>
      <c r="E84" s="18">
        <v>1.4999999999999999E-2</v>
      </c>
      <c r="F84" s="18">
        <v>0.03</v>
      </c>
      <c r="G84" s="18">
        <v>0.03</v>
      </c>
      <c r="H84" s="18">
        <v>0.03</v>
      </c>
      <c r="I84" s="18">
        <v>0.03</v>
      </c>
      <c r="J84" s="18">
        <v>0.03</v>
      </c>
      <c r="K84" s="18">
        <v>0.03</v>
      </c>
    </row>
    <row r="85" spans="1:11" x14ac:dyDescent="0.2">
      <c r="A85" s="7">
        <v>81</v>
      </c>
      <c r="B85" s="18">
        <v>1.4999999999999999E-2</v>
      </c>
      <c r="C85" s="18">
        <v>0.02</v>
      </c>
      <c r="D85" s="18">
        <v>0.01</v>
      </c>
      <c r="E85" s="18">
        <v>1.4999999999999999E-2</v>
      </c>
      <c r="F85" s="18">
        <v>0.03</v>
      </c>
      <c r="G85" s="18">
        <v>0.03</v>
      </c>
      <c r="H85" s="18">
        <v>0.03</v>
      </c>
      <c r="I85" s="18">
        <v>0.03</v>
      </c>
      <c r="J85" s="18">
        <v>0.03</v>
      </c>
      <c r="K85" s="18">
        <v>0.03</v>
      </c>
    </row>
    <row r="86" spans="1:11" x14ac:dyDescent="0.2">
      <c r="A86" s="7">
        <v>82</v>
      </c>
      <c r="B86" s="18">
        <v>1.4999999999999999E-2</v>
      </c>
      <c r="C86" s="18">
        <v>0.02</v>
      </c>
      <c r="D86" s="18">
        <v>0.01</v>
      </c>
      <c r="E86" s="18">
        <v>1.4999999999999999E-2</v>
      </c>
      <c r="F86" s="18">
        <v>0.03</v>
      </c>
      <c r="G86" s="18">
        <v>0.03</v>
      </c>
      <c r="H86" s="18">
        <v>0.03</v>
      </c>
      <c r="I86" s="18">
        <v>0.03</v>
      </c>
      <c r="J86" s="18">
        <v>0.03</v>
      </c>
      <c r="K86" s="18">
        <v>0.03</v>
      </c>
    </row>
    <row r="87" spans="1:11" x14ac:dyDescent="0.2">
      <c r="A87" s="7">
        <v>83</v>
      </c>
      <c r="B87" s="18">
        <v>1.4999999999999999E-2</v>
      </c>
      <c r="C87" s="18">
        <v>0.02</v>
      </c>
      <c r="D87" s="18">
        <v>0.01</v>
      </c>
      <c r="E87" s="18">
        <v>1.4999999999999999E-2</v>
      </c>
      <c r="F87" s="18">
        <v>0.03</v>
      </c>
      <c r="G87" s="18">
        <v>0.03</v>
      </c>
      <c r="H87" s="18">
        <v>0.03</v>
      </c>
      <c r="I87" s="18">
        <v>0.03</v>
      </c>
      <c r="J87" s="18">
        <v>0.03</v>
      </c>
      <c r="K87" s="18">
        <v>0.03</v>
      </c>
    </row>
    <row r="88" spans="1:11" x14ac:dyDescent="0.2">
      <c r="A88" s="7">
        <v>84</v>
      </c>
      <c r="B88" s="18">
        <v>1.4999999999999999E-2</v>
      </c>
      <c r="C88" s="18">
        <v>0.02</v>
      </c>
      <c r="D88" s="18">
        <v>0.01</v>
      </c>
      <c r="E88" s="18">
        <v>1.4999999999999999E-2</v>
      </c>
      <c r="F88" s="18">
        <v>0.03</v>
      </c>
      <c r="G88" s="18">
        <v>0.03</v>
      </c>
      <c r="H88" s="18">
        <v>0.03</v>
      </c>
      <c r="I88" s="18">
        <v>0.03</v>
      </c>
      <c r="J88" s="18">
        <v>0.03</v>
      </c>
      <c r="K88" s="18">
        <v>0.03</v>
      </c>
    </row>
    <row r="89" spans="1:11" x14ac:dyDescent="0.2">
      <c r="A89" s="7">
        <v>85</v>
      </c>
      <c r="B89" s="18">
        <v>1.4999999999999999E-2</v>
      </c>
      <c r="C89" s="18">
        <v>0.02</v>
      </c>
      <c r="D89" s="18">
        <v>0.01</v>
      </c>
      <c r="E89" s="18">
        <v>1.4999999999999999E-2</v>
      </c>
      <c r="F89" s="18">
        <v>0.03</v>
      </c>
      <c r="G89" s="18">
        <v>0.03</v>
      </c>
      <c r="H89" s="18">
        <v>0.03</v>
      </c>
      <c r="I89" s="18">
        <v>0.03</v>
      </c>
      <c r="J89" s="18">
        <v>0.03</v>
      </c>
      <c r="K89" s="18">
        <v>0.03</v>
      </c>
    </row>
    <row r="90" spans="1:11" x14ac:dyDescent="0.2">
      <c r="A90" s="7">
        <v>86</v>
      </c>
      <c r="B90" s="18">
        <v>1.4999999999999999E-2</v>
      </c>
      <c r="C90" s="18">
        <v>0.02</v>
      </c>
      <c r="D90" s="18">
        <v>0.01</v>
      </c>
      <c r="E90" s="18">
        <v>1.4999999999999999E-2</v>
      </c>
      <c r="F90" s="18">
        <v>0.03</v>
      </c>
      <c r="G90" s="18">
        <v>0.03</v>
      </c>
      <c r="H90" s="18">
        <v>0.03</v>
      </c>
      <c r="I90" s="18">
        <v>0.03</v>
      </c>
      <c r="J90" s="18">
        <v>0.03</v>
      </c>
      <c r="K90" s="18">
        <v>0.03</v>
      </c>
    </row>
    <row r="91" spans="1:11" x14ac:dyDescent="0.2">
      <c r="A91" s="7">
        <v>87</v>
      </c>
      <c r="B91" s="18">
        <v>1.4999999999999999E-2</v>
      </c>
      <c r="C91" s="18">
        <v>0.02</v>
      </c>
      <c r="D91" s="18">
        <v>0.01</v>
      </c>
      <c r="E91" s="18">
        <v>1.4999999999999999E-2</v>
      </c>
      <c r="F91" s="18">
        <v>0.03</v>
      </c>
      <c r="G91" s="18">
        <v>0.03</v>
      </c>
      <c r="H91" s="18">
        <v>0.03</v>
      </c>
      <c r="I91" s="18">
        <v>0.03</v>
      </c>
      <c r="J91" s="18">
        <v>0.03</v>
      </c>
      <c r="K91" s="18">
        <v>0.03</v>
      </c>
    </row>
    <row r="92" spans="1:11" x14ac:dyDescent="0.2">
      <c r="A92" s="7">
        <v>88</v>
      </c>
      <c r="B92" s="18">
        <v>1.4999999999999999E-2</v>
      </c>
      <c r="C92" s="18">
        <v>0.02</v>
      </c>
      <c r="D92" s="18">
        <v>0.01</v>
      </c>
      <c r="E92" s="18">
        <v>1.4999999999999999E-2</v>
      </c>
      <c r="F92" s="18">
        <v>0.03</v>
      </c>
      <c r="G92" s="18">
        <v>0.03</v>
      </c>
      <c r="H92" s="18">
        <v>0.03</v>
      </c>
      <c r="I92" s="18">
        <v>0.03</v>
      </c>
      <c r="J92" s="18">
        <v>0.03</v>
      </c>
      <c r="K92" s="18">
        <v>0.03</v>
      </c>
    </row>
    <row r="93" spans="1:11" x14ac:dyDescent="0.2">
      <c r="A93" s="7">
        <v>89</v>
      </c>
      <c r="B93" s="18">
        <v>1.4999999999999999E-2</v>
      </c>
      <c r="C93" s="18">
        <v>0.02</v>
      </c>
      <c r="D93" s="18">
        <v>0.01</v>
      </c>
      <c r="E93" s="18">
        <v>1.4999999999999999E-2</v>
      </c>
      <c r="F93" s="18">
        <v>0.03</v>
      </c>
      <c r="G93" s="18">
        <v>0.03</v>
      </c>
      <c r="H93" s="18">
        <v>0.03</v>
      </c>
      <c r="I93" s="18">
        <v>0.03</v>
      </c>
      <c r="J93" s="18">
        <v>0.03</v>
      </c>
      <c r="K93" s="18">
        <v>0.03</v>
      </c>
    </row>
    <row r="94" spans="1:11" x14ac:dyDescent="0.2">
      <c r="A94" s="7">
        <v>90</v>
      </c>
      <c r="B94" s="18">
        <v>1.4999999999999999E-2</v>
      </c>
      <c r="C94" s="18">
        <v>0.02</v>
      </c>
      <c r="D94" s="18">
        <v>0.01</v>
      </c>
      <c r="E94" s="18">
        <v>1.4999999999999999E-2</v>
      </c>
      <c r="F94" s="18">
        <v>0.03</v>
      </c>
      <c r="G94" s="18">
        <v>0.03</v>
      </c>
      <c r="H94" s="18">
        <v>0.03</v>
      </c>
      <c r="I94" s="18">
        <v>0.03</v>
      </c>
      <c r="J94" s="18">
        <v>0.03</v>
      </c>
      <c r="K94" s="18">
        <v>0.03</v>
      </c>
    </row>
    <row r="95" spans="1:11" x14ac:dyDescent="0.2">
      <c r="A95" s="7">
        <v>91</v>
      </c>
      <c r="B95" s="18">
        <v>1.4999999999999999E-2</v>
      </c>
      <c r="C95" s="18">
        <v>0.02</v>
      </c>
      <c r="D95" s="18">
        <v>0.01</v>
      </c>
      <c r="E95" s="18">
        <v>1.4999999999999999E-2</v>
      </c>
      <c r="F95" s="18">
        <v>0.03</v>
      </c>
      <c r="G95" s="18">
        <v>0.03</v>
      </c>
      <c r="H95" s="18">
        <v>0.03</v>
      </c>
      <c r="I95" s="18">
        <v>0.03</v>
      </c>
      <c r="J95" s="18">
        <v>0.03</v>
      </c>
      <c r="K95" s="18">
        <v>0.03</v>
      </c>
    </row>
    <row r="96" spans="1:11" x14ac:dyDescent="0.2">
      <c r="A96" s="7">
        <v>92</v>
      </c>
      <c r="B96" s="18">
        <v>1.4999999999999999E-2</v>
      </c>
      <c r="C96" s="18">
        <v>0.02</v>
      </c>
      <c r="D96" s="18">
        <v>0.01</v>
      </c>
      <c r="E96" s="18">
        <v>1.4999999999999999E-2</v>
      </c>
      <c r="F96" s="18">
        <v>0.03</v>
      </c>
      <c r="G96" s="18">
        <v>0.03</v>
      </c>
      <c r="H96" s="18">
        <v>0.03</v>
      </c>
      <c r="I96" s="18">
        <v>0.03</v>
      </c>
      <c r="J96" s="18">
        <v>0.03</v>
      </c>
      <c r="K96" s="18">
        <v>0.03</v>
      </c>
    </row>
    <row r="97" spans="1:11" x14ac:dyDescent="0.2">
      <c r="A97" s="7">
        <v>93</v>
      </c>
      <c r="B97" s="18">
        <v>1.4999999999999999E-2</v>
      </c>
      <c r="C97" s="18">
        <v>0.02</v>
      </c>
      <c r="D97" s="18">
        <v>0.01</v>
      </c>
      <c r="E97" s="18">
        <v>1.4999999999999999E-2</v>
      </c>
      <c r="F97" s="18">
        <v>0.03</v>
      </c>
      <c r="G97" s="18">
        <v>0.03</v>
      </c>
      <c r="H97" s="18">
        <v>0.03</v>
      </c>
      <c r="I97" s="18">
        <v>0.03</v>
      </c>
      <c r="J97" s="18">
        <v>0.03</v>
      </c>
      <c r="K97" s="18">
        <v>0.03</v>
      </c>
    </row>
    <row r="98" spans="1:11" x14ac:dyDescent="0.2">
      <c r="A98" s="7">
        <v>94</v>
      </c>
      <c r="B98" s="18">
        <v>1.4999999999999999E-2</v>
      </c>
      <c r="C98" s="18">
        <v>0.02</v>
      </c>
      <c r="D98" s="18">
        <v>0.01</v>
      </c>
      <c r="E98" s="18">
        <v>1.4999999999999999E-2</v>
      </c>
      <c r="F98" s="18">
        <v>0.03</v>
      </c>
      <c r="G98" s="18">
        <v>0.03</v>
      </c>
      <c r="H98" s="18">
        <v>0.03</v>
      </c>
      <c r="I98" s="18">
        <v>0.03</v>
      </c>
      <c r="J98" s="18">
        <v>0.03</v>
      </c>
      <c r="K98" s="18">
        <v>0.03</v>
      </c>
    </row>
    <row r="99" spans="1:11" x14ac:dyDescent="0.2">
      <c r="A99" s="7">
        <v>95</v>
      </c>
      <c r="B99" s="18">
        <v>1.4999999999999999E-2</v>
      </c>
      <c r="C99" s="18">
        <v>0.02</v>
      </c>
      <c r="D99" s="18">
        <v>0.01</v>
      </c>
      <c r="E99" s="18">
        <v>1.4999999999999999E-2</v>
      </c>
      <c r="F99" s="18">
        <v>0.03</v>
      </c>
      <c r="G99" s="18">
        <v>0.03</v>
      </c>
      <c r="H99" s="18">
        <v>0.03</v>
      </c>
      <c r="I99" s="18">
        <v>0.03</v>
      </c>
      <c r="J99" s="18">
        <v>0.03</v>
      </c>
      <c r="K99" s="18">
        <v>0.03</v>
      </c>
    </row>
    <row r="100" spans="1:11" x14ac:dyDescent="0.2">
      <c r="A100" s="7">
        <v>96</v>
      </c>
      <c r="B100" s="18">
        <v>1.4999999999999999E-2</v>
      </c>
      <c r="C100" s="18">
        <v>0.02</v>
      </c>
      <c r="D100" s="18">
        <v>0.01</v>
      </c>
      <c r="E100" s="18">
        <v>1.4999999999999999E-2</v>
      </c>
      <c r="F100" s="18">
        <v>0.03</v>
      </c>
      <c r="G100" s="18">
        <v>0.03</v>
      </c>
      <c r="H100" s="18">
        <v>0.03</v>
      </c>
      <c r="I100" s="18">
        <v>0.03</v>
      </c>
      <c r="J100" s="18">
        <v>0.03</v>
      </c>
      <c r="K100" s="18">
        <v>0.03</v>
      </c>
    </row>
    <row r="101" spans="1:11" x14ac:dyDescent="0.2">
      <c r="A101" s="7">
        <v>97</v>
      </c>
      <c r="B101" s="18">
        <v>1.4999999999999999E-2</v>
      </c>
      <c r="C101" s="18">
        <v>0.02</v>
      </c>
      <c r="D101" s="18">
        <v>0.01</v>
      </c>
      <c r="E101" s="18">
        <v>1.4999999999999999E-2</v>
      </c>
      <c r="F101" s="18">
        <v>0.03</v>
      </c>
      <c r="G101" s="18">
        <v>0.03</v>
      </c>
      <c r="H101" s="18">
        <v>0.03</v>
      </c>
      <c r="I101" s="18">
        <v>0.03</v>
      </c>
      <c r="J101" s="18">
        <v>0.03</v>
      </c>
      <c r="K101" s="18">
        <v>0.03</v>
      </c>
    </row>
    <row r="102" spans="1:11" x14ac:dyDescent="0.2">
      <c r="A102" s="7">
        <v>98</v>
      </c>
      <c r="B102" s="18">
        <v>1.4999999999999999E-2</v>
      </c>
      <c r="C102" s="18">
        <v>0.02</v>
      </c>
      <c r="D102" s="18">
        <v>0.01</v>
      </c>
      <c r="E102" s="18">
        <v>1.4999999999999999E-2</v>
      </c>
      <c r="F102" s="18">
        <v>0.03</v>
      </c>
      <c r="G102" s="18">
        <v>0.03</v>
      </c>
      <c r="H102" s="18">
        <v>0.03</v>
      </c>
      <c r="I102" s="18">
        <v>0.03</v>
      </c>
      <c r="J102" s="18">
        <v>0.03</v>
      </c>
      <c r="K102" s="18">
        <v>0.03</v>
      </c>
    </row>
    <row r="103" spans="1:11" x14ac:dyDescent="0.2">
      <c r="A103" s="7">
        <v>99</v>
      </c>
      <c r="B103" s="18">
        <v>1.4999999999999999E-2</v>
      </c>
      <c r="C103" s="18">
        <v>0.02</v>
      </c>
      <c r="D103" s="18">
        <v>0.01</v>
      </c>
      <c r="E103" s="18">
        <v>1.4999999999999999E-2</v>
      </c>
      <c r="F103" s="18">
        <v>0.03</v>
      </c>
      <c r="G103" s="18">
        <v>0.03</v>
      </c>
      <c r="H103" s="18">
        <v>0.03</v>
      </c>
      <c r="I103" s="18">
        <v>0.03</v>
      </c>
      <c r="J103" s="18">
        <v>0.03</v>
      </c>
      <c r="K103" s="18">
        <v>0.03</v>
      </c>
    </row>
    <row r="104" spans="1:11" x14ac:dyDescent="0.2">
      <c r="A104" s="7">
        <v>100</v>
      </c>
      <c r="B104" s="18">
        <v>1.4999999999999999E-2</v>
      </c>
      <c r="C104" s="18">
        <v>0.02</v>
      </c>
      <c r="D104" s="18">
        <v>0.01</v>
      </c>
      <c r="E104" s="18">
        <v>1.4999999999999999E-2</v>
      </c>
      <c r="F104" s="18">
        <v>0.03</v>
      </c>
      <c r="G104" s="18">
        <v>0.03</v>
      </c>
      <c r="H104" s="18">
        <v>0.03</v>
      </c>
      <c r="I104" s="18">
        <v>0.03</v>
      </c>
      <c r="J104" s="18">
        <v>0.03</v>
      </c>
      <c r="K104" s="18">
        <v>0.03</v>
      </c>
    </row>
    <row r="105" spans="1:11" x14ac:dyDescent="0.2">
      <c r="A105" s="7">
        <v>101</v>
      </c>
      <c r="B105" s="18">
        <v>1.4999999999999999E-2</v>
      </c>
      <c r="C105" s="18">
        <v>0.02</v>
      </c>
      <c r="D105" s="18">
        <v>0.01</v>
      </c>
      <c r="E105" s="18">
        <v>1.4999999999999999E-2</v>
      </c>
      <c r="F105" s="18">
        <v>0.03</v>
      </c>
      <c r="G105" s="18">
        <v>0.03</v>
      </c>
      <c r="H105" s="18">
        <v>0.03</v>
      </c>
      <c r="I105" s="18">
        <v>0.03</v>
      </c>
      <c r="J105" s="18">
        <v>0.03</v>
      </c>
      <c r="K105" s="18">
        <v>0.03</v>
      </c>
    </row>
    <row r="106" spans="1:11" x14ac:dyDescent="0.2">
      <c r="A106" s="7">
        <v>102</v>
      </c>
      <c r="B106" s="18">
        <v>1.4999999999999999E-2</v>
      </c>
      <c r="C106" s="18">
        <v>0.02</v>
      </c>
      <c r="D106" s="18">
        <v>0.01</v>
      </c>
      <c r="E106" s="18">
        <v>1.4999999999999999E-2</v>
      </c>
      <c r="F106" s="18">
        <v>0.03</v>
      </c>
      <c r="G106" s="18">
        <v>0.03</v>
      </c>
      <c r="H106" s="18">
        <v>0.03</v>
      </c>
      <c r="I106" s="18">
        <v>0.03</v>
      </c>
      <c r="J106" s="18">
        <v>0.03</v>
      </c>
      <c r="K106" s="18">
        <v>0.03</v>
      </c>
    </row>
    <row r="107" spans="1:11" x14ac:dyDescent="0.2">
      <c r="A107" s="7">
        <v>103</v>
      </c>
      <c r="B107" s="18">
        <v>1.4999999999999999E-2</v>
      </c>
      <c r="C107" s="18">
        <v>0.02</v>
      </c>
      <c r="D107" s="18">
        <v>0.01</v>
      </c>
      <c r="E107" s="18">
        <v>1.4999999999999999E-2</v>
      </c>
      <c r="F107" s="18">
        <v>0.03</v>
      </c>
      <c r="G107" s="18">
        <v>0.03</v>
      </c>
      <c r="H107" s="18">
        <v>0.03</v>
      </c>
      <c r="I107" s="18">
        <v>0.03</v>
      </c>
      <c r="J107" s="18">
        <v>0.03</v>
      </c>
      <c r="K107" s="18">
        <v>0.03</v>
      </c>
    </row>
    <row r="108" spans="1:11" x14ac:dyDescent="0.2">
      <c r="A108" s="7">
        <v>104</v>
      </c>
      <c r="B108" s="18">
        <v>1.4999999999999999E-2</v>
      </c>
      <c r="C108" s="18">
        <v>0.02</v>
      </c>
      <c r="D108" s="18">
        <v>0.01</v>
      </c>
      <c r="E108" s="18">
        <v>1.4999999999999999E-2</v>
      </c>
      <c r="F108" s="18">
        <v>0.03</v>
      </c>
      <c r="G108" s="18">
        <v>0.03</v>
      </c>
      <c r="H108" s="18">
        <v>0.03</v>
      </c>
      <c r="I108" s="18">
        <v>0.03</v>
      </c>
      <c r="J108" s="18">
        <v>0.03</v>
      </c>
      <c r="K108" s="18">
        <v>0.03</v>
      </c>
    </row>
    <row r="109" spans="1:11" x14ac:dyDescent="0.2">
      <c r="A109" s="7">
        <v>105</v>
      </c>
      <c r="B109" s="18">
        <v>1.4999999999999999E-2</v>
      </c>
      <c r="C109" s="18">
        <v>0.02</v>
      </c>
      <c r="D109" s="18">
        <v>0.01</v>
      </c>
      <c r="E109" s="18">
        <v>1.4999999999999999E-2</v>
      </c>
      <c r="F109" s="18">
        <v>0.03</v>
      </c>
      <c r="G109" s="18">
        <v>0.03</v>
      </c>
      <c r="H109" s="18">
        <v>0.03</v>
      </c>
      <c r="I109" s="18">
        <v>0.03</v>
      </c>
      <c r="J109" s="18">
        <v>0.03</v>
      </c>
      <c r="K109" s="18">
        <v>0.03</v>
      </c>
    </row>
    <row r="110" spans="1:11" x14ac:dyDescent="0.2">
      <c r="A110" s="7">
        <v>106</v>
      </c>
      <c r="B110" s="18">
        <v>1.4999999999999999E-2</v>
      </c>
      <c r="C110" s="18">
        <v>0.02</v>
      </c>
      <c r="D110" s="18">
        <v>0.01</v>
      </c>
      <c r="E110" s="18">
        <v>1.4999999999999999E-2</v>
      </c>
      <c r="F110" s="18">
        <v>0.03</v>
      </c>
      <c r="G110" s="18">
        <v>0.03</v>
      </c>
      <c r="H110" s="18">
        <v>0.03</v>
      </c>
      <c r="I110" s="18">
        <v>0.03</v>
      </c>
      <c r="J110" s="18">
        <v>0.03</v>
      </c>
      <c r="K110" s="18">
        <v>0.03</v>
      </c>
    </row>
    <row r="111" spans="1:11" x14ac:dyDescent="0.2">
      <c r="A111" s="7">
        <v>107</v>
      </c>
      <c r="B111" s="18">
        <v>1.4999999999999999E-2</v>
      </c>
      <c r="C111" s="18">
        <v>0.02</v>
      </c>
      <c r="D111" s="18">
        <v>0.01</v>
      </c>
      <c r="E111" s="18">
        <v>1.4999999999999999E-2</v>
      </c>
      <c r="F111" s="18">
        <v>0.03</v>
      </c>
      <c r="G111" s="18">
        <v>0.03</v>
      </c>
      <c r="H111" s="18">
        <v>0.03</v>
      </c>
      <c r="I111" s="18">
        <v>0.03</v>
      </c>
      <c r="J111" s="18">
        <v>0.03</v>
      </c>
      <c r="K111" s="18">
        <v>0.03</v>
      </c>
    </row>
    <row r="112" spans="1:11" x14ac:dyDescent="0.2">
      <c r="A112" s="7">
        <v>108</v>
      </c>
      <c r="B112" s="18">
        <v>1.4999999999999999E-2</v>
      </c>
      <c r="C112" s="18">
        <v>0.02</v>
      </c>
      <c r="D112" s="18">
        <v>0.01</v>
      </c>
      <c r="E112" s="18">
        <v>1.4999999999999999E-2</v>
      </c>
      <c r="F112" s="18">
        <v>0.03</v>
      </c>
      <c r="G112" s="18">
        <v>0.03</v>
      </c>
      <c r="H112" s="18">
        <v>0.03</v>
      </c>
      <c r="I112" s="18">
        <v>0.03</v>
      </c>
      <c r="J112" s="18">
        <v>0.03</v>
      </c>
      <c r="K112" s="18">
        <v>0.03</v>
      </c>
    </row>
    <row r="113" spans="1:11" x14ac:dyDescent="0.2">
      <c r="A113" s="7">
        <v>109</v>
      </c>
      <c r="B113" s="18">
        <v>1.4999999999999999E-2</v>
      </c>
      <c r="C113" s="18">
        <v>0.02</v>
      </c>
      <c r="D113" s="18">
        <v>0.01</v>
      </c>
      <c r="E113" s="18">
        <v>1.4999999999999999E-2</v>
      </c>
      <c r="F113" s="18">
        <v>0.03</v>
      </c>
      <c r="G113" s="18">
        <v>0.03</v>
      </c>
      <c r="H113" s="18">
        <v>0.03</v>
      </c>
      <c r="I113" s="18">
        <v>0.03</v>
      </c>
      <c r="J113" s="18">
        <v>0.03</v>
      </c>
      <c r="K113" s="18">
        <v>0.03</v>
      </c>
    </row>
    <row r="114" spans="1:11" x14ac:dyDescent="0.2">
      <c r="A114" s="7">
        <v>110</v>
      </c>
      <c r="B114" s="18">
        <v>1.4999999999999999E-2</v>
      </c>
      <c r="C114" s="18">
        <v>0.02</v>
      </c>
      <c r="D114" s="18">
        <v>0.01</v>
      </c>
      <c r="E114" s="18">
        <v>1.4999999999999999E-2</v>
      </c>
      <c r="F114" s="18">
        <v>0.03</v>
      </c>
      <c r="G114" s="18">
        <v>0.03</v>
      </c>
      <c r="H114" s="18">
        <v>0.03</v>
      </c>
      <c r="I114" s="18">
        <v>0.03</v>
      </c>
      <c r="J114" s="18">
        <v>0.03</v>
      </c>
      <c r="K114" s="18">
        <v>0.03</v>
      </c>
    </row>
    <row r="115" spans="1:11" x14ac:dyDescent="0.2">
      <c r="A115" s="7">
        <v>111</v>
      </c>
      <c r="B115" s="18">
        <v>1.4999999999999999E-2</v>
      </c>
      <c r="C115" s="18">
        <v>0.02</v>
      </c>
      <c r="D115" s="18">
        <v>0.01</v>
      </c>
      <c r="E115" s="18">
        <v>1.4999999999999999E-2</v>
      </c>
      <c r="F115" s="18">
        <v>0.03</v>
      </c>
      <c r="G115" s="18">
        <v>0.03</v>
      </c>
      <c r="H115" s="18">
        <v>0.03</v>
      </c>
      <c r="I115" s="18">
        <v>0.03</v>
      </c>
      <c r="J115" s="18">
        <v>0.03</v>
      </c>
      <c r="K115" s="18">
        <v>0.03</v>
      </c>
    </row>
    <row r="116" spans="1:11" x14ac:dyDescent="0.2">
      <c r="A116" s="7">
        <v>112</v>
      </c>
      <c r="B116" s="18">
        <v>1.4999999999999999E-2</v>
      </c>
      <c r="C116" s="18">
        <v>0.02</v>
      </c>
      <c r="D116" s="18">
        <v>0.01</v>
      </c>
      <c r="E116" s="18">
        <v>1.4999999999999999E-2</v>
      </c>
      <c r="F116" s="18">
        <v>0.03</v>
      </c>
      <c r="G116" s="18">
        <v>0.03</v>
      </c>
      <c r="H116" s="18">
        <v>0.03</v>
      </c>
      <c r="I116" s="18">
        <v>0.03</v>
      </c>
      <c r="J116" s="18">
        <v>0.03</v>
      </c>
      <c r="K116" s="18">
        <v>0.03</v>
      </c>
    </row>
    <row r="117" spans="1:11" x14ac:dyDescent="0.2">
      <c r="A117" s="7">
        <v>113</v>
      </c>
      <c r="B117" s="18">
        <v>1.4999999999999999E-2</v>
      </c>
      <c r="C117" s="18">
        <v>0.02</v>
      </c>
      <c r="D117" s="18">
        <v>0.01</v>
      </c>
      <c r="E117" s="18">
        <v>1.4999999999999999E-2</v>
      </c>
      <c r="F117" s="18">
        <v>0.03</v>
      </c>
      <c r="G117" s="18">
        <v>0.03</v>
      </c>
      <c r="H117" s="18">
        <v>0.03</v>
      </c>
      <c r="I117" s="18">
        <v>0.03</v>
      </c>
      <c r="J117" s="18">
        <v>0.03</v>
      </c>
      <c r="K117" s="18">
        <v>0.03</v>
      </c>
    </row>
    <row r="118" spans="1:11" x14ac:dyDescent="0.2">
      <c r="A118" s="7">
        <v>114</v>
      </c>
      <c r="B118" s="18">
        <v>1.4999999999999999E-2</v>
      </c>
      <c r="C118" s="18">
        <v>0.02</v>
      </c>
      <c r="D118" s="18">
        <v>0.01</v>
      </c>
      <c r="E118" s="18">
        <v>1.4999999999999999E-2</v>
      </c>
      <c r="F118" s="18">
        <v>0.03</v>
      </c>
      <c r="G118" s="18">
        <v>0.03</v>
      </c>
      <c r="H118" s="18">
        <v>0.03</v>
      </c>
      <c r="I118" s="18">
        <v>0.03</v>
      </c>
      <c r="J118" s="18">
        <v>0.03</v>
      </c>
      <c r="K118" s="18">
        <v>0.03</v>
      </c>
    </row>
    <row r="119" spans="1:11" x14ac:dyDescent="0.2">
      <c r="A119" s="7">
        <v>115</v>
      </c>
      <c r="B119" s="18">
        <v>1.4999999999999999E-2</v>
      </c>
      <c r="C119" s="18">
        <v>0.02</v>
      </c>
      <c r="D119" s="18">
        <v>0.01</v>
      </c>
      <c r="E119" s="18">
        <v>1.4999999999999999E-2</v>
      </c>
      <c r="F119" s="18">
        <v>0.03</v>
      </c>
      <c r="G119" s="18">
        <v>0.03</v>
      </c>
      <c r="H119" s="18">
        <v>0.03</v>
      </c>
      <c r="I119" s="18">
        <v>0.03</v>
      </c>
      <c r="J119" s="18">
        <v>0.03</v>
      </c>
      <c r="K119" s="18">
        <v>0.03</v>
      </c>
    </row>
    <row r="120" spans="1:11" x14ac:dyDescent="0.2">
      <c r="A120" s="7">
        <v>116</v>
      </c>
      <c r="B120" s="18">
        <v>1.4999999999999999E-2</v>
      </c>
      <c r="C120" s="18">
        <v>0.02</v>
      </c>
      <c r="D120" s="18">
        <v>0.01</v>
      </c>
      <c r="E120" s="18">
        <v>1.4999999999999999E-2</v>
      </c>
      <c r="F120" s="18">
        <v>0.03</v>
      </c>
      <c r="G120" s="18">
        <v>0.03</v>
      </c>
      <c r="H120" s="18">
        <v>0.03</v>
      </c>
      <c r="I120" s="18">
        <v>0.03</v>
      </c>
      <c r="J120" s="18">
        <v>0.03</v>
      </c>
      <c r="K120" s="18">
        <v>0.03</v>
      </c>
    </row>
    <row r="121" spans="1:11" x14ac:dyDescent="0.2">
      <c r="A121" s="7">
        <v>117</v>
      </c>
      <c r="B121" s="18">
        <v>1.4999999999999999E-2</v>
      </c>
      <c r="C121" s="18">
        <v>0.02</v>
      </c>
      <c r="D121" s="18">
        <v>0.01</v>
      </c>
      <c r="E121" s="18">
        <v>1.4999999999999999E-2</v>
      </c>
      <c r="F121" s="18">
        <v>0.03</v>
      </c>
      <c r="G121" s="18">
        <v>0.03</v>
      </c>
      <c r="H121" s="18">
        <v>0.03</v>
      </c>
      <c r="I121" s="18">
        <v>0.03</v>
      </c>
      <c r="J121" s="18">
        <v>0.03</v>
      </c>
      <c r="K121" s="18">
        <v>0.03</v>
      </c>
    </row>
    <row r="122" spans="1:11" x14ac:dyDescent="0.2">
      <c r="A122" s="7">
        <v>118</v>
      </c>
      <c r="B122" s="18">
        <v>1.4999999999999999E-2</v>
      </c>
      <c r="C122" s="18">
        <v>0.02</v>
      </c>
      <c r="D122" s="18">
        <v>0.01</v>
      </c>
      <c r="E122" s="18">
        <v>1.4999999999999999E-2</v>
      </c>
      <c r="F122" s="18">
        <v>0.03</v>
      </c>
      <c r="G122" s="18">
        <v>0.03</v>
      </c>
      <c r="H122" s="18">
        <v>0.03</v>
      </c>
      <c r="I122" s="18">
        <v>0.03</v>
      </c>
      <c r="J122" s="18">
        <v>0.03</v>
      </c>
      <c r="K122" s="18">
        <v>0.03</v>
      </c>
    </row>
    <row r="123" spans="1:11" x14ac:dyDescent="0.2">
      <c r="A123" s="7">
        <v>119</v>
      </c>
      <c r="B123" s="18">
        <v>1.4999999999999999E-2</v>
      </c>
      <c r="C123" s="18">
        <v>0.02</v>
      </c>
      <c r="D123" s="18">
        <v>0.01</v>
      </c>
      <c r="E123" s="18">
        <v>1.4999999999999999E-2</v>
      </c>
      <c r="F123" s="18">
        <v>0.03</v>
      </c>
      <c r="G123" s="18">
        <v>0.03</v>
      </c>
      <c r="H123" s="18">
        <v>0.03</v>
      </c>
      <c r="I123" s="18">
        <v>0.03</v>
      </c>
      <c r="J123" s="18">
        <v>0.03</v>
      </c>
      <c r="K123" s="18">
        <v>0.03</v>
      </c>
    </row>
    <row r="124" spans="1:11" x14ac:dyDescent="0.2">
      <c r="A124" s="7">
        <v>120</v>
      </c>
      <c r="B124" s="18">
        <v>1.4999999999999999E-2</v>
      </c>
      <c r="C124" s="18">
        <v>0.02</v>
      </c>
      <c r="D124" s="18">
        <v>0.01</v>
      </c>
      <c r="E124" s="18">
        <v>1.4999999999999999E-2</v>
      </c>
      <c r="F124" s="18">
        <v>0.03</v>
      </c>
      <c r="G124" s="18">
        <v>0.03</v>
      </c>
      <c r="H124" s="18">
        <v>0.03</v>
      </c>
      <c r="I124" s="18">
        <v>0.03</v>
      </c>
      <c r="J124" s="18">
        <v>0.03</v>
      </c>
      <c r="K124" s="18">
        <v>0.03</v>
      </c>
    </row>
    <row r="125" spans="1:11" x14ac:dyDescent="0.2">
      <c r="A125" s="7">
        <v>121</v>
      </c>
      <c r="B125" s="18">
        <v>1.4999999999999999E-2</v>
      </c>
      <c r="C125" s="18">
        <v>0.02</v>
      </c>
      <c r="D125" s="18">
        <v>0.01</v>
      </c>
      <c r="E125" s="18">
        <v>1.4999999999999999E-2</v>
      </c>
      <c r="F125" s="18">
        <v>0.03</v>
      </c>
      <c r="G125" s="18">
        <v>0.03</v>
      </c>
      <c r="H125" s="18">
        <v>0.03</v>
      </c>
      <c r="I125" s="18">
        <v>0.03</v>
      </c>
      <c r="J125" s="18">
        <v>0.03</v>
      </c>
      <c r="K125" s="18">
        <v>0.03</v>
      </c>
    </row>
    <row r="126" spans="1:11" x14ac:dyDescent="0.2">
      <c r="A126" s="7">
        <v>122</v>
      </c>
      <c r="B126" s="18">
        <v>1.4999999999999999E-2</v>
      </c>
      <c r="C126" s="18">
        <v>0.02</v>
      </c>
      <c r="D126" s="18">
        <v>0.01</v>
      </c>
      <c r="E126" s="18">
        <v>1.4999999999999999E-2</v>
      </c>
      <c r="F126" s="18">
        <v>0.03</v>
      </c>
      <c r="G126" s="18">
        <v>0.03</v>
      </c>
      <c r="H126" s="18">
        <v>0.03</v>
      </c>
      <c r="I126" s="18">
        <v>0.03</v>
      </c>
      <c r="J126" s="18">
        <v>0.03</v>
      </c>
      <c r="K126" s="18">
        <v>0.03</v>
      </c>
    </row>
    <row r="127" spans="1:11" x14ac:dyDescent="0.2">
      <c r="A127" s="7">
        <v>123</v>
      </c>
      <c r="B127" s="18">
        <v>1.4999999999999999E-2</v>
      </c>
      <c r="C127" s="18">
        <v>0.02</v>
      </c>
      <c r="D127" s="18">
        <v>0.01</v>
      </c>
      <c r="E127" s="18">
        <v>1.4999999999999999E-2</v>
      </c>
      <c r="F127" s="18">
        <v>0.03</v>
      </c>
      <c r="G127" s="18">
        <v>0.03</v>
      </c>
      <c r="H127" s="18">
        <v>0.03</v>
      </c>
      <c r="I127" s="18">
        <v>0.03</v>
      </c>
      <c r="J127" s="18">
        <v>0.03</v>
      </c>
      <c r="K127" s="18">
        <v>0.03</v>
      </c>
    </row>
    <row r="128" spans="1:11" x14ac:dyDescent="0.2">
      <c r="A128" s="7">
        <v>124</v>
      </c>
      <c r="B128" s="18">
        <v>1.4999999999999999E-2</v>
      </c>
      <c r="C128" s="18">
        <v>0.02</v>
      </c>
      <c r="D128" s="18">
        <v>0.01</v>
      </c>
      <c r="E128" s="18">
        <v>1.4999999999999999E-2</v>
      </c>
      <c r="F128" s="18">
        <v>0.03</v>
      </c>
      <c r="G128" s="18">
        <v>0.03</v>
      </c>
      <c r="H128" s="18">
        <v>0.03</v>
      </c>
      <c r="I128" s="18">
        <v>0.03</v>
      </c>
      <c r="J128" s="18">
        <v>0.03</v>
      </c>
      <c r="K128" s="18">
        <v>0.03</v>
      </c>
    </row>
    <row r="129" spans="1:11" x14ac:dyDescent="0.2">
      <c r="A129" s="7">
        <v>125</v>
      </c>
      <c r="B129" s="18">
        <v>1.4999999999999999E-2</v>
      </c>
      <c r="C129" s="18">
        <v>0.02</v>
      </c>
      <c r="D129" s="18">
        <v>0.01</v>
      </c>
      <c r="E129" s="18">
        <v>1.4999999999999999E-2</v>
      </c>
      <c r="F129" s="18">
        <v>0.03</v>
      </c>
      <c r="G129" s="18">
        <v>0.03</v>
      </c>
      <c r="H129" s="18">
        <v>0.03</v>
      </c>
      <c r="I129" s="18">
        <v>0.03</v>
      </c>
      <c r="J129" s="18">
        <v>0.03</v>
      </c>
      <c r="K129" s="18">
        <v>0.03</v>
      </c>
    </row>
    <row r="130" spans="1:11" x14ac:dyDescent="0.2">
      <c r="A130" s="7">
        <v>126</v>
      </c>
      <c r="B130" s="18">
        <v>1.4999999999999999E-2</v>
      </c>
      <c r="C130" s="18">
        <v>0.02</v>
      </c>
      <c r="D130" s="18">
        <v>0.01</v>
      </c>
      <c r="E130" s="18">
        <v>1.4999999999999999E-2</v>
      </c>
      <c r="F130" s="18">
        <v>0.03</v>
      </c>
      <c r="G130" s="18">
        <v>0.03</v>
      </c>
      <c r="H130" s="18">
        <v>0.03</v>
      </c>
      <c r="I130" s="18">
        <v>0.03</v>
      </c>
      <c r="J130" s="18">
        <v>0.03</v>
      </c>
      <c r="K130" s="18">
        <v>0.03</v>
      </c>
    </row>
    <row r="131" spans="1:11" x14ac:dyDescent="0.2">
      <c r="A131" s="7">
        <v>127</v>
      </c>
      <c r="B131" s="18">
        <v>1.4999999999999999E-2</v>
      </c>
      <c r="C131" s="18">
        <v>0.02</v>
      </c>
      <c r="D131" s="18">
        <v>0.01</v>
      </c>
      <c r="E131" s="18">
        <v>1.4999999999999999E-2</v>
      </c>
      <c r="F131" s="18">
        <v>0.03</v>
      </c>
      <c r="G131" s="18">
        <v>0.03</v>
      </c>
      <c r="H131" s="18">
        <v>0.03</v>
      </c>
      <c r="I131" s="18">
        <v>0.03</v>
      </c>
      <c r="J131" s="18">
        <v>0.03</v>
      </c>
      <c r="K131" s="18">
        <v>0.03</v>
      </c>
    </row>
    <row r="132" spans="1:11" x14ac:dyDescent="0.2">
      <c r="A132" s="7">
        <v>128</v>
      </c>
      <c r="B132" s="18">
        <v>1.4999999999999999E-2</v>
      </c>
      <c r="C132" s="18">
        <v>0.02</v>
      </c>
      <c r="D132" s="18">
        <v>0.01</v>
      </c>
      <c r="E132" s="18">
        <v>1.4999999999999999E-2</v>
      </c>
      <c r="F132" s="18">
        <v>0.03</v>
      </c>
      <c r="G132" s="18">
        <v>0.03</v>
      </c>
      <c r="H132" s="18">
        <v>0.03</v>
      </c>
      <c r="I132" s="18">
        <v>0.03</v>
      </c>
      <c r="J132" s="18">
        <v>0.03</v>
      </c>
      <c r="K132" s="18">
        <v>0.03</v>
      </c>
    </row>
    <row r="133" spans="1:11" x14ac:dyDescent="0.2">
      <c r="A133" s="7">
        <v>129</v>
      </c>
      <c r="B133" s="18">
        <v>1.4999999999999999E-2</v>
      </c>
      <c r="C133" s="18">
        <v>0.02</v>
      </c>
      <c r="D133" s="18">
        <v>0.01</v>
      </c>
      <c r="E133" s="18">
        <v>1.4999999999999999E-2</v>
      </c>
      <c r="F133" s="18">
        <v>0.03</v>
      </c>
      <c r="G133" s="18">
        <v>0.03</v>
      </c>
      <c r="H133" s="18">
        <v>0.03</v>
      </c>
      <c r="I133" s="18">
        <v>0.03</v>
      </c>
      <c r="J133" s="18">
        <v>0.03</v>
      </c>
      <c r="K133" s="18">
        <v>0.03</v>
      </c>
    </row>
    <row r="134" spans="1:11" x14ac:dyDescent="0.2">
      <c r="A134" s="7">
        <v>130</v>
      </c>
      <c r="B134" s="18">
        <v>1.4999999999999999E-2</v>
      </c>
      <c r="C134" s="18">
        <v>0.02</v>
      </c>
      <c r="D134" s="18">
        <v>0.01</v>
      </c>
      <c r="E134" s="18">
        <v>1.4999999999999999E-2</v>
      </c>
      <c r="F134" s="18">
        <v>0.03</v>
      </c>
      <c r="G134" s="18">
        <v>0.03</v>
      </c>
      <c r="H134" s="18">
        <v>0.03</v>
      </c>
      <c r="I134" s="18">
        <v>0.03</v>
      </c>
      <c r="J134" s="18">
        <v>0.03</v>
      </c>
      <c r="K134" s="18">
        <v>0.03</v>
      </c>
    </row>
    <row r="135" spans="1:11" x14ac:dyDescent="0.2">
      <c r="A135" s="7">
        <v>131</v>
      </c>
      <c r="B135" s="18">
        <v>1.4999999999999999E-2</v>
      </c>
      <c r="C135" s="18">
        <v>0.02</v>
      </c>
      <c r="D135" s="18">
        <v>0.01</v>
      </c>
      <c r="E135" s="18">
        <v>1.4999999999999999E-2</v>
      </c>
      <c r="F135" s="18">
        <v>0.03</v>
      </c>
      <c r="G135" s="18">
        <v>0.03</v>
      </c>
      <c r="H135" s="18">
        <v>0.03</v>
      </c>
      <c r="I135" s="18">
        <v>0.03</v>
      </c>
      <c r="J135" s="18">
        <v>0.03</v>
      </c>
      <c r="K135" s="18">
        <v>0.03</v>
      </c>
    </row>
    <row r="136" spans="1:11" x14ac:dyDescent="0.2">
      <c r="A136" s="7">
        <v>132</v>
      </c>
      <c r="B136" s="18">
        <v>1.4999999999999999E-2</v>
      </c>
      <c r="C136" s="18">
        <v>0.02</v>
      </c>
      <c r="D136" s="18">
        <v>0.01</v>
      </c>
      <c r="E136" s="18">
        <v>1.4999999999999999E-2</v>
      </c>
      <c r="F136" s="18">
        <v>0.03</v>
      </c>
      <c r="G136" s="18">
        <v>0.03</v>
      </c>
      <c r="H136" s="18">
        <v>0.03</v>
      </c>
      <c r="I136" s="18">
        <v>0.03</v>
      </c>
      <c r="J136" s="18">
        <v>0.03</v>
      </c>
      <c r="K136" s="18">
        <v>0.03</v>
      </c>
    </row>
    <row r="137" spans="1:11" x14ac:dyDescent="0.2">
      <c r="A137" s="7">
        <v>133</v>
      </c>
      <c r="B137" s="18">
        <v>1.4999999999999999E-2</v>
      </c>
      <c r="C137" s="18">
        <v>0.02</v>
      </c>
      <c r="D137" s="18">
        <v>0.01</v>
      </c>
      <c r="E137" s="18">
        <v>1.4999999999999999E-2</v>
      </c>
      <c r="F137" s="18">
        <v>0.03</v>
      </c>
      <c r="G137" s="18">
        <v>0.03</v>
      </c>
      <c r="H137" s="18">
        <v>0.03</v>
      </c>
      <c r="I137" s="18">
        <v>0.03</v>
      </c>
      <c r="J137" s="18">
        <v>0.03</v>
      </c>
      <c r="K137" s="18">
        <v>0.03</v>
      </c>
    </row>
    <row r="138" spans="1:11" x14ac:dyDescent="0.2">
      <c r="A138" s="7">
        <v>134</v>
      </c>
      <c r="B138" s="18">
        <v>1.4999999999999999E-2</v>
      </c>
      <c r="C138" s="18">
        <v>0.02</v>
      </c>
      <c r="D138" s="18">
        <v>0.01</v>
      </c>
      <c r="E138" s="18">
        <v>1.4999999999999999E-2</v>
      </c>
      <c r="F138" s="18">
        <v>0.03</v>
      </c>
      <c r="G138" s="18">
        <v>0.03</v>
      </c>
      <c r="H138" s="18">
        <v>0.03</v>
      </c>
      <c r="I138" s="18">
        <v>0.03</v>
      </c>
      <c r="J138" s="18">
        <v>0.03</v>
      </c>
      <c r="K138" s="18">
        <v>0.03</v>
      </c>
    </row>
    <row r="139" spans="1:11" x14ac:dyDescent="0.2">
      <c r="A139" s="7">
        <v>135</v>
      </c>
      <c r="B139" s="18">
        <v>1.4999999999999999E-2</v>
      </c>
      <c r="C139" s="18">
        <v>0.02</v>
      </c>
      <c r="D139" s="18">
        <v>0.01</v>
      </c>
      <c r="E139" s="18">
        <v>1.4999999999999999E-2</v>
      </c>
      <c r="F139" s="18">
        <v>0.03</v>
      </c>
      <c r="G139" s="18">
        <v>0.03</v>
      </c>
      <c r="H139" s="18">
        <v>0.03</v>
      </c>
      <c r="I139" s="18">
        <v>0.03</v>
      </c>
      <c r="J139" s="18">
        <v>0.03</v>
      </c>
      <c r="K139" s="18">
        <v>0.03</v>
      </c>
    </row>
    <row r="140" spans="1:11" x14ac:dyDescent="0.2">
      <c r="A140" s="7">
        <v>136</v>
      </c>
      <c r="B140" s="18">
        <v>1.4999999999999999E-2</v>
      </c>
      <c r="C140" s="18">
        <v>0.02</v>
      </c>
      <c r="D140" s="18">
        <v>0.01</v>
      </c>
      <c r="E140" s="18">
        <v>1.4999999999999999E-2</v>
      </c>
      <c r="F140" s="18">
        <v>0.03</v>
      </c>
      <c r="G140" s="18">
        <v>0.03</v>
      </c>
      <c r="H140" s="18">
        <v>0.03</v>
      </c>
      <c r="I140" s="18">
        <v>0.03</v>
      </c>
      <c r="J140" s="18">
        <v>0.03</v>
      </c>
      <c r="K140" s="18">
        <v>0.03</v>
      </c>
    </row>
    <row r="141" spans="1:11" x14ac:dyDescent="0.2">
      <c r="A141" s="7">
        <v>137</v>
      </c>
      <c r="B141" s="18">
        <v>1.4999999999999999E-2</v>
      </c>
      <c r="C141" s="18">
        <v>0.02</v>
      </c>
      <c r="D141" s="18">
        <v>0.01</v>
      </c>
      <c r="E141" s="18">
        <v>1.4999999999999999E-2</v>
      </c>
      <c r="F141" s="18">
        <v>0.03</v>
      </c>
      <c r="G141" s="18">
        <v>0.03</v>
      </c>
      <c r="H141" s="18">
        <v>0.03</v>
      </c>
      <c r="I141" s="18">
        <v>0.03</v>
      </c>
      <c r="J141" s="18">
        <v>0.03</v>
      </c>
      <c r="K141" s="18">
        <v>0.03</v>
      </c>
    </row>
    <row r="142" spans="1:11" x14ac:dyDescent="0.2">
      <c r="A142" s="7">
        <v>138</v>
      </c>
      <c r="B142" s="18">
        <v>1.4999999999999999E-2</v>
      </c>
      <c r="C142" s="18">
        <v>0.02</v>
      </c>
      <c r="D142" s="18">
        <v>0.01</v>
      </c>
      <c r="E142" s="18">
        <v>1.4999999999999999E-2</v>
      </c>
      <c r="F142" s="18">
        <v>0.03</v>
      </c>
      <c r="G142" s="18">
        <v>0.03</v>
      </c>
      <c r="H142" s="18">
        <v>0.03</v>
      </c>
      <c r="I142" s="18">
        <v>0.03</v>
      </c>
      <c r="J142" s="18">
        <v>0.03</v>
      </c>
      <c r="K142" s="18">
        <v>0.03</v>
      </c>
    </row>
    <row r="143" spans="1:11" x14ac:dyDescent="0.2">
      <c r="A143" s="7">
        <v>139</v>
      </c>
      <c r="B143" s="18">
        <v>1.4999999999999999E-2</v>
      </c>
      <c r="C143" s="18">
        <v>0.02</v>
      </c>
      <c r="D143" s="18">
        <v>0.01</v>
      </c>
      <c r="E143" s="18">
        <v>1.4999999999999999E-2</v>
      </c>
      <c r="F143" s="18">
        <v>0.03</v>
      </c>
      <c r="G143" s="18">
        <v>0.03</v>
      </c>
      <c r="H143" s="18">
        <v>0.03</v>
      </c>
      <c r="I143" s="18">
        <v>0.03</v>
      </c>
      <c r="J143" s="18">
        <v>0.03</v>
      </c>
      <c r="K143" s="18">
        <v>0.03</v>
      </c>
    </row>
    <row r="144" spans="1:11" x14ac:dyDescent="0.2">
      <c r="A144" s="7">
        <v>140</v>
      </c>
      <c r="B144" s="18">
        <v>1.4999999999999999E-2</v>
      </c>
      <c r="C144" s="18">
        <v>0.02</v>
      </c>
      <c r="D144" s="18">
        <v>0.01</v>
      </c>
      <c r="E144" s="18">
        <v>1.4999999999999999E-2</v>
      </c>
      <c r="F144" s="18">
        <v>0.03</v>
      </c>
      <c r="G144" s="18">
        <v>0.03</v>
      </c>
      <c r="H144" s="18">
        <v>0.03</v>
      </c>
      <c r="I144" s="18">
        <v>0.03</v>
      </c>
      <c r="J144" s="18">
        <v>0.03</v>
      </c>
      <c r="K144" s="18">
        <v>0.03</v>
      </c>
    </row>
    <row r="145" spans="1:11" x14ac:dyDescent="0.2">
      <c r="A145" s="7">
        <v>141</v>
      </c>
      <c r="B145" s="18">
        <v>1.4999999999999999E-2</v>
      </c>
      <c r="C145" s="18">
        <v>0.02</v>
      </c>
      <c r="D145" s="18">
        <v>0.01</v>
      </c>
      <c r="E145" s="18">
        <v>1.4999999999999999E-2</v>
      </c>
      <c r="F145" s="18">
        <v>0.03</v>
      </c>
      <c r="G145" s="18">
        <v>0.03</v>
      </c>
      <c r="H145" s="18">
        <v>0.03</v>
      </c>
      <c r="I145" s="18">
        <v>0.03</v>
      </c>
      <c r="J145" s="18">
        <v>0.03</v>
      </c>
      <c r="K145" s="18">
        <v>0.03</v>
      </c>
    </row>
    <row r="146" spans="1:11" x14ac:dyDescent="0.2">
      <c r="A146" s="7">
        <v>142</v>
      </c>
      <c r="B146" s="18">
        <v>1.4999999999999999E-2</v>
      </c>
      <c r="C146" s="18">
        <v>0.02</v>
      </c>
      <c r="D146" s="18">
        <v>0.01</v>
      </c>
      <c r="E146" s="18">
        <v>1.4999999999999999E-2</v>
      </c>
      <c r="F146" s="18">
        <v>0.03</v>
      </c>
      <c r="G146" s="18">
        <v>0.03</v>
      </c>
      <c r="H146" s="18">
        <v>0.03</v>
      </c>
      <c r="I146" s="18">
        <v>0.03</v>
      </c>
      <c r="J146" s="18">
        <v>0.03</v>
      </c>
      <c r="K146" s="18">
        <v>0.03</v>
      </c>
    </row>
    <row r="147" spans="1:11" x14ac:dyDescent="0.2">
      <c r="A147" s="7">
        <v>143</v>
      </c>
      <c r="B147" s="18">
        <v>1.4999999999999999E-2</v>
      </c>
      <c r="C147" s="18">
        <v>0.02</v>
      </c>
      <c r="D147" s="18">
        <v>0.01</v>
      </c>
      <c r="E147" s="18">
        <v>1.4999999999999999E-2</v>
      </c>
      <c r="F147" s="18">
        <v>0.03</v>
      </c>
      <c r="G147" s="18">
        <v>0.03</v>
      </c>
      <c r="H147" s="18">
        <v>0.03</v>
      </c>
      <c r="I147" s="18">
        <v>0.03</v>
      </c>
      <c r="J147" s="18">
        <v>0.03</v>
      </c>
      <c r="K147" s="18">
        <v>0.03</v>
      </c>
    </row>
    <row r="148" spans="1:11" x14ac:dyDescent="0.2">
      <c r="A148" s="7">
        <v>144</v>
      </c>
      <c r="B148" s="18">
        <v>1.4999999999999999E-2</v>
      </c>
      <c r="C148" s="18">
        <v>0.02</v>
      </c>
      <c r="D148" s="18">
        <v>0.01</v>
      </c>
      <c r="E148" s="18">
        <v>1.4999999999999999E-2</v>
      </c>
      <c r="F148" s="18">
        <v>0.03</v>
      </c>
      <c r="G148" s="18">
        <v>0.03</v>
      </c>
      <c r="H148" s="18">
        <v>0.03</v>
      </c>
      <c r="I148" s="18">
        <v>0.03</v>
      </c>
      <c r="J148" s="18">
        <v>0.03</v>
      </c>
      <c r="K148" s="18">
        <v>0.03</v>
      </c>
    </row>
    <row r="149" spans="1:11" x14ac:dyDescent="0.2">
      <c r="A149" s="7">
        <v>145</v>
      </c>
      <c r="B149" s="18">
        <v>1.4999999999999999E-2</v>
      </c>
      <c r="C149" s="18">
        <v>0.02</v>
      </c>
      <c r="D149" s="18">
        <v>0.01</v>
      </c>
      <c r="E149" s="18">
        <v>1.4999999999999999E-2</v>
      </c>
      <c r="F149" s="18">
        <v>0.03</v>
      </c>
      <c r="G149" s="18">
        <v>0.03</v>
      </c>
      <c r="H149" s="18">
        <v>0.03</v>
      </c>
      <c r="I149" s="18">
        <v>0.03</v>
      </c>
      <c r="J149" s="18">
        <v>0.03</v>
      </c>
      <c r="K149" s="18">
        <v>0.03</v>
      </c>
    </row>
    <row r="150" spans="1:11" x14ac:dyDescent="0.2">
      <c r="A150" s="7">
        <v>146</v>
      </c>
      <c r="B150" s="18">
        <v>1.4999999999999999E-2</v>
      </c>
      <c r="C150" s="18">
        <v>0.02</v>
      </c>
      <c r="D150" s="18">
        <v>0.01</v>
      </c>
      <c r="E150" s="18">
        <v>1.4999999999999999E-2</v>
      </c>
      <c r="F150" s="18">
        <v>0.03</v>
      </c>
      <c r="G150" s="18">
        <v>0.03</v>
      </c>
      <c r="H150" s="18">
        <v>0.03</v>
      </c>
      <c r="I150" s="18">
        <v>0.03</v>
      </c>
      <c r="J150" s="18">
        <v>0.03</v>
      </c>
      <c r="K150" s="18">
        <v>0.03</v>
      </c>
    </row>
    <row r="151" spans="1:11" x14ac:dyDescent="0.2">
      <c r="A151" s="7">
        <v>147</v>
      </c>
      <c r="B151" s="18">
        <v>1.4999999999999999E-2</v>
      </c>
      <c r="C151" s="18">
        <v>0.02</v>
      </c>
      <c r="D151" s="18">
        <v>0.01</v>
      </c>
      <c r="E151" s="18">
        <v>1.4999999999999999E-2</v>
      </c>
      <c r="F151" s="18">
        <v>0.03</v>
      </c>
      <c r="G151" s="18">
        <v>0.03</v>
      </c>
      <c r="H151" s="18">
        <v>0.03</v>
      </c>
      <c r="I151" s="18">
        <v>0.03</v>
      </c>
      <c r="J151" s="18">
        <v>0.03</v>
      </c>
      <c r="K151" s="18">
        <v>0.03</v>
      </c>
    </row>
    <row r="152" spans="1:11" x14ac:dyDescent="0.2">
      <c r="A152" s="7">
        <v>148</v>
      </c>
      <c r="B152" s="18">
        <v>1.4999999999999999E-2</v>
      </c>
      <c r="C152" s="18">
        <v>0.02</v>
      </c>
      <c r="D152" s="18">
        <v>0.01</v>
      </c>
      <c r="E152" s="18">
        <v>1.4999999999999999E-2</v>
      </c>
      <c r="F152" s="18">
        <v>0.03</v>
      </c>
      <c r="G152" s="18">
        <v>0.03</v>
      </c>
      <c r="H152" s="18">
        <v>0.03</v>
      </c>
      <c r="I152" s="18">
        <v>0.03</v>
      </c>
      <c r="J152" s="18">
        <v>0.03</v>
      </c>
      <c r="K152" s="18">
        <v>0.03</v>
      </c>
    </row>
    <row r="153" spans="1:11" x14ac:dyDescent="0.2">
      <c r="A153" s="7">
        <v>149</v>
      </c>
      <c r="B153" s="18">
        <v>1.4999999999999999E-2</v>
      </c>
      <c r="C153" s="18">
        <v>0.02</v>
      </c>
      <c r="D153" s="18">
        <v>0.01</v>
      </c>
      <c r="E153" s="18">
        <v>1.4999999999999999E-2</v>
      </c>
      <c r="F153" s="18">
        <v>0.03</v>
      </c>
      <c r="G153" s="18">
        <v>0.03</v>
      </c>
      <c r="H153" s="18">
        <v>0.03</v>
      </c>
      <c r="I153" s="18">
        <v>0.03</v>
      </c>
      <c r="J153" s="18">
        <v>0.03</v>
      </c>
      <c r="K153" s="18">
        <v>0.03</v>
      </c>
    </row>
    <row r="154" spans="1:11" x14ac:dyDescent="0.2">
      <c r="A154" s="7">
        <v>150</v>
      </c>
      <c r="B154" s="18">
        <v>1.4999999999999999E-2</v>
      </c>
      <c r="C154" s="18">
        <v>0.02</v>
      </c>
      <c r="D154" s="18">
        <v>0.01</v>
      </c>
      <c r="E154" s="18">
        <v>1.4999999999999999E-2</v>
      </c>
      <c r="F154" s="18">
        <v>0.03</v>
      </c>
      <c r="G154" s="18">
        <v>0.03</v>
      </c>
      <c r="H154" s="18">
        <v>0.03</v>
      </c>
      <c r="I154" s="18">
        <v>0.03</v>
      </c>
      <c r="J154" s="18">
        <v>0.03</v>
      </c>
      <c r="K154" s="18">
        <v>0.03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2:D70"/>
  <sheetViews>
    <sheetView showGridLines="0" workbookViewId="0"/>
  </sheetViews>
  <sheetFormatPr baseColWidth="10" defaultColWidth="8.83203125" defaultRowHeight="15" x14ac:dyDescent="0.2"/>
  <cols>
    <col min="2" max="2" width="36" customWidth="1"/>
    <col min="3" max="3" width="15" customWidth="1"/>
    <col min="4" max="4" width="70" customWidth="1"/>
  </cols>
  <sheetData>
    <row r="2" spans="2:4" x14ac:dyDescent="0.2">
      <c r="B2" s="3" t="s">
        <v>197</v>
      </c>
    </row>
    <row r="3" spans="2:4" x14ac:dyDescent="0.2">
      <c r="B3" s="10" t="s">
        <v>63</v>
      </c>
      <c r="C3" s="10" t="s">
        <v>64</v>
      </c>
      <c r="D3" s="10" t="s">
        <v>198</v>
      </c>
    </row>
    <row r="4" spans="2:4" x14ac:dyDescent="0.2">
      <c r="B4" s="5" t="s">
        <v>81</v>
      </c>
      <c r="C4" s="19" t="str">
        <f>INDEX(MP_Product,MATCH(PolicyID,MP_ID,0))</f>
        <v>TERM</v>
      </c>
      <c r="D4" s="12" t="s">
        <v>199</v>
      </c>
    </row>
    <row r="5" spans="2:4" x14ac:dyDescent="0.2">
      <c r="B5" s="5" t="s">
        <v>200</v>
      </c>
      <c r="C5" s="20">
        <f>INDEX(MP_PolType,MATCH(PolicyID,MP_ID,0))</f>
        <v>1</v>
      </c>
      <c r="D5" s="12" t="s">
        <v>201</v>
      </c>
    </row>
    <row r="6" spans="2:4" x14ac:dyDescent="0.2">
      <c r="B6" s="5" t="s">
        <v>202</v>
      </c>
      <c r="C6" s="20">
        <f>INDEX(MP_Gen,MATCH(PolicyID,MP_ID,0))</f>
        <v>1</v>
      </c>
      <c r="D6" s="12" t="s">
        <v>203</v>
      </c>
    </row>
    <row r="7" spans="2:4" x14ac:dyDescent="0.2">
      <c r="B7" s="5" t="s">
        <v>84</v>
      </c>
      <c r="C7" s="19" t="str">
        <f>INDEX(MP_Sex,MATCH(PolicyID,MP_ID,0))</f>
        <v>M</v>
      </c>
      <c r="D7" s="12" t="s">
        <v>204</v>
      </c>
    </row>
    <row r="8" spans="2:4" x14ac:dyDescent="0.2">
      <c r="B8" s="5" t="s">
        <v>205</v>
      </c>
      <c r="C8" s="20">
        <f>INDEX(MP_IssueAge,MATCH(PolicyID,MP_ID,0))</f>
        <v>30</v>
      </c>
      <c r="D8" s="12" t="s">
        <v>206</v>
      </c>
    </row>
    <row r="9" spans="2:4" x14ac:dyDescent="0.2">
      <c r="B9" s="5" t="s">
        <v>207</v>
      </c>
      <c r="C9" s="20">
        <f>INDEX(MP_PremFreq,MATCH(PolicyID,MP_ID,0))</f>
        <v>12</v>
      </c>
      <c r="D9" s="12" t="s">
        <v>208</v>
      </c>
    </row>
    <row r="10" spans="2:4" x14ac:dyDescent="0.2">
      <c r="B10" s="5" t="s">
        <v>209</v>
      </c>
      <c r="C10" s="20">
        <f>INDEX(MP_Term,MATCH(PolicyID,MP_ID,0))</f>
        <v>15</v>
      </c>
      <c r="D10" s="12" t="s">
        <v>210</v>
      </c>
    </row>
    <row r="11" spans="2:4" x14ac:dyDescent="0.2">
      <c r="B11" s="5" t="s">
        <v>211</v>
      </c>
      <c r="C11" s="20">
        <f>INDEX(MP_Count,MATCH(PolicyID,MP_ID,0))</f>
        <v>1</v>
      </c>
      <c r="D11" s="12" t="s">
        <v>212</v>
      </c>
    </row>
    <row r="12" spans="2:4" x14ac:dyDescent="0.2">
      <c r="B12" s="5" t="s">
        <v>213</v>
      </c>
      <c r="C12" s="21">
        <f>INDEX(MP_SumAssured,MATCH(PolicyID,MP_ID,0))</f>
        <v>1000000</v>
      </c>
      <c r="D12" s="12" t="s">
        <v>214</v>
      </c>
    </row>
    <row r="14" spans="2:4" x14ac:dyDescent="0.2">
      <c r="B14" s="3" t="s">
        <v>215</v>
      </c>
    </row>
    <row r="15" spans="2:4" x14ac:dyDescent="0.2">
      <c r="B15" s="10" t="s">
        <v>63</v>
      </c>
      <c r="C15" s="10" t="s">
        <v>64</v>
      </c>
      <c r="D15" s="10" t="s">
        <v>198</v>
      </c>
    </row>
    <row r="16" spans="2:4" x14ac:dyDescent="0.2">
      <c r="B16" s="5" t="s">
        <v>216</v>
      </c>
      <c r="C16" s="20">
        <f>IFERROR(INDEX(AsmpVals,IFERROR(MATCH("BaseMort|"&amp;Product&amp;"|"&amp;PolicyType&amp;"|"&amp;Gen,AsmpKeys,0),IFERROR(MATCH("BaseMort|"&amp;Product&amp;"|"&amp;PolicyType&amp;"|",AsmpKeys,0),IFERROR(MATCH("BaseMort|"&amp;Product&amp;"||"&amp;Gen,AsmpKeys,0),IFERROR(MATCH("BaseMort||"&amp;PolicyType&amp;"|"&amp;Gen,AsmpKeys,0),IFERROR(MATCH("BaseMort|"&amp;Product&amp;"||",AsmpKeys,0),IFERROR(MATCH("BaseMort||"&amp;PolicyType&amp;"|",AsmpKeys,0),IFERROR(MATCH("BaseMort|||"&amp;Gen,AsmpKeys,0),MATCH("BaseMort|||",AsmpKeys,0))))))))),"NA")</f>
        <v>3</v>
      </c>
      <c r="D16" s="12" t="s">
        <v>217</v>
      </c>
    </row>
    <row r="17" spans="2:4" x14ac:dyDescent="0.2">
      <c r="B17" s="5" t="s">
        <v>218</v>
      </c>
      <c r="C17" s="19" t="str">
        <f>IFERROR(INDEX(AsmpVals,IFERROR(MATCH("MortFactor|"&amp;Product&amp;"|"&amp;PolicyType&amp;"|"&amp;Gen,AsmpKeys,0),IFERROR(MATCH("MortFactor|"&amp;Product&amp;"|"&amp;PolicyType&amp;"|",AsmpKeys,0),IFERROR(MATCH("MortFactor|"&amp;Product&amp;"||"&amp;Gen,AsmpKeys,0),IFERROR(MATCH("MortFactor||"&amp;PolicyType&amp;"|"&amp;Gen,AsmpKeys,0),IFERROR(MATCH("MortFactor|"&amp;Product&amp;"||",AsmpKeys,0),IFERROR(MATCH("MortFactor||"&amp;PolicyType&amp;"|",AsmpKeys,0),IFERROR(MATCH("MortFactor|||"&amp;Gen,AsmpKeys,0),MATCH("MortFactor|||",AsmpKeys,0))))))))),"NA")</f>
        <v>MortAsmp2</v>
      </c>
      <c r="D17" s="12" t="s">
        <v>219</v>
      </c>
    </row>
    <row r="18" spans="2:4" x14ac:dyDescent="0.2">
      <c r="B18" s="5" t="s">
        <v>220</v>
      </c>
      <c r="C18" s="19" t="str">
        <f>IFERROR(INDEX(AsmpVals,IFERROR(MATCH("Surrender|"&amp;Product&amp;"|"&amp;PolicyType&amp;"|"&amp;Gen,AsmpKeys,0),IFERROR(MATCH("Surrender|"&amp;Product&amp;"|"&amp;PolicyType&amp;"|",AsmpKeys,0),IFERROR(MATCH("Surrender|"&amp;Product&amp;"||"&amp;Gen,AsmpKeys,0),IFERROR(MATCH("Surrender||"&amp;PolicyType&amp;"|"&amp;Gen,AsmpKeys,0),IFERROR(MATCH("Surrender|"&amp;Product&amp;"||",AsmpKeys,0),IFERROR(MATCH("Surrender||"&amp;PolicyType&amp;"|",AsmpKeys,0),IFERROR(MATCH("Surrender|||"&amp;Gen,AsmpKeys,0),MATCH("Surrender|||",AsmpKeys,0))))))))),"NA")</f>
        <v>LapseRate1</v>
      </c>
      <c r="D18" s="12" t="s">
        <v>221</v>
      </c>
    </row>
    <row r="19" spans="2:4" x14ac:dyDescent="0.2">
      <c r="B19" s="5" t="s">
        <v>131</v>
      </c>
      <c r="C19" s="22">
        <f>IFERROR(INDEX(AsmpVals,MATCH("CnsmpTax|||",AsmpKeys,0)),"NA")</f>
        <v>0</v>
      </c>
      <c r="D19" s="12" t="s">
        <v>222</v>
      </c>
    </row>
    <row r="20" spans="2:4" x14ac:dyDescent="0.2">
      <c r="B20" s="5" t="s">
        <v>116</v>
      </c>
      <c r="C20" s="22">
        <f>IFERROR(INDEX(AsmpVals,IFERROR(MATCH("CommInitPrem|"&amp;Product&amp;"|"&amp;PolicyType&amp;"|"&amp;Gen,AsmpKeys,0),IFERROR(MATCH("CommInitPrem|"&amp;Product&amp;"|"&amp;PolicyType&amp;"|",AsmpKeys,0),IFERROR(MATCH("CommInitPrem|"&amp;Product&amp;"||"&amp;Gen,AsmpKeys,0),IFERROR(MATCH("CommInitPrem||"&amp;PolicyType&amp;"|"&amp;Gen,AsmpKeys,0),IFERROR(MATCH("CommInitPrem|"&amp;Product&amp;"||",AsmpKeys,0),IFERROR(MATCH("CommInitPrem||"&amp;PolicyType&amp;"|",AsmpKeys,0),IFERROR(MATCH("CommInitPrem|||"&amp;Gen,AsmpKeys,0),MATCH("CommInitPrem|||",AsmpKeys,0))))))))),"NA")</f>
        <v>0.2</v>
      </c>
      <c r="D20" s="12" t="s">
        <v>223</v>
      </c>
    </row>
    <row r="21" spans="2:4" x14ac:dyDescent="0.2">
      <c r="B21" s="5" t="s">
        <v>117</v>
      </c>
      <c r="C21" s="22">
        <f>IFERROR(INDEX(AsmpVals,IFERROR(MATCH("CommRenPrem|"&amp;Product&amp;"|"&amp;PolicyType&amp;"|"&amp;Gen,AsmpKeys,0),IFERROR(MATCH("CommRenPrem|"&amp;Product&amp;"|"&amp;PolicyType&amp;"|",AsmpKeys,0),IFERROR(MATCH("CommRenPrem|"&amp;Product&amp;"||"&amp;Gen,AsmpKeys,0),IFERROR(MATCH("CommRenPrem||"&amp;PolicyType&amp;"|"&amp;Gen,AsmpKeys,0),IFERROR(MATCH("CommRenPrem|"&amp;Product&amp;"||",AsmpKeys,0),IFERROR(MATCH("CommRenPrem||"&amp;PolicyType&amp;"|",AsmpKeys,0),IFERROR(MATCH("CommRenPrem|||"&amp;Gen,AsmpKeys,0),MATCH("CommRenPrem|||",AsmpKeys,0))))))))),"NA")</f>
        <v>0.05</v>
      </c>
      <c r="D21" s="12" t="s">
        <v>224</v>
      </c>
    </row>
    <row r="22" spans="2:4" x14ac:dyDescent="0.2">
      <c r="B22" s="5" t="s">
        <v>118</v>
      </c>
      <c r="C22" s="20">
        <f>IFERROR(INDEX(AsmpVals,IFERROR(MATCH("CommRenTerm|"&amp;Product&amp;"|"&amp;PolicyType&amp;"|"&amp;Gen,AsmpKeys,0),IFERROR(MATCH("CommRenTerm|"&amp;Product&amp;"|"&amp;PolicyType&amp;"|",AsmpKeys,0),IFERROR(MATCH("CommRenTerm|"&amp;Product&amp;"||"&amp;Gen,AsmpKeys,0),IFERROR(MATCH("CommRenTerm||"&amp;PolicyType&amp;"|"&amp;Gen,AsmpKeys,0),IFERROR(MATCH("CommRenTerm|"&amp;Product&amp;"||",AsmpKeys,0),IFERROR(MATCH("CommRenTerm||"&amp;PolicyType&amp;"|",AsmpKeys,0),IFERROR(MATCH("CommRenTerm|||"&amp;Gen,AsmpKeys,0),MATCH("CommRenTerm|||",AsmpKeys,0))))))))),"NA")</f>
        <v>5</v>
      </c>
      <c r="D22" s="12" t="s">
        <v>225</v>
      </c>
    </row>
    <row r="23" spans="2:4" x14ac:dyDescent="0.2">
      <c r="B23" s="5" t="s">
        <v>122</v>
      </c>
      <c r="C23" s="23">
        <f>IFERROR(INDEX(AsmpVals,IFERROR(MATCH("ExpsAcqAnnPrem|"&amp;Product&amp;"|"&amp;PolicyType&amp;"|"&amp;Gen,AsmpKeys,0),IFERROR(MATCH("ExpsAcqAnnPrem|"&amp;Product&amp;"|"&amp;PolicyType&amp;"|",AsmpKeys,0),IFERROR(MATCH("ExpsAcqAnnPrem|"&amp;Product&amp;"||"&amp;Gen,AsmpKeys,0),IFERROR(MATCH("ExpsAcqAnnPrem||"&amp;PolicyType&amp;"|"&amp;Gen,AsmpKeys,0),IFERROR(MATCH("ExpsAcqAnnPrem|"&amp;Product&amp;"||",AsmpKeys,0),IFERROR(MATCH("ExpsAcqAnnPrem||"&amp;PolicyType&amp;"|",AsmpKeys,0),IFERROR(MATCH("ExpsAcqAnnPrem|||"&amp;Gen,AsmpKeys,0),MATCH("ExpsAcqAnnPrem|||",AsmpKeys,0))))))))),"NA")</f>
        <v>0.1</v>
      </c>
      <c r="D23" s="12" t="s">
        <v>226</v>
      </c>
    </row>
    <row r="24" spans="2:4" x14ac:dyDescent="0.2">
      <c r="B24" s="5" t="s">
        <v>124</v>
      </c>
      <c r="C24" s="21">
        <f>IFERROR(INDEX(AsmpVals,IFERROR(MATCH("ExpsAcqPol|"&amp;Product&amp;"|"&amp;PolicyType&amp;"|"&amp;Gen,AsmpKeys,0),IFERROR(MATCH("ExpsAcqPol|"&amp;Product&amp;"|"&amp;PolicyType&amp;"|",AsmpKeys,0),IFERROR(MATCH("ExpsAcqPol|"&amp;Product&amp;"||"&amp;Gen,AsmpKeys,0),IFERROR(MATCH("ExpsAcqPol||"&amp;PolicyType&amp;"|"&amp;Gen,AsmpKeys,0),IFERROR(MATCH("ExpsAcqPol|"&amp;Product&amp;"||",AsmpKeys,0),IFERROR(MATCH("ExpsAcqPol||"&amp;PolicyType&amp;"|",AsmpKeys,0),IFERROR(MATCH("ExpsAcqPol|||"&amp;Gen,AsmpKeys,0),MATCH("ExpsAcqPol|||",AsmpKeys,0))))))))),"NA")</f>
        <v>0</v>
      </c>
      <c r="D24" s="12" t="s">
        <v>227</v>
      </c>
    </row>
    <row r="25" spans="2:4" x14ac:dyDescent="0.2">
      <c r="B25" s="5" t="s">
        <v>120</v>
      </c>
      <c r="C25" s="24">
        <f>IFERROR(INDEX(AsmpVals,IFERROR(MATCH("ExpsAcqSA|"&amp;Product&amp;"|"&amp;PolicyType&amp;"|"&amp;Gen,AsmpKeys,0),IFERROR(MATCH("ExpsAcqSA|"&amp;Product&amp;"|"&amp;PolicyType&amp;"|",AsmpKeys,0),IFERROR(MATCH("ExpsAcqSA|"&amp;Product&amp;"||"&amp;Gen,AsmpKeys,0),IFERROR(MATCH("ExpsAcqSA||"&amp;PolicyType&amp;"|"&amp;Gen,AsmpKeys,0),IFERROR(MATCH("ExpsAcqSA|"&amp;Product&amp;"||",AsmpKeys,0),IFERROR(MATCH("ExpsAcqSA||"&amp;PolicyType&amp;"|",AsmpKeys,0),IFERROR(MATCH("ExpsAcqSA|||"&amp;Gen,AsmpKeys,0),MATCH("ExpsAcqSA|||",AsmpKeys,0))))))))),"NA")</f>
        <v>3.0000000000000001E-3</v>
      </c>
      <c r="D25" s="12" t="s">
        <v>228</v>
      </c>
    </row>
    <row r="26" spans="2:4" x14ac:dyDescent="0.2">
      <c r="B26" s="5" t="s">
        <v>229</v>
      </c>
      <c r="C26" s="23">
        <f>IFERROR(INDEX(AsmpVals,IFERROR(MATCH("ExpsMaintPrem|"&amp;Product&amp;"|"&amp;PolicyType&amp;"|"&amp;Gen,AsmpKeys,0),IFERROR(MATCH("ExpsMaintPrem|"&amp;Product&amp;"|"&amp;PolicyType&amp;"|",AsmpKeys,0),IFERROR(MATCH("ExpsMaintPrem|"&amp;Product&amp;"||"&amp;Gen,AsmpKeys,0),IFERROR(MATCH("ExpsMaintPrem||"&amp;PolicyType&amp;"|"&amp;Gen,AsmpKeys,0),IFERROR(MATCH("ExpsMaintPrem|"&amp;Product&amp;"||",AsmpKeys,0),IFERROR(MATCH("ExpsMaintPrem||"&amp;PolicyType&amp;"|",AsmpKeys,0),IFERROR(MATCH("ExpsMaintPrem|||"&amp;Gen,AsmpKeys,0),MATCH("ExpsMaintPrem|||",AsmpKeys,0))))))))),"NA")</f>
        <v>0.01</v>
      </c>
      <c r="D26" s="12" t="s">
        <v>230</v>
      </c>
    </row>
    <row r="27" spans="2:4" x14ac:dyDescent="0.2">
      <c r="B27" s="5" t="s">
        <v>129</v>
      </c>
      <c r="C27" s="21">
        <f>IFERROR(INDEX(AsmpVals,IFERROR(MATCH("ExpsMaintPol|"&amp;Product&amp;"|"&amp;PolicyType&amp;"|"&amp;Gen,AsmpKeys,0),IFERROR(MATCH("ExpsMaintPol|"&amp;Product&amp;"|"&amp;PolicyType&amp;"|",AsmpKeys,0),IFERROR(MATCH("ExpsMaintPol|"&amp;Product&amp;"||"&amp;Gen,AsmpKeys,0),IFERROR(MATCH("ExpsMaintPol||"&amp;PolicyType&amp;"|"&amp;Gen,AsmpKeys,0),IFERROR(MATCH("ExpsMaintPol|"&amp;Product&amp;"||",AsmpKeys,0),IFERROR(MATCH("ExpsMaintPol||"&amp;PolicyType&amp;"|",AsmpKeys,0),IFERROR(MATCH("ExpsMaintPol|||"&amp;Gen,AsmpKeys,0),MATCH("ExpsMaintPol|||",AsmpKeys,0))))))))),"NA")</f>
        <v>1000</v>
      </c>
      <c r="D27" s="12" t="s">
        <v>231</v>
      </c>
    </row>
    <row r="28" spans="2:4" x14ac:dyDescent="0.2">
      <c r="B28" s="5" t="s">
        <v>126</v>
      </c>
      <c r="C28" s="24">
        <f>IFERROR(INDEX(AsmpVals,IFERROR(MATCH("ExpsMaintSA|"&amp;Product&amp;"|"&amp;PolicyType&amp;"|"&amp;Gen,AsmpKeys,0),IFERROR(MATCH("ExpsMaintSA|"&amp;Product&amp;"|"&amp;PolicyType&amp;"|",AsmpKeys,0),IFERROR(MATCH("ExpsMaintSA|"&amp;Product&amp;"||"&amp;Gen,AsmpKeys,0),IFERROR(MATCH("ExpsMaintSA||"&amp;PolicyType&amp;"|"&amp;Gen,AsmpKeys,0),IFERROR(MATCH("ExpsMaintSA|"&amp;Product&amp;"||",AsmpKeys,0),IFERROR(MATCH("ExpsMaintSA||"&amp;PolicyType&amp;"|",AsmpKeys,0),IFERROR(MATCH("ExpsMaintSA|||"&amp;Gen,AsmpKeys,0),MATCH("ExpsMaintSA|||",AsmpKeys,0))))))))),"NA")</f>
        <v>0</v>
      </c>
      <c r="D28" s="12" t="s">
        <v>232</v>
      </c>
    </row>
    <row r="29" spans="2:4" x14ac:dyDescent="0.2">
      <c r="B29" s="5" t="s">
        <v>130</v>
      </c>
      <c r="C29" s="22">
        <f>IFERROR(INDEX(AsmpVals,MATCH("InflRate|||",AsmpKeys,0)),"NA")</f>
        <v>0</v>
      </c>
      <c r="D29" s="12" t="s">
        <v>233</v>
      </c>
    </row>
    <row r="30" spans="2:4" x14ac:dyDescent="0.2">
      <c r="B30" s="5" t="s">
        <v>133</v>
      </c>
      <c r="C30" s="22">
        <f>IFERROR(INDEX(SpecVals,IFERROR(MATCH("IntRatePrem|"&amp;Product&amp;"|"&amp;PolicyType&amp;"|"&amp;Gen,SpecKeys,0),IFERROR(MATCH("IntRatePrem|"&amp;Product&amp;"|"&amp;PolicyType&amp;"|",SpecKeys,0),IFERROR(MATCH("IntRatePrem|"&amp;Product&amp;"||"&amp;Gen,SpecKeys,0),IFERROR(MATCH("IntRatePrem||"&amp;PolicyType&amp;"|"&amp;Gen,SpecKeys,0),IFERROR(MATCH("IntRatePrem|"&amp;Product&amp;"||",SpecKeys,0),IFERROR(MATCH("IntRatePrem||"&amp;PolicyType&amp;"|",SpecKeys,0),IFERROR(MATCH("IntRatePrem|||"&amp;Gen,SpecKeys,0),MATCH("IntRatePrem|||",SpecKeys,0))))))))),"NA")</f>
        <v>0.03</v>
      </c>
      <c r="D30" s="12" t="s">
        <v>234</v>
      </c>
    </row>
    <row r="31" spans="2:4" x14ac:dyDescent="0.2">
      <c r="B31" s="5" t="s">
        <v>235</v>
      </c>
      <c r="C31" s="20">
        <f>IFERROR(INDEX(SpecVals,IFERROR(MATCH("MortTablePrem|"&amp;Product&amp;"|"&amp;PolicyType&amp;"|"&amp;Gen,SpecKeys,0),IFERROR(MATCH("MortTablePrem|"&amp;Product&amp;"|"&amp;PolicyType&amp;"|",SpecKeys,0),IFERROR(MATCH("MortTablePrem|"&amp;Product&amp;"||"&amp;Gen,SpecKeys,0),IFERROR(MATCH("MortTablePrem||"&amp;PolicyType&amp;"|"&amp;Gen,SpecKeys,0),IFERROR(MATCH("MortTablePrem|"&amp;Product&amp;"||",SpecKeys,0),IFERROR(MATCH("MortTablePrem||"&amp;PolicyType&amp;"|",SpecKeys,0),IFERROR(MATCH("MortTablePrem|||"&amp;Gen,SpecKeys,0),MATCH("MortTablePrem|||",SpecKeys,0))))))))),"NA")</f>
        <v>3</v>
      </c>
      <c r="D31" s="12" t="s">
        <v>236</v>
      </c>
    </row>
    <row r="32" spans="2:4" x14ac:dyDescent="0.2">
      <c r="B32" s="5" t="s">
        <v>237</v>
      </c>
      <c r="C32" s="24">
        <f>IFERROR(INDEX(SpecVals,MATCH("LoadAcqSAParam1|"&amp;Product&amp;"||",SpecKeys,0)),"NA")</f>
        <v>0</v>
      </c>
      <c r="D32" s="12" t="s">
        <v>238</v>
      </c>
    </row>
    <row r="33" spans="2:4" x14ac:dyDescent="0.2">
      <c r="B33" s="5" t="s">
        <v>239</v>
      </c>
      <c r="C33" s="24">
        <f>IFERROR(INDEX(SpecVals,MATCH("LoadAcqSAParam2|"&amp;Product&amp;"||",SpecKeys,0)),"NA")</f>
        <v>0</v>
      </c>
      <c r="D33" s="12" t="s">
        <v>240</v>
      </c>
    </row>
    <row r="34" spans="2:4" x14ac:dyDescent="0.2">
      <c r="B34" s="5" t="s">
        <v>241</v>
      </c>
      <c r="C34" s="24">
        <f>IFERROR(INDEX(SpecVals,MATCH("LoadMaintPremParam1|"&amp;Product&amp;"||",SpecKeys,0)),"NA")</f>
        <v>0.1</v>
      </c>
      <c r="D34" s="12" t="s">
        <v>242</v>
      </c>
    </row>
    <row r="35" spans="2:4" x14ac:dyDescent="0.2">
      <c r="B35" s="5" t="s">
        <v>243</v>
      </c>
      <c r="C35" s="24" t="str">
        <f>IFERROR(INDEX(SpecVals,MATCH("LoadMaintPremParam2|"&amp;Product&amp;"||",SpecKeys,0)),"NA")</f>
        <v>NA</v>
      </c>
      <c r="D35" s="12" t="s">
        <v>244</v>
      </c>
    </row>
    <row r="36" spans="2:4" x14ac:dyDescent="0.2">
      <c r="B36" s="5" t="s">
        <v>110</v>
      </c>
      <c r="C36" s="24">
        <f>IFERROR(INDEX(SpecVals,IFERROR(MATCH("LoadMaintSA|"&amp;Product&amp;"|"&amp;PolicyType&amp;"|"&amp;Gen,SpecKeys,0),IFERROR(MATCH("LoadMaintSA|"&amp;Product&amp;"|"&amp;PolicyType&amp;"|",SpecKeys,0),IFERROR(MATCH("LoadMaintSA|"&amp;Product&amp;"||"&amp;Gen,SpecKeys,0),IFERROR(MATCH("LoadMaintSA||"&amp;PolicyType&amp;"|"&amp;Gen,SpecKeys,0),IFERROR(MATCH("LoadMaintSA|"&amp;Product&amp;"||",SpecKeys,0),IFERROR(MATCH("LoadMaintSA||"&amp;PolicyType&amp;"|",SpecKeys,0),IFERROR(MATCH("LoadMaintSA|||"&amp;Gen,SpecKeys,0),MATCH("LoadMaintSA|||",SpecKeys,0))))))))),"NA")</f>
        <v>2E-3</v>
      </c>
      <c r="D36" s="12" t="s">
        <v>245</v>
      </c>
    </row>
    <row r="37" spans="2:4" x14ac:dyDescent="0.2">
      <c r="B37" s="5" t="s">
        <v>115</v>
      </c>
      <c r="C37" s="24">
        <f>IFERROR(INDEX(SpecVals,IFERROR(MATCH("LoadMaintSA2|"&amp;Product&amp;"|"&amp;PolicyType&amp;"|"&amp;Gen,SpecKeys,0),IFERROR(MATCH("LoadMaintSA2|"&amp;Product&amp;"|"&amp;PolicyType&amp;"|",SpecKeys,0),IFERROR(MATCH("LoadMaintSA2|"&amp;Product&amp;"||"&amp;Gen,SpecKeys,0),IFERROR(MATCH("LoadMaintSA2||"&amp;PolicyType&amp;"|"&amp;Gen,SpecKeys,0),IFERROR(MATCH("LoadMaintSA2|"&amp;Product&amp;"||",SpecKeys,0),IFERROR(MATCH("LoadMaintSA2||"&amp;PolicyType&amp;"|",SpecKeys,0),IFERROR(MATCH("LoadMaintSA2|||"&amp;Gen,SpecKeys,0),MATCH("LoadMaintSA2|||",SpecKeys,0))))))))),"NA")</f>
        <v>0</v>
      </c>
      <c r="D37" s="12" t="s">
        <v>246</v>
      </c>
    </row>
    <row r="38" spans="2:4" x14ac:dyDescent="0.2">
      <c r="B38" s="5" t="s">
        <v>247</v>
      </c>
      <c r="C38" s="24">
        <f>IFERROR(INDEX(SpecVals,IFERROR(MATCH("SurrChargeParam1|"&amp;Product&amp;"|"&amp;PolicyType&amp;"|"&amp;Gen,SpecKeys,0),IFERROR(MATCH("SurrChargeParam1|"&amp;Product&amp;"|"&amp;PolicyType&amp;"|",SpecKeys,0),IFERROR(MATCH("SurrChargeParam1|"&amp;Product&amp;"||"&amp;Gen,SpecKeys,0),IFERROR(MATCH("SurrChargeParam1||"&amp;PolicyType&amp;"|"&amp;Gen,SpecKeys,0),IFERROR(MATCH("SurrChargeParam1|"&amp;Product&amp;"||",SpecKeys,0),IFERROR(MATCH("SurrChargeParam1||"&amp;PolicyType&amp;"|",SpecKeys,0),IFERROR(MATCH("SurrChargeParam1|||"&amp;Gen,SpecKeys,0),MATCH("SurrChargeParam1|||",SpecKeys,0))))))))),"NA")</f>
        <v>0</v>
      </c>
      <c r="D38" s="12" t="s">
        <v>248</v>
      </c>
    </row>
    <row r="39" spans="2:4" x14ac:dyDescent="0.2">
      <c r="B39" s="5" t="s">
        <v>249</v>
      </c>
      <c r="C39" s="24">
        <f>IFERROR(INDEX(SpecVals,IFERROR(MATCH("SurrChargeParam2|"&amp;Product&amp;"|"&amp;PolicyType&amp;"|"&amp;Gen,SpecKeys,0),IFERROR(MATCH("SurrChargeParam2|"&amp;Product&amp;"|"&amp;PolicyType&amp;"|",SpecKeys,0),IFERROR(MATCH("SurrChargeParam2|"&amp;Product&amp;"||"&amp;Gen,SpecKeys,0),IFERROR(MATCH("SurrChargeParam2||"&amp;PolicyType&amp;"|"&amp;Gen,SpecKeys,0),IFERROR(MATCH("SurrChargeParam2|"&amp;Product&amp;"||",SpecKeys,0),IFERROR(MATCH("SurrChargeParam2||"&amp;PolicyType&amp;"|",SpecKeys,0),IFERROR(MATCH("SurrChargeParam2|||"&amp;Gen,SpecKeys,0),MATCH("SurrChargeParam2|||",SpecKeys,0))))))))),"NA")</f>
        <v>0</v>
      </c>
      <c r="D39" s="12" t="s">
        <v>250</v>
      </c>
    </row>
    <row r="41" spans="2:4" x14ac:dyDescent="0.2">
      <c r="B41" s="3" t="s">
        <v>251</v>
      </c>
    </row>
    <row r="42" spans="2:4" x14ac:dyDescent="0.2">
      <c r="B42" s="10" t="s">
        <v>63</v>
      </c>
      <c r="C42" s="10" t="s">
        <v>64</v>
      </c>
      <c r="D42" s="10" t="s">
        <v>198</v>
      </c>
    </row>
    <row r="43" spans="2:4" x14ac:dyDescent="0.2">
      <c r="B43" s="5" t="s">
        <v>252</v>
      </c>
      <c r="C43" s="25">
        <f>(BaseMortTable-1)*2+IF(Sex="M",1,2)</f>
        <v>5</v>
      </c>
      <c r="D43" s="12" t="s">
        <v>253</v>
      </c>
    </row>
    <row r="44" spans="2:4" x14ac:dyDescent="0.2">
      <c r="B44" s="5" t="s">
        <v>254</v>
      </c>
      <c r="C44" s="25">
        <f>(TableIDPrem-1)*2+IF(Sex="M",1,2)</f>
        <v>5</v>
      </c>
      <c r="D44" s="12" t="s">
        <v>255</v>
      </c>
    </row>
    <row r="45" spans="2:4" x14ac:dyDescent="0.2">
      <c r="B45" s="5" t="s">
        <v>256</v>
      </c>
      <c r="C45" s="20">
        <f>MATCH(MortFactorTable,AsmpTblNames,0)</f>
        <v>8</v>
      </c>
      <c r="D45" s="12"/>
    </row>
    <row r="46" spans="2:4" x14ac:dyDescent="0.2">
      <c r="B46" s="5" t="s">
        <v>257</v>
      </c>
      <c r="C46" s="20">
        <f>MATCH(SurrTable,AsmpTblNames,0)</f>
        <v>1</v>
      </c>
      <c r="D46" s="12"/>
    </row>
    <row r="47" spans="2:4" x14ac:dyDescent="0.2">
      <c r="B47" s="5" t="s">
        <v>258</v>
      </c>
      <c r="C47" s="20">
        <f>INDEX(MortAges,MATCH(1,INDEX(MortGrid,0,BaseMortCol),0))</f>
        <v>113</v>
      </c>
      <c r="D47" s="12" t="s">
        <v>259</v>
      </c>
    </row>
    <row r="48" spans="2:4" x14ac:dyDescent="0.2">
      <c r="B48" s="5" t="s">
        <v>260</v>
      </c>
      <c r="C48" s="25">
        <f>MIN(LastAge-IssueAge,PolicyTerm)</f>
        <v>15</v>
      </c>
      <c r="D48" s="12" t="s">
        <v>261</v>
      </c>
    </row>
    <row r="49" spans="2:4" x14ac:dyDescent="0.2">
      <c r="B49" s="5" t="s">
        <v>262</v>
      </c>
      <c r="C49" s="26">
        <f>INDEX(Comm_Dx,IssueAge+1)</f>
        <v>40578.038860701119</v>
      </c>
      <c r="D49" s="12" t="s">
        <v>263</v>
      </c>
    </row>
    <row r="50" spans="2:4" x14ac:dyDescent="0.2">
      <c r="B50" s="5" t="s">
        <v>264</v>
      </c>
      <c r="C50" s="26">
        <f>INDEX(Comm_Mx,IssueAge+1)</f>
        <v>10417.015508181026</v>
      </c>
      <c r="D50" s="12" t="s">
        <v>265</v>
      </c>
    </row>
    <row r="51" spans="2:4" x14ac:dyDescent="0.2">
      <c r="B51" s="5" t="s">
        <v>266</v>
      </c>
      <c r="C51" s="26">
        <f>INDEX(Comm_Nx,IssueAge+1)</f>
        <v>1040775.5341511895</v>
      </c>
      <c r="D51" s="12" t="s">
        <v>267</v>
      </c>
    </row>
    <row r="52" spans="2:4" x14ac:dyDescent="0.2">
      <c r="B52" s="5" t="s">
        <v>268</v>
      </c>
      <c r="C52" s="26">
        <f>INDEX(Comm_Dx,IssueAge+PolicyTerm+1)</f>
        <v>25557.014425193676</v>
      </c>
      <c r="D52" s="12" t="s">
        <v>269</v>
      </c>
    </row>
    <row r="53" spans="2:4" x14ac:dyDescent="0.2">
      <c r="B53" s="5" t="s">
        <v>270</v>
      </c>
      <c r="C53" s="26">
        <f>INDEX(Comm_Mx,IssueAge+PolicyTerm+1)</f>
        <v>9825.7198053180782</v>
      </c>
      <c r="D53" s="12" t="s">
        <v>271</v>
      </c>
    </row>
    <row r="54" spans="2:4" x14ac:dyDescent="0.2">
      <c r="B54" s="5" t="s">
        <v>272</v>
      </c>
      <c r="C54" s="26">
        <f>INDEX(Comm_Nx,IssueAge+PolicyTerm+1)</f>
        <v>545057.01510297076</v>
      </c>
      <c r="D54" s="12" t="s">
        <v>273</v>
      </c>
    </row>
    <row r="55" spans="2:4" x14ac:dyDescent="0.2">
      <c r="B55" s="5" t="s">
        <v>274</v>
      </c>
      <c r="C55" s="27">
        <f>(MxX-Mx_xn)/DxX</f>
        <v>1.4571815678248662E-2</v>
      </c>
      <c r="D55" s="12" t="s">
        <v>275</v>
      </c>
    </row>
    <row r="56" spans="2:4" x14ac:dyDescent="0.2">
      <c r="B56" s="5" t="s">
        <v>276</v>
      </c>
      <c r="C56" s="27">
        <f>Dx_xn/DxX</f>
        <v>0.629823794908557</v>
      </c>
      <c r="D56" s="12" t="s">
        <v>277</v>
      </c>
    </row>
    <row r="57" spans="2:4" x14ac:dyDescent="0.2">
      <c r="B57" s="5" t="s">
        <v>278</v>
      </c>
      <c r="C57" s="27">
        <f>(NxX-Nx_xn)/DxX-(PremFreq-1)/(2*PremFreq)*(1-Dx_xn/DxX)</f>
        <v>12.046759690055778</v>
      </c>
      <c r="D57" s="12" t="s">
        <v>279</v>
      </c>
    </row>
    <row r="58" spans="2:4" x14ac:dyDescent="0.2">
      <c r="B58" s="5" t="s">
        <v>280</v>
      </c>
      <c r="C58" s="27">
        <f>(NxX-Nx_xn)/DxX</f>
        <v>12.216423784056023</v>
      </c>
      <c r="D58" s="12" t="s">
        <v>281</v>
      </c>
    </row>
    <row r="59" spans="2:4" x14ac:dyDescent="0.2">
      <c r="B59" s="5" t="s">
        <v>282</v>
      </c>
      <c r="C59" s="27">
        <f>(Nx_xn-Nx_xn)/DxX</f>
        <v>0</v>
      </c>
      <c r="D59" s="12" t="s">
        <v>283</v>
      </c>
    </row>
    <row r="60" spans="2:4" x14ac:dyDescent="0.2">
      <c r="B60" s="5" t="s">
        <v>284</v>
      </c>
      <c r="C60" s="28">
        <f>LoadAcqP1+LoadAcqP2*MIN(PolicyTerm/10,1)</f>
        <v>0</v>
      </c>
      <c r="D60" s="12" t="s">
        <v>285</v>
      </c>
    </row>
    <row r="61" spans="2:4" x14ac:dyDescent="0.2">
      <c r="B61" s="5" t="s">
        <v>286</v>
      </c>
      <c r="C61" s="28">
        <f>IF(ISNUMBER(LoadMaintPremP1),LoadMaintPremP1,(LoadMaintPremP2+MIN(10,PolicyTerm))/100)</f>
        <v>0.1</v>
      </c>
      <c r="D61" s="12" t="s">
        <v>287</v>
      </c>
    </row>
    <row r="62" spans="2:4" x14ac:dyDescent="0.2">
      <c r="B62" s="5" t="s">
        <v>288</v>
      </c>
      <c r="C62" s="28">
        <f>IF(PolicyTerm&lt;5,0.0005,IF(PolicyTerm&lt;10,0.001,0.002))</f>
        <v>2E-3</v>
      </c>
      <c r="D62" s="12" t="s">
        <v>289</v>
      </c>
    </row>
    <row r="63" spans="2:4" x14ac:dyDescent="0.2">
      <c r="B63" s="5" t="s">
        <v>290</v>
      </c>
      <c r="C63" s="28">
        <f>SurrP1+SurrP2*MIN(PolicyTerm/10,1)</f>
        <v>0</v>
      </c>
      <c r="D63" s="12" t="s">
        <v>291</v>
      </c>
    </row>
    <row r="64" spans="2:4" x14ac:dyDescent="0.2">
      <c r="B64" s="5" t="s">
        <v>292</v>
      </c>
      <c r="C64" s="27">
        <f>(IF(Product="ENDW",Exn,0)+Axn+LoadAcqSA+LoadMaintSA*AnnDue_xm_k+LoadMaintSA2*AnnDue_gamma2)/(1-LoadMaintPrem-LoadWaiver)/PremFreq/AnnDue_xm_k</f>
        <v>2.9784749244512343E-4</v>
      </c>
      <c r="D64" s="12" t="s">
        <v>293</v>
      </c>
    </row>
    <row r="65" spans="2:4" x14ac:dyDescent="0.2">
      <c r="B65" s="5" t="s">
        <v>294</v>
      </c>
      <c r="C65" s="27">
        <f>(Axn+LoadMaintSA2*AnnDue_gamma2)/AnnDue_xn_1</f>
        <v>1.1928053525178722E-3</v>
      </c>
      <c r="D65" s="12" t="s">
        <v>295</v>
      </c>
    </row>
    <row r="66" spans="2:4" x14ac:dyDescent="0.2">
      <c r="B66" s="5" t="s">
        <v>296</v>
      </c>
      <c r="C66" s="27">
        <f>GrossPremRate*IF(PremFreq=0,0.1,PremFreq)</f>
        <v>3.5741699093414809E-3</v>
      </c>
      <c r="D66" s="12" t="s">
        <v>297</v>
      </c>
    </row>
    <row r="67" spans="2:4" x14ac:dyDescent="0.2">
      <c r="B67" s="5" t="s">
        <v>298</v>
      </c>
      <c r="C67" s="29">
        <f>SumAssured*GrossPremRate*PremFreq</f>
        <v>3574.1699093414809</v>
      </c>
      <c r="D67" s="12" t="s">
        <v>299</v>
      </c>
    </row>
    <row r="68" spans="2:4" x14ac:dyDescent="0.2">
      <c r="B68" s="5" t="s">
        <v>300</v>
      </c>
      <c r="C68" s="29">
        <f>SumAssured*AnnPremRate</f>
        <v>3574.1699093414809</v>
      </c>
      <c r="D68" s="12" t="s">
        <v>301</v>
      </c>
    </row>
    <row r="69" spans="2:4" x14ac:dyDescent="0.2">
      <c r="B69" s="5" t="s">
        <v>302</v>
      </c>
      <c r="C69" s="29">
        <f>SizeAnnPrem*ExpsAcqAnnPrem+SumAssured*ExpsAcqSA+ExpsAcqPol</f>
        <v>3357.4169909341481</v>
      </c>
      <c r="D69" s="12" t="s">
        <v>303</v>
      </c>
    </row>
    <row r="70" spans="2:4" x14ac:dyDescent="0.2">
      <c r="B70" s="5" t="s">
        <v>304</v>
      </c>
      <c r="C70" s="29">
        <f>SizePremium*CommInitPrem*(1+CnsmpTax)</f>
        <v>714.83398186829618</v>
      </c>
      <c r="D70" s="12" t="s">
        <v>305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134"/>
  <sheetViews>
    <sheetView workbookViewId="0">
      <pane ySplit="3" topLeftCell="A4" activePane="bottomLeft" state="frozen"/>
      <selection pane="bottomLeft"/>
    </sheetView>
  </sheetViews>
  <sheetFormatPr baseColWidth="10" defaultColWidth="8.83203125" defaultRowHeight="15" x14ac:dyDescent="0.2"/>
  <cols>
    <col min="1" max="1" width="6" customWidth="1"/>
    <col min="2" max="2" width="10" customWidth="1"/>
    <col min="3" max="3" width="12" customWidth="1"/>
    <col min="4" max="4" width="10" customWidth="1"/>
    <col min="5" max="5" width="12" customWidth="1"/>
    <col min="6" max="6" width="10" customWidth="1"/>
    <col min="7" max="7" width="14" customWidth="1"/>
    <col min="8" max="8" width="12" customWidth="1"/>
  </cols>
  <sheetData>
    <row r="1" spans="1:8" x14ac:dyDescent="0.2">
      <c r="A1" s="3" t="s">
        <v>306</v>
      </c>
    </row>
    <row r="2" spans="1:8" x14ac:dyDescent="0.2">
      <c r="A2" s="10" t="s">
        <v>182</v>
      </c>
      <c r="B2" s="10" t="s">
        <v>307</v>
      </c>
      <c r="C2" s="10" t="s">
        <v>308</v>
      </c>
      <c r="D2" s="10" t="s">
        <v>309</v>
      </c>
      <c r="E2" s="10" t="s">
        <v>310</v>
      </c>
      <c r="F2" s="10" t="s">
        <v>311</v>
      </c>
      <c r="G2" s="10" t="s">
        <v>312</v>
      </c>
      <c r="H2" s="10" t="s">
        <v>313</v>
      </c>
    </row>
    <row r="3" spans="1:8" x14ac:dyDescent="0.2">
      <c r="A3" s="14" t="s">
        <v>182</v>
      </c>
      <c r="B3" s="14" t="s">
        <v>307</v>
      </c>
      <c r="C3" s="14" t="s">
        <v>308</v>
      </c>
      <c r="D3" s="14" t="s">
        <v>309</v>
      </c>
      <c r="E3" s="14" t="s">
        <v>310</v>
      </c>
      <c r="F3" s="14" t="s">
        <v>311</v>
      </c>
      <c r="G3" s="14" t="s">
        <v>312</v>
      </c>
      <c r="H3" s="14" t="s">
        <v>313</v>
      </c>
    </row>
    <row r="4" spans="1:8" x14ac:dyDescent="0.2">
      <c r="A4" s="30">
        <v>0</v>
      </c>
      <c r="B4" s="31">
        <f t="shared" ref="B4:B35" si="0">INDEX(MortGrid,A4+1,PremMortCol)</f>
        <v>3.4499999999999999E-3</v>
      </c>
      <c r="C4" s="32">
        <v>100000</v>
      </c>
      <c r="D4" s="32">
        <f t="shared" ref="D4:D35" si="1">C4*B4</f>
        <v>345</v>
      </c>
      <c r="E4" s="33">
        <f t="shared" ref="E4:E35" si="2">C4*(1/(1+IntRatePrem))^A4</f>
        <v>100000</v>
      </c>
      <c r="F4" s="34">
        <f t="shared" ref="F4:F35" si="3">D4*(1/(1+IntRatePrem))^(A4+0.5)</f>
        <v>339.93860096668112</v>
      </c>
      <c r="G4" s="32">
        <f t="shared" ref="G4:G35" si="4">IF(A4&gt;=110,E4,G5+E4)</f>
        <v>3046446.8039285736</v>
      </c>
      <c r="H4" s="35">
        <f t="shared" ref="H4:H35" si="5">IF(A4&gt;=110,E4,H5+F4)</f>
        <v>11436.320792429478</v>
      </c>
    </row>
    <row r="5" spans="1:8" x14ac:dyDescent="0.2">
      <c r="A5" s="30">
        <f t="shared" ref="A5:A36" si="6">A4+1</f>
        <v>1</v>
      </c>
      <c r="B5" s="31">
        <f t="shared" si="0"/>
        <v>5.1000000000000004E-4</v>
      </c>
      <c r="C5" s="32">
        <f t="shared" ref="C5:C36" si="7">C4-D4</f>
        <v>99655</v>
      </c>
      <c r="D5" s="32">
        <f t="shared" si="1"/>
        <v>50.824050000000007</v>
      </c>
      <c r="E5" s="33">
        <f t="shared" si="2"/>
        <v>96752.427184466025</v>
      </c>
      <c r="F5" s="34">
        <f t="shared" si="3"/>
        <v>48.619829611539757</v>
      </c>
      <c r="G5" s="32">
        <f t="shared" si="4"/>
        <v>2946446.8039285736</v>
      </c>
      <c r="H5" s="35">
        <f t="shared" si="5"/>
        <v>11096.382191462797</v>
      </c>
    </row>
    <row r="6" spans="1:8" x14ac:dyDescent="0.2">
      <c r="A6" s="30">
        <f t="shared" si="6"/>
        <v>2</v>
      </c>
      <c r="B6" s="31">
        <f t="shared" si="0"/>
        <v>3.8000000000000002E-4</v>
      </c>
      <c r="C6" s="32">
        <f t="shared" si="7"/>
        <v>99604.175950000004</v>
      </c>
      <c r="D6" s="32">
        <f t="shared" si="1"/>
        <v>37.849586861000006</v>
      </c>
      <c r="E6" s="33">
        <f t="shared" si="2"/>
        <v>93886.488783108682</v>
      </c>
      <c r="F6" s="34">
        <f t="shared" si="3"/>
        <v>35.153460364375391</v>
      </c>
      <c r="G6" s="32">
        <f t="shared" si="4"/>
        <v>2849694.3767441078</v>
      </c>
      <c r="H6" s="35">
        <f t="shared" si="5"/>
        <v>11047.762361851257</v>
      </c>
    </row>
    <row r="7" spans="1:8" x14ac:dyDescent="0.2">
      <c r="A7" s="30">
        <f t="shared" si="6"/>
        <v>3</v>
      </c>
      <c r="B7" s="31">
        <f t="shared" si="0"/>
        <v>2.7E-4</v>
      </c>
      <c r="C7" s="32">
        <f t="shared" si="7"/>
        <v>99566.326363139</v>
      </c>
      <c r="D7" s="32">
        <f t="shared" si="1"/>
        <v>26.882908118047531</v>
      </c>
      <c r="E7" s="33">
        <f t="shared" si="2"/>
        <v>91117.293123661264</v>
      </c>
      <c r="F7" s="34">
        <f t="shared" si="3"/>
        <v>24.240744898691798</v>
      </c>
      <c r="G7" s="32">
        <f t="shared" si="4"/>
        <v>2755807.8879609993</v>
      </c>
      <c r="H7" s="35">
        <f t="shared" si="5"/>
        <v>11012.608901486881</v>
      </c>
    </row>
    <row r="8" spans="1:8" x14ac:dyDescent="0.2">
      <c r="A8" s="30">
        <f t="shared" si="6"/>
        <v>4</v>
      </c>
      <c r="B8" s="31">
        <f t="shared" si="0"/>
        <v>2.1000000000000001E-4</v>
      </c>
      <c r="C8" s="32">
        <f t="shared" si="7"/>
        <v>99539.443455020955</v>
      </c>
      <c r="D8" s="32">
        <f t="shared" si="1"/>
        <v>20.903283125554402</v>
      </c>
      <c r="E8" s="33">
        <f t="shared" si="2"/>
        <v>88439.506266522207</v>
      </c>
      <c r="F8" s="34">
        <f t="shared" si="3"/>
        <v>18.299827322867753</v>
      </c>
      <c r="G8" s="32">
        <f t="shared" si="4"/>
        <v>2664690.5948373382</v>
      </c>
      <c r="H8" s="35">
        <f t="shared" si="5"/>
        <v>10988.368156588189</v>
      </c>
    </row>
    <row r="9" spans="1:8" x14ac:dyDescent="0.2">
      <c r="A9" s="30">
        <f t="shared" si="6"/>
        <v>5</v>
      </c>
      <c r="B9" s="31">
        <f t="shared" si="0"/>
        <v>1.8000000000000001E-4</v>
      </c>
      <c r="C9" s="32">
        <f t="shared" si="7"/>
        <v>99518.540171895394</v>
      </c>
      <c r="D9" s="32">
        <f t="shared" si="1"/>
        <v>17.91333723094117</v>
      </c>
      <c r="E9" s="33">
        <f t="shared" si="2"/>
        <v>85845.566961365272</v>
      </c>
      <c r="F9" s="34">
        <f t="shared" si="3"/>
        <v>15.225507094976377</v>
      </c>
      <c r="G9" s="32">
        <f t="shared" si="4"/>
        <v>2576251.088570816</v>
      </c>
      <c r="H9" s="35">
        <f t="shared" si="5"/>
        <v>10970.068329265321</v>
      </c>
    </row>
    <row r="10" spans="1:8" x14ac:dyDescent="0.2">
      <c r="A10" s="30">
        <f t="shared" si="6"/>
        <v>6</v>
      </c>
      <c r="B10" s="31">
        <f t="shared" si="0"/>
        <v>1.6000000000000001E-4</v>
      </c>
      <c r="C10" s="32">
        <f t="shared" si="7"/>
        <v>99500.62683466445</v>
      </c>
      <c r="D10" s="32">
        <f t="shared" si="1"/>
        <v>15.920100293546314</v>
      </c>
      <c r="E10" s="33">
        <f t="shared" si="2"/>
        <v>83330.208504186623</v>
      </c>
      <c r="F10" s="34">
        <f t="shared" si="3"/>
        <v>13.137231071153645</v>
      </c>
      <c r="G10" s="32">
        <f t="shared" si="4"/>
        <v>2490405.5216094507</v>
      </c>
      <c r="H10" s="35">
        <f t="shared" si="5"/>
        <v>10954.842822170345</v>
      </c>
    </row>
    <row r="11" spans="1:8" x14ac:dyDescent="0.2">
      <c r="A11" s="30">
        <f t="shared" si="6"/>
        <v>7</v>
      </c>
      <c r="B11" s="31">
        <f t="shared" si="0"/>
        <v>1.3999999999999999E-4</v>
      </c>
      <c r="C11" s="32">
        <f t="shared" si="7"/>
        <v>99484.706734370906</v>
      </c>
      <c r="D11" s="32">
        <f t="shared" si="1"/>
        <v>13.927858942811925</v>
      </c>
      <c r="E11" s="33">
        <f t="shared" si="2"/>
        <v>80890.170554199969</v>
      </c>
      <c r="F11" s="34">
        <f t="shared" si="3"/>
        <v>11.158483470785898</v>
      </c>
      <c r="G11" s="32">
        <f t="shared" si="4"/>
        <v>2407075.3131052642</v>
      </c>
      <c r="H11" s="35">
        <f t="shared" si="5"/>
        <v>10941.705591099191</v>
      </c>
    </row>
    <row r="12" spans="1:8" x14ac:dyDescent="0.2">
      <c r="A12" s="30">
        <f t="shared" si="6"/>
        <v>8</v>
      </c>
      <c r="B12" s="31">
        <f t="shared" si="0"/>
        <v>1.2E-4</v>
      </c>
      <c r="C12" s="32">
        <f t="shared" si="7"/>
        <v>99470.778875428092</v>
      </c>
      <c r="D12" s="32">
        <f t="shared" si="1"/>
        <v>11.936493465051372</v>
      </c>
      <c r="E12" s="33">
        <f t="shared" si="2"/>
        <v>78523.151388662489</v>
      </c>
      <c r="F12" s="34">
        <f t="shared" si="3"/>
        <v>9.2845392092371615</v>
      </c>
      <c r="G12" s="32">
        <f t="shared" si="4"/>
        <v>2326185.142551064</v>
      </c>
      <c r="H12" s="35">
        <f t="shared" si="5"/>
        <v>10930.547107628405</v>
      </c>
    </row>
    <row r="13" spans="1:8" x14ac:dyDescent="0.2">
      <c r="A13" s="30">
        <f t="shared" si="6"/>
        <v>9</v>
      </c>
      <c r="B13" s="31">
        <f t="shared" si="0"/>
        <v>1.1E-4</v>
      </c>
      <c r="C13" s="32">
        <f t="shared" si="7"/>
        <v>99458.842381963041</v>
      </c>
      <c r="D13" s="32">
        <f t="shared" si="1"/>
        <v>10.940472662015935</v>
      </c>
      <c r="E13" s="33">
        <f t="shared" si="2"/>
        <v>76226.920981063944</v>
      </c>
      <c r="F13" s="34">
        <f t="shared" si="3"/>
        <v>8.2619478729654201</v>
      </c>
      <c r="G13" s="32">
        <f t="shared" si="4"/>
        <v>2247661.9911624016</v>
      </c>
      <c r="H13" s="35">
        <f t="shared" si="5"/>
        <v>10921.262568419168</v>
      </c>
    </row>
    <row r="14" spans="1:8" x14ac:dyDescent="0.2">
      <c r="A14" s="30">
        <f t="shared" si="6"/>
        <v>10</v>
      </c>
      <c r="B14" s="31">
        <f t="shared" si="0"/>
        <v>1E-4</v>
      </c>
      <c r="C14" s="32">
        <f t="shared" si="7"/>
        <v>99447.901909301028</v>
      </c>
      <c r="D14" s="32">
        <f t="shared" si="1"/>
        <v>9.9447901909301031</v>
      </c>
      <c r="E14" s="33">
        <f t="shared" si="2"/>
        <v>73998.578659957304</v>
      </c>
      <c r="F14" s="34">
        <f t="shared" si="3"/>
        <v>7.2912966096199412</v>
      </c>
      <c r="G14" s="32">
        <f t="shared" si="4"/>
        <v>2171435.0701813377</v>
      </c>
      <c r="H14" s="35">
        <f t="shared" si="5"/>
        <v>10913.000620546203</v>
      </c>
    </row>
    <row r="15" spans="1:8" x14ac:dyDescent="0.2">
      <c r="A15" s="30">
        <f t="shared" si="6"/>
        <v>11</v>
      </c>
      <c r="B15" s="31">
        <f t="shared" si="0"/>
        <v>1.1E-4</v>
      </c>
      <c r="C15" s="32">
        <f t="shared" si="7"/>
        <v>99437.957119110099</v>
      </c>
      <c r="D15" s="32">
        <f t="shared" si="1"/>
        <v>10.938175283102112</v>
      </c>
      <c r="E15" s="33">
        <f t="shared" si="2"/>
        <v>71836.095924360488</v>
      </c>
      <c r="F15" s="34">
        <f t="shared" si="3"/>
        <v>7.7860429397620177</v>
      </c>
      <c r="G15" s="32">
        <f t="shared" si="4"/>
        <v>2097436.4915213804</v>
      </c>
      <c r="H15" s="35">
        <f t="shared" si="5"/>
        <v>10905.709323936584</v>
      </c>
    </row>
    <row r="16" spans="1:8" x14ac:dyDescent="0.2">
      <c r="A16" s="30">
        <f t="shared" si="6"/>
        <v>12</v>
      </c>
      <c r="B16" s="31">
        <f t="shared" si="0"/>
        <v>1.2999999999999999E-4</v>
      </c>
      <c r="C16" s="32">
        <f t="shared" si="7"/>
        <v>99427.018943827003</v>
      </c>
      <c r="D16" s="32">
        <f t="shared" si="1"/>
        <v>12.92551246269751</v>
      </c>
      <c r="E16" s="33">
        <f t="shared" si="2"/>
        <v>69736.11063476585</v>
      </c>
      <c r="F16" s="34">
        <f t="shared" si="3"/>
        <v>8.9326941019860868</v>
      </c>
      <c r="G16" s="32">
        <f t="shared" si="4"/>
        <v>2025600.3955970199</v>
      </c>
      <c r="H16" s="35">
        <f t="shared" si="5"/>
        <v>10897.923280996822</v>
      </c>
    </row>
    <row r="17" spans="1:8" x14ac:dyDescent="0.2">
      <c r="A17" s="30">
        <f t="shared" si="6"/>
        <v>13</v>
      </c>
      <c r="B17" s="31">
        <f t="shared" si="0"/>
        <v>1.6000000000000001E-4</v>
      </c>
      <c r="C17" s="32">
        <f t="shared" si="7"/>
        <v>99414.093431364308</v>
      </c>
      <c r="D17" s="32">
        <f t="shared" si="1"/>
        <v>15.90625494901829</v>
      </c>
      <c r="E17" s="33">
        <f t="shared" si="2"/>
        <v>67696.160136294493</v>
      </c>
      <c r="F17" s="34">
        <f t="shared" si="3"/>
        <v>10.672481376254314</v>
      </c>
      <c r="G17" s="32">
        <f t="shared" si="4"/>
        <v>1955864.2849622541</v>
      </c>
      <c r="H17" s="35">
        <f t="shared" si="5"/>
        <v>10888.990586894835</v>
      </c>
    </row>
    <row r="18" spans="1:8" x14ac:dyDescent="0.2">
      <c r="A18" s="30">
        <f t="shared" si="6"/>
        <v>14</v>
      </c>
      <c r="B18" s="31">
        <f t="shared" si="0"/>
        <v>2.1000000000000001E-4</v>
      </c>
      <c r="C18" s="32">
        <f t="shared" si="7"/>
        <v>99398.187176415289</v>
      </c>
      <c r="D18" s="32">
        <f t="shared" si="1"/>
        <v>20.87361930704721</v>
      </c>
      <c r="E18" s="33">
        <f t="shared" si="2"/>
        <v>65713.911408420085</v>
      </c>
      <c r="F18" s="34">
        <f t="shared" si="3"/>
        <v>13.597466587616285</v>
      </c>
      <c r="G18" s="32">
        <f t="shared" si="4"/>
        <v>1888168.1248259596</v>
      </c>
      <c r="H18" s="35">
        <f t="shared" si="5"/>
        <v>10878.318105518581</v>
      </c>
    </row>
    <row r="19" spans="1:8" x14ac:dyDescent="0.2">
      <c r="A19" s="30">
        <f t="shared" si="6"/>
        <v>15</v>
      </c>
      <c r="B19" s="31">
        <f t="shared" si="0"/>
        <v>2.7E-4</v>
      </c>
      <c r="C19" s="32">
        <f t="shared" si="7"/>
        <v>99377.313557108238</v>
      </c>
      <c r="D19" s="32">
        <f t="shared" si="1"/>
        <v>26.831874660419224</v>
      </c>
      <c r="E19" s="33">
        <f t="shared" si="2"/>
        <v>63786.516006819722</v>
      </c>
      <c r="F19" s="34">
        <f t="shared" si="3"/>
        <v>16.969694878876002</v>
      </c>
      <c r="G19" s="32">
        <f t="shared" si="4"/>
        <v>1822454.2134175394</v>
      </c>
      <c r="H19" s="35">
        <f t="shared" si="5"/>
        <v>10864.720638930965</v>
      </c>
    </row>
    <row r="20" spans="1:8" x14ac:dyDescent="0.2">
      <c r="A20" s="30">
        <f t="shared" si="6"/>
        <v>16</v>
      </c>
      <c r="B20" s="31">
        <f t="shared" si="0"/>
        <v>3.6000000000000002E-4</v>
      </c>
      <c r="C20" s="32">
        <f t="shared" si="7"/>
        <v>99350.481682447818</v>
      </c>
      <c r="D20" s="32">
        <f t="shared" si="1"/>
        <v>35.766173405681215</v>
      </c>
      <c r="E20" s="33">
        <f t="shared" si="2"/>
        <v>61911.935580095022</v>
      </c>
      <c r="F20" s="34">
        <f t="shared" si="3"/>
        <v>21.961311406160135</v>
      </c>
      <c r="G20" s="32">
        <f t="shared" si="4"/>
        <v>1758667.6974107197</v>
      </c>
      <c r="H20" s="35">
        <f t="shared" si="5"/>
        <v>10847.750944052088</v>
      </c>
    </row>
    <row r="21" spans="1:8" x14ac:dyDescent="0.2">
      <c r="A21" s="30">
        <f t="shared" si="6"/>
        <v>17</v>
      </c>
      <c r="B21" s="31">
        <f t="shared" si="0"/>
        <v>4.6000000000000001E-4</v>
      </c>
      <c r="C21" s="32">
        <f t="shared" si="7"/>
        <v>99314.715509042144</v>
      </c>
      <c r="D21" s="32">
        <f t="shared" si="1"/>
        <v>45.684769134159389</v>
      </c>
      <c r="E21" s="33">
        <f t="shared" si="2"/>
        <v>60087.036197365233</v>
      </c>
      <c r="F21" s="34">
        <f t="shared" si="3"/>
        <v>27.234537361555564</v>
      </c>
      <c r="G21" s="32">
        <f t="shared" si="4"/>
        <v>1696755.7618306247</v>
      </c>
      <c r="H21" s="35">
        <f t="shared" si="5"/>
        <v>10825.789632645929</v>
      </c>
    </row>
    <row r="22" spans="1:8" x14ac:dyDescent="0.2">
      <c r="A22" s="30">
        <f t="shared" si="6"/>
        <v>18</v>
      </c>
      <c r="B22" s="31">
        <f t="shared" si="0"/>
        <v>5.4000000000000001E-4</v>
      </c>
      <c r="C22" s="32">
        <f t="shared" si="7"/>
        <v>99269.03073990799</v>
      </c>
      <c r="D22" s="32">
        <f t="shared" si="1"/>
        <v>53.605276599550315</v>
      </c>
      <c r="E22" s="33">
        <f t="shared" si="2"/>
        <v>58310.093359916937</v>
      </c>
      <c r="F22" s="34">
        <f t="shared" si="3"/>
        <v>31.025506788010539</v>
      </c>
      <c r="G22" s="32">
        <f t="shared" si="4"/>
        <v>1636668.7256332594</v>
      </c>
      <c r="H22" s="35">
        <f t="shared" si="5"/>
        <v>10798.555095284373</v>
      </c>
    </row>
    <row r="23" spans="1:8" x14ac:dyDescent="0.2">
      <c r="A23" s="30">
        <f t="shared" si="6"/>
        <v>19</v>
      </c>
      <c r="B23" s="31">
        <f t="shared" si="0"/>
        <v>5.9999999999999995E-4</v>
      </c>
      <c r="C23" s="32">
        <f t="shared" si="7"/>
        <v>99215.425463308435</v>
      </c>
      <c r="D23" s="32">
        <f t="shared" si="1"/>
        <v>59.529255277985058</v>
      </c>
      <c r="E23" s="33">
        <f t="shared" si="2"/>
        <v>56581.170785924834</v>
      </c>
      <c r="F23" s="34">
        <f t="shared" si="3"/>
        <v>33.450650500911557</v>
      </c>
      <c r="G23" s="32">
        <f t="shared" si="4"/>
        <v>1578358.6322733425</v>
      </c>
      <c r="H23" s="35">
        <f t="shared" si="5"/>
        <v>10767.529588496363</v>
      </c>
    </row>
    <row r="24" spans="1:8" x14ac:dyDescent="0.2">
      <c r="A24" s="30">
        <f t="shared" si="6"/>
        <v>20</v>
      </c>
      <c r="B24" s="31">
        <f t="shared" si="0"/>
        <v>6.3000000000000003E-4</v>
      </c>
      <c r="C24" s="32">
        <f t="shared" si="7"/>
        <v>99155.896208030448</v>
      </c>
      <c r="D24" s="32">
        <f t="shared" si="1"/>
        <v>62.468214611059182</v>
      </c>
      <c r="E24" s="33">
        <f t="shared" si="2"/>
        <v>54900.215615003188</v>
      </c>
      <c r="F24" s="34">
        <f t="shared" si="3"/>
        <v>34.07971758848695</v>
      </c>
      <c r="G24" s="32">
        <f t="shared" si="4"/>
        <v>1521777.4614874176</v>
      </c>
      <c r="H24" s="35">
        <f t="shared" si="5"/>
        <v>10734.078937995451</v>
      </c>
    </row>
    <row r="25" spans="1:8" x14ac:dyDescent="0.2">
      <c r="A25" s="30">
        <f t="shared" si="6"/>
        <v>21</v>
      </c>
      <c r="B25" s="31">
        <f t="shared" si="0"/>
        <v>6.4999999999999997E-4</v>
      </c>
      <c r="C25" s="32">
        <f t="shared" si="7"/>
        <v>99093.427993419391</v>
      </c>
      <c r="D25" s="32">
        <f t="shared" si="1"/>
        <v>64.410728195722598</v>
      </c>
      <c r="E25" s="33">
        <f t="shared" si="2"/>
        <v>53267.600465209456</v>
      </c>
      <c r="F25" s="34">
        <f t="shared" si="3"/>
        <v>34.11598210535373</v>
      </c>
      <c r="G25" s="32">
        <f t="shared" si="4"/>
        <v>1466877.2458724144</v>
      </c>
      <c r="H25" s="35">
        <f t="shared" si="5"/>
        <v>10699.999220406964</v>
      </c>
    </row>
    <row r="26" spans="1:8" x14ac:dyDescent="0.2">
      <c r="A26" s="30">
        <f t="shared" si="6"/>
        <v>22</v>
      </c>
      <c r="B26" s="31">
        <f t="shared" si="0"/>
        <v>6.7000000000000002E-4</v>
      </c>
      <c r="C26" s="32">
        <f t="shared" si="7"/>
        <v>99029.017265223665</v>
      </c>
      <c r="D26" s="32">
        <f t="shared" si="1"/>
        <v>66.349441567699856</v>
      </c>
      <c r="E26" s="33">
        <f t="shared" si="2"/>
        <v>51682.501480492298</v>
      </c>
      <c r="F26" s="34">
        <f t="shared" si="3"/>
        <v>34.119268857923991</v>
      </c>
      <c r="G26" s="32">
        <f t="shared" si="4"/>
        <v>1413609.645407205</v>
      </c>
      <c r="H26" s="35">
        <f t="shared" si="5"/>
        <v>10665.883238301611</v>
      </c>
    </row>
    <row r="27" spans="1:8" x14ac:dyDescent="0.2">
      <c r="A27" s="30">
        <f t="shared" si="6"/>
        <v>23</v>
      </c>
      <c r="B27" s="31">
        <f t="shared" si="0"/>
        <v>6.8999999999999997E-4</v>
      </c>
      <c r="C27" s="32">
        <f t="shared" si="7"/>
        <v>98962.667823655967</v>
      </c>
      <c r="D27" s="32">
        <f t="shared" si="1"/>
        <v>68.284240798322614</v>
      </c>
      <c r="E27" s="33">
        <f t="shared" si="2"/>
        <v>50143.56718883531</v>
      </c>
      <c r="F27" s="34">
        <f t="shared" si="3"/>
        <v>34.091468155302913</v>
      </c>
      <c r="G27" s="32">
        <f t="shared" si="4"/>
        <v>1361927.1439267127</v>
      </c>
      <c r="H27" s="35">
        <f t="shared" si="5"/>
        <v>10631.763969443688</v>
      </c>
    </row>
    <row r="28" spans="1:8" x14ac:dyDescent="0.2">
      <c r="A28" s="30">
        <f t="shared" si="6"/>
        <v>24</v>
      </c>
      <c r="B28" s="31">
        <f t="shared" si="0"/>
        <v>6.8999999999999997E-4</v>
      </c>
      <c r="C28" s="32">
        <f t="shared" si="7"/>
        <v>98894.383582857641</v>
      </c>
      <c r="D28" s="32">
        <f t="shared" si="1"/>
        <v>68.237124672171774</v>
      </c>
      <c r="E28" s="33">
        <f t="shared" si="2"/>
        <v>48649.483618907776</v>
      </c>
      <c r="F28" s="34">
        <f t="shared" si="3"/>
        <v>33.075674798325977</v>
      </c>
      <c r="G28" s="32">
        <f t="shared" si="4"/>
        <v>1311783.5767378774</v>
      </c>
      <c r="H28" s="35">
        <f t="shared" si="5"/>
        <v>10597.672501288385</v>
      </c>
    </row>
    <row r="29" spans="1:8" x14ac:dyDescent="0.2">
      <c r="A29" s="30">
        <f t="shared" si="6"/>
        <v>25</v>
      </c>
      <c r="B29" s="31">
        <f t="shared" si="0"/>
        <v>6.8000000000000005E-4</v>
      </c>
      <c r="C29" s="32">
        <f t="shared" si="7"/>
        <v>98826.146458185467</v>
      </c>
      <c r="D29" s="32">
        <f t="shared" si="1"/>
        <v>67.201779591566122</v>
      </c>
      <c r="E29" s="33">
        <f t="shared" si="2"/>
        <v>47199.917937097794</v>
      </c>
      <c r="F29" s="34">
        <f t="shared" si="3"/>
        <v>31.625073527854639</v>
      </c>
      <c r="G29" s="32">
        <f t="shared" si="4"/>
        <v>1263134.0931189696</v>
      </c>
      <c r="H29" s="35">
        <f t="shared" si="5"/>
        <v>10564.596826490058</v>
      </c>
    </row>
    <row r="30" spans="1:8" x14ac:dyDescent="0.2">
      <c r="A30" s="30">
        <f t="shared" si="6"/>
        <v>26</v>
      </c>
      <c r="B30" s="31">
        <f t="shared" si="0"/>
        <v>6.6E-4</v>
      </c>
      <c r="C30" s="32">
        <f t="shared" si="7"/>
        <v>98758.944678593907</v>
      </c>
      <c r="D30" s="32">
        <f t="shared" si="1"/>
        <v>65.180903487871973</v>
      </c>
      <c r="E30" s="33">
        <f t="shared" si="2"/>
        <v>45794.001934854918</v>
      </c>
      <c r="F30" s="34">
        <f t="shared" si="3"/>
        <v>29.780632774678406</v>
      </c>
      <c r="G30" s="32">
        <f t="shared" si="4"/>
        <v>1215934.1751818717</v>
      </c>
      <c r="H30" s="35">
        <f t="shared" si="5"/>
        <v>10532.971752962203</v>
      </c>
    </row>
    <row r="31" spans="1:8" x14ac:dyDescent="0.2">
      <c r="A31" s="30">
        <f t="shared" si="6"/>
        <v>27</v>
      </c>
      <c r="B31" s="31">
        <f t="shared" si="0"/>
        <v>6.4999999999999997E-4</v>
      </c>
      <c r="C31" s="32">
        <f t="shared" si="7"/>
        <v>98693.763775106039</v>
      </c>
      <c r="D31" s="32">
        <f t="shared" si="1"/>
        <v>64.150946453818918</v>
      </c>
      <c r="E31" s="33">
        <f t="shared" si="2"/>
        <v>44430.852323862055</v>
      </c>
      <c r="F31" s="34">
        <f t="shared" si="3"/>
        <v>28.456362771521963</v>
      </c>
      <c r="G31" s="32">
        <f t="shared" si="4"/>
        <v>1170140.1732470167</v>
      </c>
      <c r="H31" s="35">
        <f t="shared" si="5"/>
        <v>10503.191120187525</v>
      </c>
    </row>
    <row r="32" spans="1:8" x14ac:dyDescent="0.2">
      <c r="A32" s="30">
        <f t="shared" si="6"/>
        <v>28</v>
      </c>
      <c r="B32" s="31">
        <f t="shared" si="0"/>
        <v>6.7000000000000002E-4</v>
      </c>
      <c r="C32" s="32">
        <f t="shared" si="7"/>
        <v>98629.612828652214</v>
      </c>
      <c r="D32" s="32">
        <f t="shared" si="1"/>
        <v>66.081840595196979</v>
      </c>
      <c r="E32" s="33">
        <f t="shared" si="2"/>
        <v>43108.710941603444</v>
      </c>
      <c r="F32" s="34">
        <f t="shared" si="3"/>
        <v>28.459104273237809</v>
      </c>
      <c r="G32" s="32">
        <f t="shared" si="4"/>
        <v>1125709.3209231547</v>
      </c>
      <c r="H32" s="35">
        <f t="shared" si="5"/>
        <v>10474.734757416003</v>
      </c>
    </row>
    <row r="33" spans="1:8" x14ac:dyDescent="0.2">
      <c r="A33" s="30">
        <f t="shared" si="6"/>
        <v>29</v>
      </c>
      <c r="B33" s="31">
        <f t="shared" si="0"/>
        <v>7.1000000000000002E-4</v>
      </c>
      <c r="C33" s="32">
        <f t="shared" si="7"/>
        <v>98563.530988057013</v>
      </c>
      <c r="D33" s="32">
        <f t="shared" si="1"/>
        <v>69.98010700152048</v>
      </c>
      <c r="E33" s="33">
        <f t="shared" si="2"/>
        <v>41825.075830361711</v>
      </c>
      <c r="F33" s="34">
        <f t="shared" si="3"/>
        <v>29.260144961738977</v>
      </c>
      <c r="G33" s="32">
        <f t="shared" si="4"/>
        <v>1082600.6099815513</v>
      </c>
      <c r="H33" s="35">
        <f t="shared" si="5"/>
        <v>10446.275653142766</v>
      </c>
    </row>
    <row r="34" spans="1:8" x14ac:dyDescent="0.2">
      <c r="A34" s="30">
        <f t="shared" si="6"/>
        <v>30</v>
      </c>
      <c r="B34" s="31">
        <f t="shared" si="0"/>
        <v>7.6999999999999996E-4</v>
      </c>
      <c r="C34" s="32">
        <f t="shared" si="7"/>
        <v>98493.550881055489</v>
      </c>
      <c r="D34" s="32">
        <f t="shared" si="1"/>
        <v>75.840034178412722</v>
      </c>
      <c r="E34" s="33">
        <f t="shared" si="2"/>
        <v>40578.038860701119</v>
      </c>
      <c r="F34" s="34">
        <f t="shared" si="3"/>
        <v>30.786701899751712</v>
      </c>
      <c r="G34" s="32">
        <f t="shared" si="4"/>
        <v>1040775.5341511895</v>
      </c>
      <c r="H34" s="35">
        <f t="shared" si="5"/>
        <v>10417.015508181026</v>
      </c>
    </row>
    <row r="35" spans="1:8" x14ac:dyDescent="0.2">
      <c r="A35" s="30">
        <f t="shared" si="6"/>
        <v>31</v>
      </c>
      <c r="B35" s="31">
        <f t="shared" si="0"/>
        <v>8.1999999999999998E-4</v>
      </c>
      <c r="C35" s="32">
        <f t="shared" si="7"/>
        <v>98417.710846877075</v>
      </c>
      <c r="D35" s="32">
        <f t="shared" si="1"/>
        <v>80.702522894439198</v>
      </c>
      <c r="E35" s="33">
        <f t="shared" si="2"/>
        <v>39365.819194930467</v>
      </c>
      <c r="F35" s="34">
        <f t="shared" si="3"/>
        <v>31.806401253583289</v>
      </c>
      <c r="G35" s="32">
        <f t="shared" si="4"/>
        <v>1000197.4952904884</v>
      </c>
      <c r="H35" s="35">
        <f t="shared" si="5"/>
        <v>10386.228806281275</v>
      </c>
    </row>
    <row r="36" spans="1:8" x14ac:dyDescent="0.2">
      <c r="A36" s="30">
        <f t="shared" si="6"/>
        <v>32</v>
      </c>
      <c r="B36" s="31">
        <f t="shared" ref="B36:B67" si="8">INDEX(MortGrid,A36+1,PremMortCol)</f>
        <v>8.8000000000000003E-4</v>
      </c>
      <c r="C36" s="32">
        <f t="shared" si="7"/>
        <v>98337.008323982634</v>
      </c>
      <c r="D36" s="32">
        <f t="shared" ref="D36:D67" si="9">C36*B36</f>
        <v>86.536567325104727</v>
      </c>
      <c r="E36" s="33">
        <f t="shared" ref="E36:E67" si="10">C36*(1/(1+IntRatePrem))^A36</f>
        <v>38187.902158437493</v>
      </c>
      <c r="F36" s="34">
        <f t="shared" ref="F36:F67" si="11">D36*(1/(1+IntRatePrem))^(A36+0.5)</f>
        <v>33.112339100176065</v>
      </c>
      <c r="G36" s="32">
        <f t="shared" ref="G36:G67" si="12">IF(A36&gt;=110,E36,G37+E36)</f>
        <v>960831.67609555786</v>
      </c>
      <c r="H36" s="35">
        <f t="shared" ref="H36:H67" si="13">IF(A36&gt;=110,E36,H37+F36)</f>
        <v>10354.422405027692</v>
      </c>
    </row>
    <row r="37" spans="1:8" x14ac:dyDescent="0.2">
      <c r="A37" s="30">
        <f t="shared" ref="A37:A68" si="14">A36+1</f>
        <v>33</v>
      </c>
      <c r="B37" s="31">
        <f t="shared" si="8"/>
        <v>9.2000000000000003E-4</v>
      </c>
      <c r="C37" s="32">
        <f t="shared" ref="C37:C68" si="15">C36-D36</f>
        <v>98250.471756657527</v>
      </c>
      <c r="D37" s="32">
        <f t="shared" si="9"/>
        <v>90.390434016124928</v>
      </c>
      <c r="E37" s="33">
        <f t="shared" si="10"/>
        <v>37043.006606347641</v>
      </c>
      <c r="F37" s="34">
        <f t="shared" si="11"/>
        <v>33.579594243630275</v>
      </c>
      <c r="G37" s="32">
        <f t="shared" si="12"/>
        <v>922643.77393712034</v>
      </c>
      <c r="H37" s="35">
        <f t="shared" si="13"/>
        <v>10321.310065927515</v>
      </c>
    </row>
    <row r="38" spans="1:8" x14ac:dyDescent="0.2">
      <c r="A38" s="30">
        <f t="shared" si="14"/>
        <v>34</v>
      </c>
      <c r="B38" s="31">
        <f t="shared" si="8"/>
        <v>9.5E-4</v>
      </c>
      <c r="C38" s="32">
        <f t="shared" si="15"/>
        <v>98160.081322641403</v>
      </c>
      <c r="D38" s="32">
        <f t="shared" si="9"/>
        <v>93.252077256509338</v>
      </c>
      <c r="E38" s="33">
        <f t="shared" si="10"/>
        <v>35930.997126475537</v>
      </c>
      <c r="F38" s="34">
        <f t="shared" si="11"/>
        <v>33.633670289235781</v>
      </c>
      <c r="G38" s="32">
        <f t="shared" si="12"/>
        <v>885600.76733077271</v>
      </c>
      <c r="H38" s="35">
        <f t="shared" si="13"/>
        <v>10287.730471683884</v>
      </c>
    </row>
    <row r="39" spans="1:8" x14ac:dyDescent="0.2">
      <c r="A39" s="30">
        <f t="shared" si="14"/>
        <v>35</v>
      </c>
      <c r="B39" s="31">
        <f t="shared" si="8"/>
        <v>9.8999999999999999E-4</v>
      </c>
      <c r="C39" s="32">
        <f t="shared" si="15"/>
        <v>98066.829245384899</v>
      </c>
      <c r="D39" s="32">
        <f t="shared" si="9"/>
        <v>97.086160952931053</v>
      </c>
      <c r="E39" s="33">
        <f t="shared" si="10"/>
        <v>34851.322989519795</v>
      </c>
      <c r="F39" s="34">
        <f t="shared" si="11"/>
        <v>33.996628635090858</v>
      </c>
      <c r="G39" s="32">
        <f t="shared" si="12"/>
        <v>849669.77020429715</v>
      </c>
      <c r="H39" s="35">
        <f t="shared" si="13"/>
        <v>10254.096801394649</v>
      </c>
    </row>
    <row r="40" spans="1:8" x14ac:dyDescent="0.2">
      <c r="A40" s="30">
        <f t="shared" si="14"/>
        <v>36</v>
      </c>
      <c r="B40" s="31">
        <f t="shared" si="8"/>
        <v>1.0499999999999999E-3</v>
      </c>
      <c r="C40" s="32">
        <f t="shared" si="15"/>
        <v>97969.743084431975</v>
      </c>
      <c r="D40" s="32">
        <f t="shared" si="9"/>
        <v>102.86823023865357</v>
      </c>
      <c r="E40" s="33">
        <f t="shared" si="10"/>
        <v>33802.73803860211</v>
      </c>
      <c r="F40" s="34">
        <f t="shared" si="11"/>
        <v>34.972168845130149</v>
      </c>
      <c r="G40" s="32">
        <f t="shared" si="12"/>
        <v>814818.44721477735</v>
      </c>
      <c r="H40" s="35">
        <f t="shared" si="13"/>
        <v>10220.100172759559</v>
      </c>
    </row>
    <row r="41" spans="1:8" x14ac:dyDescent="0.2">
      <c r="A41" s="30">
        <f t="shared" si="14"/>
        <v>37</v>
      </c>
      <c r="B41" s="31">
        <f t="shared" si="8"/>
        <v>1.14E-3</v>
      </c>
      <c r="C41" s="32">
        <f t="shared" si="15"/>
        <v>97866.874854193316</v>
      </c>
      <c r="D41" s="32">
        <f t="shared" si="9"/>
        <v>111.56823733378037</v>
      </c>
      <c r="E41" s="33">
        <f t="shared" si="10"/>
        <v>32783.733168603467</v>
      </c>
      <c r="F41" s="34">
        <f t="shared" si="11"/>
        <v>36.825160237947998</v>
      </c>
      <c r="G41" s="32">
        <f t="shared" si="12"/>
        <v>781015.70917617518</v>
      </c>
      <c r="H41" s="35">
        <f t="shared" si="13"/>
        <v>10185.128003914429</v>
      </c>
    </row>
    <row r="42" spans="1:8" x14ac:dyDescent="0.2">
      <c r="A42" s="30">
        <f t="shared" si="14"/>
        <v>38</v>
      </c>
      <c r="B42" s="31">
        <f t="shared" si="8"/>
        <v>1.25E-3</v>
      </c>
      <c r="C42" s="32">
        <f t="shared" si="15"/>
        <v>97755.30661685954</v>
      </c>
      <c r="D42" s="32">
        <f t="shared" si="9"/>
        <v>122.19413327107442</v>
      </c>
      <c r="E42" s="33">
        <f t="shared" si="10"/>
        <v>31792.582245428406</v>
      </c>
      <c r="F42" s="34">
        <f t="shared" si="11"/>
        <v>39.157702643583647</v>
      </c>
      <c r="G42" s="32">
        <f t="shared" si="12"/>
        <v>748231.97600757168</v>
      </c>
      <c r="H42" s="35">
        <f t="shared" si="13"/>
        <v>10148.302843676482</v>
      </c>
    </row>
    <row r="43" spans="1:8" x14ac:dyDescent="0.2">
      <c r="A43" s="30">
        <f t="shared" si="14"/>
        <v>39</v>
      </c>
      <c r="B43" s="31">
        <f t="shared" si="8"/>
        <v>1.3600000000000001E-3</v>
      </c>
      <c r="C43" s="32">
        <f t="shared" si="15"/>
        <v>97633.112483588469</v>
      </c>
      <c r="D43" s="32">
        <f t="shared" si="9"/>
        <v>132.78103297768033</v>
      </c>
      <c r="E43" s="33">
        <f t="shared" si="10"/>
        <v>30828.001473419055</v>
      </c>
      <c r="F43" s="34">
        <f t="shared" si="11"/>
        <v>41.310996117110427</v>
      </c>
      <c r="G43" s="32">
        <f t="shared" si="12"/>
        <v>716439.39376214333</v>
      </c>
      <c r="H43" s="35">
        <f t="shared" si="13"/>
        <v>10109.145141032897</v>
      </c>
    </row>
    <row r="44" spans="1:8" x14ac:dyDescent="0.2">
      <c r="A44" s="30">
        <f t="shared" si="14"/>
        <v>40</v>
      </c>
      <c r="B44" s="31">
        <f t="shared" si="8"/>
        <v>1.47E-3</v>
      </c>
      <c r="C44" s="32">
        <f t="shared" si="15"/>
        <v>97500.331450610785</v>
      </c>
      <c r="D44" s="32">
        <f t="shared" si="9"/>
        <v>143.32548723239785</v>
      </c>
      <c r="E44" s="33">
        <f t="shared" si="10"/>
        <v>29889.393583898251</v>
      </c>
      <c r="F44" s="34">
        <f t="shared" si="11"/>
        <v>43.292815069042682</v>
      </c>
      <c r="G44" s="32">
        <f t="shared" si="12"/>
        <v>685611.39228872431</v>
      </c>
      <c r="H44" s="35">
        <f t="shared" si="13"/>
        <v>10067.834144915787</v>
      </c>
    </row>
    <row r="45" spans="1:8" x14ac:dyDescent="0.2">
      <c r="A45" s="30">
        <f t="shared" si="14"/>
        <v>41</v>
      </c>
      <c r="B45" s="31">
        <f t="shared" si="8"/>
        <v>1.5900000000000001E-3</v>
      </c>
      <c r="C45" s="32">
        <f t="shared" si="15"/>
        <v>97357.005963378382</v>
      </c>
      <c r="D45" s="32">
        <f t="shared" si="9"/>
        <v>154.79763948177163</v>
      </c>
      <c r="E45" s="33">
        <f t="shared" si="10"/>
        <v>28976.171044009632</v>
      </c>
      <c r="F45" s="34">
        <f t="shared" si="11"/>
        <v>45.396200821027016</v>
      </c>
      <c r="G45" s="32">
        <f t="shared" si="12"/>
        <v>655721.99870482611</v>
      </c>
      <c r="H45" s="35">
        <f t="shared" si="13"/>
        <v>10024.541329846745</v>
      </c>
    </row>
    <row r="46" spans="1:8" x14ac:dyDescent="0.2">
      <c r="A46" s="30">
        <f t="shared" si="14"/>
        <v>42</v>
      </c>
      <c r="B46" s="31">
        <f t="shared" si="8"/>
        <v>1.73E-3</v>
      </c>
      <c r="C46" s="32">
        <f t="shared" si="15"/>
        <v>97202.208323896615</v>
      </c>
      <c r="D46" s="32">
        <f t="shared" si="9"/>
        <v>168.15982040034115</v>
      </c>
      <c r="E46" s="33">
        <f t="shared" si="10"/>
        <v>28087.474691310344</v>
      </c>
      <c r="F46" s="34">
        <f t="shared" si="11"/>
        <v>47.878461312070783</v>
      </c>
      <c r="G46" s="32">
        <f t="shared" si="12"/>
        <v>626745.82766081649</v>
      </c>
      <c r="H46" s="35">
        <f t="shared" si="13"/>
        <v>9979.1451290257173</v>
      </c>
    </row>
    <row r="47" spans="1:8" x14ac:dyDescent="0.2">
      <c r="A47" s="30">
        <f t="shared" si="14"/>
        <v>43</v>
      </c>
      <c r="B47" s="31">
        <f t="shared" si="8"/>
        <v>1.9E-3</v>
      </c>
      <c r="C47" s="32">
        <f t="shared" si="15"/>
        <v>97034.048503496277</v>
      </c>
      <c r="D47" s="32">
        <f t="shared" si="9"/>
        <v>184.36469215664292</v>
      </c>
      <c r="E47" s="33">
        <f t="shared" si="10"/>
        <v>27222.216854460563</v>
      </c>
      <c r="F47" s="34">
        <f t="shared" si="11"/>
        <v>50.963409838151257</v>
      </c>
      <c r="G47" s="32">
        <f t="shared" si="12"/>
        <v>598658.35296950617</v>
      </c>
      <c r="H47" s="35">
        <f t="shared" si="13"/>
        <v>9931.2666677136458</v>
      </c>
    </row>
    <row r="48" spans="1:8" x14ac:dyDescent="0.2">
      <c r="A48" s="30">
        <f t="shared" si="14"/>
        <v>44</v>
      </c>
      <c r="B48" s="31">
        <f t="shared" si="8"/>
        <v>2.0999999999999999E-3</v>
      </c>
      <c r="C48" s="32">
        <f t="shared" si="15"/>
        <v>96849.683811339637</v>
      </c>
      <c r="D48" s="32">
        <f t="shared" si="9"/>
        <v>203.38433600381322</v>
      </c>
      <c r="E48" s="33">
        <f t="shared" si="10"/>
        <v>26379.121012074847</v>
      </c>
      <c r="F48" s="34">
        <f t="shared" si="11"/>
        <v>54.583452557416159</v>
      </c>
      <c r="G48" s="32">
        <f t="shared" si="12"/>
        <v>571436.13611504564</v>
      </c>
      <c r="H48" s="35">
        <f t="shared" si="13"/>
        <v>9880.3032578754937</v>
      </c>
    </row>
    <row r="49" spans="1:8" x14ac:dyDescent="0.2">
      <c r="A49" s="30">
        <f t="shared" si="14"/>
        <v>45</v>
      </c>
      <c r="B49" s="31">
        <f t="shared" si="8"/>
        <v>2.32E-3</v>
      </c>
      <c r="C49" s="32">
        <f t="shared" si="15"/>
        <v>96646.299475335822</v>
      </c>
      <c r="D49" s="32">
        <f t="shared" si="9"/>
        <v>224.2194147827791</v>
      </c>
      <c r="E49" s="33">
        <f t="shared" si="10"/>
        <v>25557.014425193676</v>
      </c>
      <c r="F49" s="34">
        <f t="shared" si="11"/>
        <v>58.422413015416438</v>
      </c>
      <c r="G49" s="32">
        <f t="shared" si="12"/>
        <v>545057.01510297076</v>
      </c>
      <c r="H49" s="35">
        <f t="shared" si="13"/>
        <v>9825.7198053180782</v>
      </c>
    </row>
    <row r="50" spans="1:8" x14ac:dyDescent="0.2">
      <c r="A50" s="30">
        <f t="shared" si="14"/>
        <v>46</v>
      </c>
      <c r="B50" s="31">
        <f t="shared" si="8"/>
        <v>2.5799999999999998E-3</v>
      </c>
      <c r="C50" s="32">
        <f t="shared" si="15"/>
        <v>96422.080060553038</v>
      </c>
      <c r="D50" s="32">
        <f t="shared" si="9"/>
        <v>248.76896655622681</v>
      </c>
      <c r="E50" s="33">
        <f t="shared" si="10"/>
        <v>24755.070050220613</v>
      </c>
      <c r="F50" s="34">
        <f t="shared" si="11"/>
        <v>62.931089883005235</v>
      </c>
      <c r="G50" s="32">
        <f t="shared" si="12"/>
        <v>519500.00067777705</v>
      </c>
      <c r="H50" s="35">
        <f t="shared" si="13"/>
        <v>9767.297392302662</v>
      </c>
    </row>
    <row r="51" spans="1:8" x14ac:dyDescent="0.2">
      <c r="A51" s="30">
        <f t="shared" si="14"/>
        <v>47</v>
      </c>
      <c r="B51" s="31">
        <f t="shared" si="8"/>
        <v>2.8700000000000002E-3</v>
      </c>
      <c r="C51" s="32">
        <f t="shared" si="15"/>
        <v>96173.311093996817</v>
      </c>
      <c r="D51" s="32">
        <f t="shared" si="9"/>
        <v>276.01740283977085</v>
      </c>
      <c r="E51" s="33">
        <f t="shared" si="10"/>
        <v>23972.040747078681</v>
      </c>
      <c r="F51" s="34">
        <f t="shared" si="11"/>
        <v>67.790414847624504</v>
      </c>
      <c r="G51" s="32">
        <f t="shared" si="12"/>
        <v>494744.93062755646</v>
      </c>
      <c r="H51" s="35">
        <f t="shared" si="13"/>
        <v>9704.3663024196576</v>
      </c>
    </row>
    <row r="52" spans="1:8" x14ac:dyDescent="0.2">
      <c r="A52" s="30">
        <f t="shared" si="14"/>
        <v>48</v>
      </c>
      <c r="B52" s="31">
        <f t="shared" si="8"/>
        <v>3.1800000000000001E-3</v>
      </c>
      <c r="C52" s="32">
        <f t="shared" si="15"/>
        <v>95897.293691157043</v>
      </c>
      <c r="D52" s="32">
        <f t="shared" si="9"/>
        <v>304.95339393787941</v>
      </c>
      <c r="E52" s="33">
        <f t="shared" si="10"/>
        <v>23207.030087509283</v>
      </c>
      <c r="F52" s="34">
        <f t="shared" si="11"/>
        <v>72.715680530190994</v>
      </c>
      <c r="G52" s="32">
        <f t="shared" si="12"/>
        <v>470772.8898804778</v>
      </c>
      <c r="H52" s="35">
        <f t="shared" si="13"/>
        <v>9636.575887572033</v>
      </c>
    </row>
    <row r="53" spans="1:8" x14ac:dyDescent="0.2">
      <c r="A53" s="30">
        <f t="shared" si="14"/>
        <v>49</v>
      </c>
      <c r="B53" s="31">
        <f t="shared" si="8"/>
        <v>3.5200000000000001E-3</v>
      </c>
      <c r="C53" s="32">
        <f t="shared" si="15"/>
        <v>95592.340297219169</v>
      </c>
      <c r="D53" s="32">
        <f t="shared" si="9"/>
        <v>336.48503784621147</v>
      </c>
      <c r="E53" s="33">
        <f t="shared" si="10"/>
        <v>22459.448283331072</v>
      </c>
      <c r="F53" s="34">
        <f t="shared" si="11"/>
        <v>77.897430916739822</v>
      </c>
      <c r="G53" s="32">
        <f t="shared" si="12"/>
        <v>447565.85979296849</v>
      </c>
      <c r="H53" s="35">
        <f t="shared" si="13"/>
        <v>9563.8602070418419</v>
      </c>
    </row>
    <row r="54" spans="1:8" x14ac:dyDescent="0.2">
      <c r="A54" s="30">
        <f t="shared" si="14"/>
        <v>50</v>
      </c>
      <c r="B54" s="31">
        <f t="shared" si="8"/>
        <v>3.9199999999999999E-3</v>
      </c>
      <c r="C54" s="32">
        <f t="shared" si="15"/>
        <v>95255.855259372955</v>
      </c>
      <c r="D54" s="32">
        <f t="shared" si="9"/>
        <v>373.40295261674197</v>
      </c>
      <c r="E54" s="33">
        <f t="shared" si="10"/>
        <v>21728.534976091018</v>
      </c>
      <c r="F54" s="34">
        <f t="shared" si="11"/>
        <v>83.926265799552752</v>
      </c>
      <c r="G54" s="32">
        <f t="shared" si="12"/>
        <v>425106.41150963743</v>
      </c>
      <c r="H54" s="35">
        <f t="shared" si="13"/>
        <v>9485.9627761251013</v>
      </c>
    </row>
    <row r="55" spans="1:8" x14ac:dyDescent="0.2">
      <c r="A55" s="30">
        <f t="shared" si="14"/>
        <v>51</v>
      </c>
      <c r="B55" s="31">
        <f t="shared" si="8"/>
        <v>4.3499999999999997E-3</v>
      </c>
      <c r="C55" s="32">
        <f t="shared" si="15"/>
        <v>94882.452306756211</v>
      </c>
      <c r="D55" s="32">
        <f t="shared" si="9"/>
        <v>412.73866753438949</v>
      </c>
      <c r="E55" s="33">
        <f t="shared" si="10"/>
        <v>21012.970018431784</v>
      </c>
      <c r="F55" s="34">
        <f t="shared" si="11"/>
        <v>90.065421424519656</v>
      </c>
      <c r="G55" s="32">
        <f t="shared" si="12"/>
        <v>403377.87653354643</v>
      </c>
      <c r="H55" s="35">
        <f t="shared" si="13"/>
        <v>9402.0365103255481</v>
      </c>
    </row>
    <row r="56" spans="1:8" x14ac:dyDescent="0.2">
      <c r="A56" s="30">
        <f t="shared" si="14"/>
        <v>52</v>
      </c>
      <c r="B56" s="31">
        <f t="shared" si="8"/>
        <v>4.7999999999999996E-3</v>
      </c>
      <c r="C56" s="32">
        <f t="shared" si="15"/>
        <v>94469.713639221824</v>
      </c>
      <c r="D56" s="32">
        <f t="shared" si="9"/>
        <v>453.45462546826474</v>
      </c>
      <c r="E56" s="33">
        <f t="shared" si="10"/>
        <v>20312.197668787969</v>
      </c>
      <c r="F56" s="34">
        <f t="shared" si="11"/>
        <v>96.068174721203064</v>
      </c>
      <c r="G56" s="32">
        <f t="shared" si="12"/>
        <v>382364.90651511465</v>
      </c>
      <c r="H56" s="35">
        <f t="shared" si="13"/>
        <v>9311.9710889010275</v>
      </c>
    </row>
    <row r="57" spans="1:8" x14ac:dyDescent="0.2">
      <c r="A57" s="30">
        <f t="shared" si="14"/>
        <v>53</v>
      </c>
      <c r="B57" s="31">
        <f t="shared" si="8"/>
        <v>5.2700000000000004E-3</v>
      </c>
      <c r="C57" s="32">
        <f t="shared" si="15"/>
        <v>94016.259013753559</v>
      </c>
      <c r="D57" s="32">
        <f t="shared" si="9"/>
        <v>495.46568500248128</v>
      </c>
      <c r="E57" s="33">
        <f t="shared" si="10"/>
        <v>19625.921475706589</v>
      </c>
      <c r="F57" s="34">
        <f t="shared" si="11"/>
        <v>101.91123386589659</v>
      </c>
      <c r="G57" s="32">
        <f t="shared" si="12"/>
        <v>362052.70884632668</v>
      </c>
      <c r="H57" s="35">
        <f t="shared" si="13"/>
        <v>9215.9029141798237</v>
      </c>
    </row>
    <row r="58" spans="1:8" x14ac:dyDescent="0.2">
      <c r="A58" s="30">
        <f t="shared" si="14"/>
        <v>54</v>
      </c>
      <c r="B58" s="31">
        <f t="shared" si="8"/>
        <v>5.7499999999999999E-3</v>
      </c>
      <c r="C58" s="32">
        <f t="shared" si="15"/>
        <v>93520.793328751082</v>
      </c>
      <c r="D58" s="32">
        <f t="shared" si="9"/>
        <v>537.74456164031869</v>
      </c>
      <c r="E58" s="33">
        <f t="shared" si="10"/>
        <v>18953.876572358851</v>
      </c>
      <c r="F58" s="34">
        <f t="shared" si="11"/>
        <v>107.38590474838045</v>
      </c>
      <c r="G58" s="32">
        <f t="shared" si="12"/>
        <v>342426.78737062012</v>
      </c>
      <c r="H58" s="35">
        <f t="shared" si="13"/>
        <v>9113.9916803139276</v>
      </c>
    </row>
    <row r="59" spans="1:8" x14ac:dyDescent="0.2">
      <c r="A59" s="30">
        <f t="shared" si="14"/>
        <v>55</v>
      </c>
      <c r="B59" s="31">
        <f t="shared" si="8"/>
        <v>6.2500000000000003E-3</v>
      </c>
      <c r="C59" s="32">
        <f t="shared" si="15"/>
        <v>92983.048767110769</v>
      </c>
      <c r="D59" s="32">
        <f t="shared" si="9"/>
        <v>581.14405479444235</v>
      </c>
      <c r="E59" s="33">
        <f t="shared" si="10"/>
        <v>18296.011438900765</v>
      </c>
      <c r="F59" s="34">
        <f t="shared" si="11"/>
        <v>112.67247340236102</v>
      </c>
      <c r="G59" s="32">
        <f t="shared" si="12"/>
        <v>323472.91079826129</v>
      </c>
      <c r="H59" s="35">
        <f t="shared" si="13"/>
        <v>9006.6057755655474</v>
      </c>
    </row>
    <row r="60" spans="1:8" x14ac:dyDescent="0.2">
      <c r="A60" s="30">
        <f t="shared" si="14"/>
        <v>56</v>
      </c>
      <c r="B60" s="31">
        <f t="shared" si="8"/>
        <v>6.7799999999999996E-3</v>
      </c>
      <c r="C60" s="32">
        <f t="shared" si="15"/>
        <v>92401.904712316333</v>
      </c>
      <c r="D60" s="32">
        <f t="shared" si="9"/>
        <v>626.48491394950474</v>
      </c>
      <c r="E60" s="33">
        <f t="shared" si="10"/>
        <v>17652.098414958869</v>
      </c>
      <c r="F60" s="34">
        <f t="shared" si="11"/>
        <v>117.92541725943029</v>
      </c>
      <c r="G60" s="32">
        <f t="shared" si="12"/>
        <v>305176.89935936051</v>
      </c>
      <c r="H60" s="35">
        <f t="shared" si="13"/>
        <v>8893.9333021631865</v>
      </c>
    </row>
    <row r="61" spans="1:8" x14ac:dyDescent="0.2">
      <c r="A61" s="30">
        <f t="shared" si="14"/>
        <v>57</v>
      </c>
      <c r="B61" s="31">
        <f t="shared" si="8"/>
        <v>7.3699999999999998E-3</v>
      </c>
      <c r="C61" s="32">
        <f t="shared" si="15"/>
        <v>91775.419798366827</v>
      </c>
      <c r="D61" s="32">
        <f t="shared" si="9"/>
        <v>676.38484391396355</v>
      </c>
      <c r="E61" s="33">
        <f t="shared" si="10"/>
        <v>17021.764259908203</v>
      </c>
      <c r="F61" s="34">
        <f t="shared" si="11"/>
        <v>123.60995463486724</v>
      </c>
      <c r="G61" s="32">
        <f t="shared" si="12"/>
        <v>287524.80094440165</v>
      </c>
      <c r="H61" s="35">
        <f t="shared" si="13"/>
        <v>8776.0078849037563</v>
      </c>
    </row>
    <row r="62" spans="1:8" x14ac:dyDescent="0.2">
      <c r="A62" s="30">
        <f t="shared" si="14"/>
        <v>58</v>
      </c>
      <c r="B62" s="31">
        <f t="shared" si="8"/>
        <v>7.9500000000000005E-3</v>
      </c>
      <c r="C62" s="32">
        <f t="shared" si="15"/>
        <v>91099.034954452858</v>
      </c>
      <c r="D62" s="32">
        <f t="shared" si="9"/>
        <v>724.23732788790028</v>
      </c>
      <c r="E62" s="33">
        <f t="shared" si="10"/>
        <v>16404.188210983179</v>
      </c>
      <c r="F62" s="34">
        <f t="shared" si="11"/>
        <v>128.50003908395431</v>
      </c>
      <c r="G62" s="32">
        <f t="shared" si="12"/>
        <v>270503.03668449342</v>
      </c>
      <c r="H62" s="35">
        <f t="shared" si="13"/>
        <v>8652.3979302688895</v>
      </c>
    </row>
    <row r="63" spans="1:8" x14ac:dyDescent="0.2">
      <c r="A63" s="30">
        <f t="shared" si="14"/>
        <v>59</v>
      </c>
      <c r="B63" s="31">
        <f t="shared" si="8"/>
        <v>8.5400000000000007E-3</v>
      </c>
      <c r="C63" s="32">
        <f t="shared" si="15"/>
        <v>90374.797626564963</v>
      </c>
      <c r="D63" s="32">
        <f t="shared" si="9"/>
        <v>771.80077173086488</v>
      </c>
      <c r="E63" s="33">
        <f t="shared" si="10"/>
        <v>15799.781470588221</v>
      </c>
      <c r="F63" s="34">
        <f t="shared" si="11"/>
        <v>132.95061129919316</v>
      </c>
      <c r="G63" s="32">
        <f t="shared" si="12"/>
        <v>254098.84847351027</v>
      </c>
      <c r="H63" s="35">
        <f t="shared" si="13"/>
        <v>8523.8978911849354</v>
      </c>
    </row>
    <row r="64" spans="1:8" x14ac:dyDescent="0.2">
      <c r="A64" s="30">
        <f t="shared" si="14"/>
        <v>60</v>
      </c>
      <c r="B64" s="31">
        <f t="shared" si="8"/>
        <v>9.2300000000000004E-3</v>
      </c>
      <c r="C64" s="32">
        <f t="shared" si="15"/>
        <v>89602.996854834098</v>
      </c>
      <c r="D64" s="32">
        <f t="shared" si="9"/>
        <v>827.03566097011878</v>
      </c>
      <c r="E64" s="33">
        <f t="shared" si="10"/>
        <v>15208.593530902328</v>
      </c>
      <c r="F64" s="34">
        <f t="shared" si="11"/>
        <v>138.31591104299389</v>
      </c>
      <c r="G64" s="32">
        <f t="shared" si="12"/>
        <v>238299.06700292203</v>
      </c>
      <c r="H64" s="35">
        <f t="shared" si="13"/>
        <v>8390.9472798857423</v>
      </c>
    </row>
    <row r="65" spans="1:8" x14ac:dyDescent="0.2">
      <c r="A65" s="30">
        <f t="shared" si="14"/>
        <v>61</v>
      </c>
      <c r="B65" s="31">
        <f t="shared" si="8"/>
        <v>1.0070000000000001E-2</v>
      </c>
      <c r="C65" s="32">
        <f t="shared" si="15"/>
        <v>88775.961193863986</v>
      </c>
      <c r="D65" s="32">
        <f t="shared" si="9"/>
        <v>893.97392922221047</v>
      </c>
      <c r="E65" s="33">
        <f t="shared" si="10"/>
        <v>14629.338070497184</v>
      </c>
      <c r="F65" s="34">
        <f t="shared" si="11"/>
        <v>145.15618126871595</v>
      </c>
      <c r="G65" s="32">
        <f t="shared" si="12"/>
        <v>223090.47347201972</v>
      </c>
      <c r="H65" s="35">
        <f t="shared" si="13"/>
        <v>8252.631368842749</v>
      </c>
    </row>
    <row r="66" spans="1:8" x14ac:dyDescent="0.2">
      <c r="A66" s="30">
        <f t="shared" si="14"/>
        <v>62</v>
      </c>
      <c r="B66" s="31">
        <f t="shared" si="8"/>
        <v>1.106E-2</v>
      </c>
      <c r="C66" s="32">
        <f t="shared" si="15"/>
        <v>87881.987264641779</v>
      </c>
      <c r="D66" s="32">
        <f t="shared" si="9"/>
        <v>971.97477914693809</v>
      </c>
      <c r="E66" s="33">
        <f t="shared" si="10"/>
        <v>14060.214209832309</v>
      </c>
      <c r="F66" s="34">
        <f t="shared" si="11"/>
        <v>153.2245843433962</v>
      </c>
      <c r="G66" s="32">
        <f t="shared" si="12"/>
        <v>208461.13540152254</v>
      </c>
      <c r="H66" s="35">
        <f t="shared" si="13"/>
        <v>8107.475187574033</v>
      </c>
    </row>
    <row r="67" spans="1:8" x14ac:dyDescent="0.2">
      <c r="A67" s="30">
        <f t="shared" si="14"/>
        <v>63</v>
      </c>
      <c r="B67" s="31">
        <f t="shared" si="8"/>
        <v>1.226E-2</v>
      </c>
      <c r="C67" s="32">
        <f t="shared" si="15"/>
        <v>86910.012485494837</v>
      </c>
      <c r="D67" s="32">
        <f t="shared" si="9"/>
        <v>1065.5167530721667</v>
      </c>
      <c r="E67" s="33">
        <f t="shared" si="10"/>
        <v>13499.716738516083</v>
      </c>
      <c r="F67" s="34">
        <f t="shared" si="11"/>
        <v>163.07842699145388</v>
      </c>
      <c r="G67" s="32">
        <f t="shared" si="12"/>
        <v>194400.92119169023</v>
      </c>
      <c r="H67" s="35">
        <f t="shared" si="13"/>
        <v>7954.2506032306364</v>
      </c>
    </row>
    <row r="68" spans="1:8" x14ac:dyDescent="0.2">
      <c r="A68" s="30">
        <f t="shared" si="14"/>
        <v>64</v>
      </c>
      <c r="B68" s="31">
        <f t="shared" ref="B68:B99" si="16">INDEX(MortGrid,A68+1,PremMortCol)</f>
        <v>1.359E-2</v>
      </c>
      <c r="C68" s="32">
        <f t="shared" si="15"/>
        <v>85844.495732422671</v>
      </c>
      <c r="D68" s="32">
        <f t="shared" ref="D68:D99" si="17">C68*B68</f>
        <v>1166.626697003624</v>
      </c>
      <c r="E68" s="33">
        <f t="shared" ref="E68:E99" si="18">C68*(1/(1+IntRatePrem))^A68</f>
        <v>12945.83515660376</v>
      </c>
      <c r="F68" s="34">
        <f t="shared" ref="F68:F99" si="19">D68*(1/(1+IntRatePrem))^(A68+0.5)</f>
        <v>173.35282247312753</v>
      </c>
      <c r="G68" s="32">
        <f t="shared" ref="G68:G99" si="20">IF(A68&gt;=110,E68,G69+E68)</f>
        <v>180901.20445317414</v>
      </c>
      <c r="H68" s="35">
        <f t="shared" ref="H68:H99" si="21">IF(A68&gt;=110,E68,H69+F68)</f>
        <v>7791.1721762391826</v>
      </c>
    </row>
    <row r="69" spans="1:8" x14ac:dyDescent="0.2">
      <c r="A69" s="30">
        <f t="shared" ref="A69:A100" si="22">A68+1</f>
        <v>65</v>
      </c>
      <c r="B69" s="31">
        <f t="shared" si="16"/>
        <v>1.498E-2</v>
      </c>
      <c r="C69" s="32">
        <f t="shared" ref="C69:C100" si="23">C68-D68</f>
        <v>84677.869035419048</v>
      </c>
      <c r="D69" s="32">
        <f t="shared" si="17"/>
        <v>1268.4744781505774</v>
      </c>
      <c r="E69" s="33">
        <f t="shared" si="18"/>
        <v>12397.96238526749</v>
      </c>
      <c r="F69" s="34">
        <f t="shared" si="19"/>
        <v>182.99680841019969</v>
      </c>
      <c r="G69" s="32">
        <f t="shared" si="20"/>
        <v>167955.3692965704</v>
      </c>
      <c r="H69" s="35">
        <f t="shared" si="21"/>
        <v>7617.8193537660554</v>
      </c>
    </row>
    <row r="70" spans="1:8" x14ac:dyDescent="0.2">
      <c r="A70" s="30">
        <f t="shared" si="22"/>
        <v>66</v>
      </c>
      <c r="B70" s="31">
        <f t="shared" si="16"/>
        <v>1.6459999999999999E-2</v>
      </c>
      <c r="C70" s="32">
        <f t="shared" si="23"/>
        <v>83409.394557268475</v>
      </c>
      <c r="D70" s="32">
        <f t="shared" si="17"/>
        <v>1372.918634412639</v>
      </c>
      <c r="E70" s="33">
        <f t="shared" si="18"/>
        <v>11856.544571588527</v>
      </c>
      <c r="F70" s="34">
        <f t="shared" si="19"/>
        <v>192.29560429989093</v>
      </c>
      <c r="G70" s="32">
        <f t="shared" si="20"/>
        <v>155557.40691130291</v>
      </c>
      <c r="H70" s="35">
        <f t="shared" si="21"/>
        <v>7434.8225453558562</v>
      </c>
    </row>
    <row r="71" spans="1:8" x14ac:dyDescent="0.2">
      <c r="A71" s="30">
        <f t="shared" si="22"/>
        <v>67</v>
      </c>
      <c r="B71" s="31">
        <f t="shared" si="16"/>
        <v>1.8079999999999999E-2</v>
      </c>
      <c r="C71" s="32">
        <f t="shared" si="23"/>
        <v>82036.47592285584</v>
      </c>
      <c r="D71" s="32">
        <f t="shared" si="17"/>
        <v>1483.2194846852335</v>
      </c>
      <c r="E71" s="33">
        <f t="shared" si="18"/>
        <v>11321.733832951633</v>
      </c>
      <c r="F71" s="34">
        <f t="shared" si="19"/>
        <v>201.6938957194443</v>
      </c>
      <c r="G71" s="32">
        <f t="shared" si="20"/>
        <v>143700.8623397144</v>
      </c>
      <c r="H71" s="35">
        <f t="shared" si="21"/>
        <v>7242.5269410559649</v>
      </c>
    </row>
    <row r="72" spans="1:8" x14ac:dyDescent="0.2">
      <c r="A72" s="30">
        <f t="shared" si="22"/>
        <v>68</v>
      </c>
      <c r="B72" s="31">
        <f t="shared" si="16"/>
        <v>1.9879999999999998E-2</v>
      </c>
      <c r="C72" s="32">
        <f t="shared" si="23"/>
        <v>80553.256438170603</v>
      </c>
      <c r="D72" s="32">
        <f t="shared" si="17"/>
        <v>1601.3987379908315</v>
      </c>
      <c r="E72" s="33">
        <f t="shared" si="18"/>
        <v>10793.239694419286</v>
      </c>
      <c r="F72" s="34">
        <f t="shared" si="19"/>
        <v>211.42171413386856</v>
      </c>
      <c r="G72" s="32">
        <f t="shared" si="20"/>
        <v>132379.12850676276</v>
      </c>
      <c r="H72" s="35">
        <f t="shared" si="21"/>
        <v>7040.8330453365206</v>
      </c>
    </row>
    <row r="73" spans="1:8" x14ac:dyDescent="0.2">
      <c r="A73" s="30">
        <f t="shared" si="22"/>
        <v>69</v>
      </c>
      <c r="B73" s="31">
        <f t="shared" si="16"/>
        <v>2.181E-2</v>
      </c>
      <c r="C73" s="32">
        <f t="shared" si="23"/>
        <v>78951.857700179768</v>
      </c>
      <c r="D73" s="32">
        <f t="shared" si="17"/>
        <v>1721.9400164409208</v>
      </c>
      <c r="E73" s="33">
        <f t="shared" si="18"/>
        <v>10270.553484751683</v>
      </c>
      <c r="F73" s="34">
        <f t="shared" si="19"/>
        <v>220.71451849273856</v>
      </c>
      <c r="G73" s="32">
        <f t="shared" si="20"/>
        <v>121585.88881234347</v>
      </c>
      <c r="H73" s="35">
        <f t="shared" si="21"/>
        <v>6829.411331202652</v>
      </c>
    </row>
    <row r="74" spans="1:8" x14ac:dyDescent="0.2">
      <c r="A74" s="30">
        <f t="shared" si="22"/>
        <v>70</v>
      </c>
      <c r="B74" s="31">
        <f t="shared" si="16"/>
        <v>2.384E-2</v>
      </c>
      <c r="C74" s="32">
        <f t="shared" si="23"/>
        <v>77229.917683738851</v>
      </c>
      <c r="D74" s="32">
        <f t="shared" si="17"/>
        <v>1841.1612375803343</v>
      </c>
      <c r="E74" s="33">
        <f t="shared" si="18"/>
        <v>9753.9346730575198</v>
      </c>
      <c r="F74" s="34">
        <f t="shared" si="19"/>
        <v>229.12236387026437</v>
      </c>
      <c r="G74" s="32">
        <f t="shared" si="20"/>
        <v>111315.33532759179</v>
      </c>
      <c r="H74" s="35">
        <f t="shared" si="21"/>
        <v>6608.6968127099135</v>
      </c>
    </row>
    <row r="75" spans="1:8" x14ac:dyDescent="0.2">
      <c r="A75" s="30">
        <f t="shared" si="22"/>
        <v>71</v>
      </c>
      <c r="B75" s="31">
        <f t="shared" si="16"/>
        <v>2.605E-2</v>
      </c>
      <c r="C75" s="32">
        <f t="shared" si="23"/>
        <v>75388.756446158513</v>
      </c>
      <c r="D75" s="32">
        <f t="shared" si="17"/>
        <v>1963.8771054224294</v>
      </c>
      <c r="E75" s="33">
        <f t="shared" si="18"/>
        <v>9244.0785150017764</v>
      </c>
      <c r="F75" s="34">
        <f t="shared" si="19"/>
        <v>237.27541453302388</v>
      </c>
      <c r="G75" s="32">
        <f t="shared" si="20"/>
        <v>101561.40065453427</v>
      </c>
      <c r="H75" s="35">
        <f t="shared" si="21"/>
        <v>6379.5744488396494</v>
      </c>
    </row>
    <row r="76" spans="1:8" x14ac:dyDescent="0.2">
      <c r="A76" s="30">
        <f t="shared" si="22"/>
        <v>72</v>
      </c>
      <c r="B76" s="31">
        <f t="shared" si="16"/>
        <v>2.8500000000000001E-2</v>
      </c>
      <c r="C76" s="32">
        <f t="shared" si="23"/>
        <v>73424.879340736079</v>
      </c>
      <c r="D76" s="32">
        <f t="shared" si="17"/>
        <v>2092.6090612109783</v>
      </c>
      <c r="E76" s="33">
        <f t="shared" si="18"/>
        <v>8741.0390967825042</v>
      </c>
      <c r="F76" s="34">
        <f t="shared" si="19"/>
        <v>245.46484969369965</v>
      </c>
      <c r="G76" s="32">
        <f t="shared" si="20"/>
        <v>92317.322139532494</v>
      </c>
      <c r="H76" s="35">
        <f t="shared" si="21"/>
        <v>6142.2990343066258</v>
      </c>
    </row>
    <row r="77" spans="1:8" x14ac:dyDescent="0.2">
      <c r="A77" s="30">
        <f t="shared" si="22"/>
        <v>73</v>
      </c>
      <c r="B77" s="31">
        <f t="shared" si="16"/>
        <v>3.1260000000000003E-2</v>
      </c>
      <c r="C77" s="32">
        <f t="shared" si="23"/>
        <v>71332.270279525095</v>
      </c>
      <c r="D77" s="32">
        <f t="shared" si="17"/>
        <v>2229.8467689379545</v>
      </c>
      <c r="E77" s="33">
        <f t="shared" si="18"/>
        <v>8244.5820218681565</v>
      </c>
      <c r="F77" s="34">
        <f t="shared" si="19"/>
        <v>253.944612917201</v>
      </c>
      <c r="G77" s="32">
        <f t="shared" si="20"/>
        <v>83576.283042749987</v>
      </c>
      <c r="H77" s="35">
        <f t="shared" si="21"/>
        <v>5896.834184612926</v>
      </c>
    </row>
    <row r="78" spans="1:8" x14ac:dyDescent="0.2">
      <c r="A78" s="30">
        <f t="shared" si="22"/>
        <v>74</v>
      </c>
      <c r="B78" s="31">
        <f t="shared" si="16"/>
        <v>3.4369999999999998E-2</v>
      </c>
      <c r="C78" s="32">
        <f t="shared" si="23"/>
        <v>69102.423510587134</v>
      </c>
      <c r="D78" s="32">
        <f t="shared" si="17"/>
        <v>2375.0502960588797</v>
      </c>
      <c r="E78" s="33">
        <f t="shared" si="18"/>
        <v>7754.2295027811242</v>
      </c>
      <c r="F78" s="34">
        <f t="shared" si="19"/>
        <v>262.60293185836781</v>
      </c>
      <c r="G78" s="32">
        <f t="shared" si="20"/>
        <v>75331.701020881825</v>
      </c>
      <c r="H78" s="35">
        <f t="shared" si="21"/>
        <v>5642.889571695725</v>
      </c>
    </row>
    <row r="79" spans="1:8" x14ac:dyDescent="0.2">
      <c r="A79" s="30">
        <f t="shared" si="22"/>
        <v>75</v>
      </c>
      <c r="B79" s="31">
        <f t="shared" si="16"/>
        <v>3.7839999999999999E-2</v>
      </c>
      <c r="C79" s="32">
        <f t="shared" si="23"/>
        <v>66727.373214528256</v>
      </c>
      <c r="D79" s="32">
        <f t="shared" si="17"/>
        <v>2524.9638024377491</v>
      </c>
      <c r="E79" s="33">
        <f t="shared" si="18"/>
        <v>7269.6278007480942</v>
      </c>
      <c r="F79" s="34">
        <f t="shared" si="19"/>
        <v>271.0470539723504</v>
      </c>
      <c r="G79" s="32">
        <f t="shared" si="20"/>
        <v>67577.471518100705</v>
      </c>
      <c r="H79" s="35">
        <f t="shared" si="21"/>
        <v>5380.2866398373571</v>
      </c>
    </row>
    <row r="80" spans="1:8" x14ac:dyDescent="0.2">
      <c r="A80" s="30">
        <f t="shared" si="22"/>
        <v>76</v>
      </c>
      <c r="B80" s="31">
        <f t="shared" si="16"/>
        <v>4.1619999999999997E-2</v>
      </c>
      <c r="C80" s="32">
        <f t="shared" si="23"/>
        <v>64202.409412090507</v>
      </c>
      <c r="D80" s="32">
        <f t="shared" si="17"/>
        <v>2672.1042797312066</v>
      </c>
      <c r="E80" s="33">
        <f t="shared" si="18"/>
        <v>6790.8204706483366</v>
      </c>
      <c r="F80" s="34">
        <f t="shared" si="19"/>
        <v>278.48750395611899</v>
      </c>
      <c r="G80" s="32">
        <f t="shared" si="20"/>
        <v>60307.843717352618</v>
      </c>
      <c r="H80" s="35">
        <f t="shared" si="21"/>
        <v>5109.239585865007</v>
      </c>
    </row>
    <row r="81" spans="1:8" x14ac:dyDescent="0.2">
      <c r="A81" s="30">
        <f t="shared" si="22"/>
        <v>77</v>
      </c>
      <c r="B81" s="31">
        <f t="shared" si="16"/>
        <v>4.6059999999999997E-2</v>
      </c>
      <c r="C81" s="32">
        <f t="shared" si="23"/>
        <v>61530.305132359303</v>
      </c>
      <c r="D81" s="32">
        <f t="shared" si="17"/>
        <v>2834.0858543964691</v>
      </c>
      <c r="E81" s="33">
        <f t="shared" si="18"/>
        <v>6318.6276919028669</v>
      </c>
      <c r="F81" s="34">
        <f t="shared" si="19"/>
        <v>286.76628341373151</v>
      </c>
      <c r="G81" s="32">
        <f t="shared" si="20"/>
        <v>53517.023246704281</v>
      </c>
      <c r="H81" s="35">
        <f t="shared" si="21"/>
        <v>4830.7520819088877</v>
      </c>
    </row>
    <row r="82" spans="1:8" x14ac:dyDescent="0.2">
      <c r="A82" s="30">
        <f t="shared" si="22"/>
        <v>78</v>
      </c>
      <c r="B82" s="31">
        <f t="shared" si="16"/>
        <v>5.1270000000000003E-2</v>
      </c>
      <c r="C82" s="32">
        <f t="shared" si="23"/>
        <v>58696.219277962831</v>
      </c>
      <c r="D82" s="32">
        <f t="shared" si="17"/>
        <v>3009.3551623811545</v>
      </c>
      <c r="E82" s="33">
        <f t="shared" si="18"/>
        <v>5852.0307771007965</v>
      </c>
      <c r="F82" s="34">
        <f t="shared" si="19"/>
        <v>295.63190819177106</v>
      </c>
      <c r="G82" s="32">
        <f t="shared" si="20"/>
        <v>47198.395554801413</v>
      </c>
      <c r="H82" s="35">
        <f t="shared" si="21"/>
        <v>4543.9857984951559</v>
      </c>
    </row>
    <row r="83" spans="1:8" x14ac:dyDescent="0.2">
      <c r="A83" s="30">
        <f t="shared" si="22"/>
        <v>79</v>
      </c>
      <c r="B83" s="31">
        <f t="shared" si="16"/>
        <v>5.731E-2</v>
      </c>
      <c r="C83" s="32">
        <f t="shared" si="23"/>
        <v>55686.864115581673</v>
      </c>
      <c r="D83" s="32">
        <f t="shared" si="17"/>
        <v>3191.4141824639855</v>
      </c>
      <c r="E83" s="33">
        <f t="shared" si="18"/>
        <v>5390.2885040377078</v>
      </c>
      <c r="F83" s="34">
        <f t="shared" si="19"/>
        <v>304.38539241954589</v>
      </c>
      <c r="G83" s="32">
        <f t="shared" si="20"/>
        <v>41346.364777700619</v>
      </c>
      <c r="H83" s="35">
        <f t="shared" si="21"/>
        <v>4248.353890303385</v>
      </c>
    </row>
    <row r="84" spans="1:8" x14ac:dyDescent="0.2">
      <c r="A84" s="30">
        <f t="shared" si="22"/>
        <v>80</v>
      </c>
      <c r="B84" s="31">
        <f t="shared" si="16"/>
        <v>6.4009999999999997E-2</v>
      </c>
      <c r="C84" s="32">
        <f t="shared" si="23"/>
        <v>52495.449933117685</v>
      </c>
      <c r="D84" s="32">
        <f t="shared" si="17"/>
        <v>3360.233750218863</v>
      </c>
      <c r="E84" s="33">
        <f t="shared" si="18"/>
        <v>4933.3699707488404</v>
      </c>
      <c r="F84" s="34">
        <f t="shared" si="19"/>
        <v>311.15221775922521</v>
      </c>
      <c r="G84" s="32">
        <f t="shared" si="20"/>
        <v>35956.076273662911</v>
      </c>
      <c r="H84" s="35">
        <f t="shared" si="21"/>
        <v>3943.9684978838391</v>
      </c>
    </row>
    <row r="85" spans="1:8" x14ac:dyDescent="0.2">
      <c r="A85" s="30">
        <f t="shared" si="22"/>
        <v>81</v>
      </c>
      <c r="B85" s="31">
        <f t="shared" si="16"/>
        <v>7.1559999999999999E-2</v>
      </c>
      <c r="C85" s="32">
        <f t="shared" si="23"/>
        <v>49135.216182898825</v>
      </c>
      <c r="D85" s="32">
        <f t="shared" si="17"/>
        <v>3516.1160700482396</v>
      </c>
      <c r="E85" s="33">
        <f t="shared" si="18"/>
        <v>4483.0921931273861</v>
      </c>
      <c r="F85" s="34">
        <f t="shared" si="19"/>
        <v>316.10356193344666</v>
      </c>
      <c r="G85" s="32">
        <f t="shared" si="20"/>
        <v>31022.70630291407</v>
      </c>
      <c r="H85" s="35">
        <f t="shared" si="21"/>
        <v>3632.816280124614</v>
      </c>
    </row>
    <row r="86" spans="1:8" x14ac:dyDescent="0.2">
      <c r="A86" s="30">
        <f t="shared" si="22"/>
        <v>82</v>
      </c>
      <c r="B86" s="31">
        <f t="shared" si="16"/>
        <v>7.9619999999999996E-2</v>
      </c>
      <c r="C86" s="32">
        <f t="shared" si="23"/>
        <v>45619.100112850589</v>
      </c>
      <c r="D86" s="32">
        <f t="shared" si="17"/>
        <v>3632.1927509851639</v>
      </c>
      <c r="E86" s="33">
        <f t="shared" si="18"/>
        <v>4041.0505978516408</v>
      </c>
      <c r="F86" s="34">
        <f t="shared" si="19"/>
        <v>317.02816661045347</v>
      </c>
      <c r="G86" s="32">
        <f t="shared" si="20"/>
        <v>26539.614109786686</v>
      </c>
      <c r="H86" s="35">
        <f t="shared" si="21"/>
        <v>3316.7127181911674</v>
      </c>
    </row>
    <row r="87" spans="1:8" x14ac:dyDescent="0.2">
      <c r="A87" s="30">
        <f t="shared" si="22"/>
        <v>83</v>
      </c>
      <c r="B87" s="31">
        <f t="shared" si="16"/>
        <v>8.813E-2</v>
      </c>
      <c r="C87" s="32">
        <f t="shared" si="23"/>
        <v>41986.907361865422</v>
      </c>
      <c r="D87" s="32">
        <f t="shared" si="17"/>
        <v>3700.3061458011998</v>
      </c>
      <c r="E87" s="33">
        <f t="shared" si="18"/>
        <v>3610.9729604375666</v>
      </c>
      <c r="F87" s="34">
        <f t="shared" si="19"/>
        <v>313.56630915040375</v>
      </c>
      <c r="G87" s="32">
        <f t="shared" si="20"/>
        <v>22498.563511935045</v>
      </c>
      <c r="H87" s="35">
        <f t="shared" si="21"/>
        <v>2999.684551580714</v>
      </c>
    </row>
    <row r="88" spans="1:8" x14ac:dyDescent="0.2">
      <c r="A88" s="30">
        <f t="shared" si="22"/>
        <v>84</v>
      </c>
      <c r="B88" s="31">
        <f t="shared" si="16"/>
        <v>9.6990000000000007E-2</v>
      </c>
      <c r="C88" s="32">
        <f t="shared" si="23"/>
        <v>38286.60121606422</v>
      </c>
      <c r="D88" s="32">
        <f t="shared" si="17"/>
        <v>3713.4174519460689</v>
      </c>
      <c r="E88" s="33">
        <f t="shared" si="18"/>
        <v>3196.8329256642751</v>
      </c>
      <c r="F88" s="34">
        <f t="shared" si="19"/>
        <v>305.51200933770269</v>
      </c>
      <c r="G88" s="32">
        <f t="shared" si="20"/>
        <v>18887.590551497477</v>
      </c>
      <c r="H88" s="35">
        <f t="shared" si="21"/>
        <v>2686.1182424303101</v>
      </c>
    </row>
    <row r="89" spans="1:8" x14ac:dyDescent="0.2">
      <c r="A89" s="30">
        <f t="shared" si="22"/>
        <v>85</v>
      </c>
      <c r="B89" s="31">
        <f t="shared" si="16"/>
        <v>0.10639999999999999</v>
      </c>
      <c r="C89" s="32">
        <f t="shared" si="23"/>
        <v>34573.183764118148</v>
      </c>
      <c r="D89" s="32">
        <f t="shared" si="17"/>
        <v>3678.5867525021708</v>
      </c>
      <c r="E89" s="33">
        <f t="shared" si="18"/>
        <v>2802.6913594214534</v>
      </c>
      <c r="F89" s="34">
        <f t="shared" si="19"/>
        <v>293.83145807581934</v>
      </c>
      <c r="G89" s="32">
        <f t="shared" si="20"/>
        <v>15690.757625833203</v>
      </c>
      <c r="H89" s="35">
        <f t="shared" si="21"/>
        <v>2380.6062330926075</v>
      </c>
    </row>
    <row r="90" spans="1:8" x14ac:dyDescent="0.2">
      <c r="A90" s="30">
        <f t="shared" si="22"/>
        <v>86</v>
      </c>
      <c r="B90" s="31">
        <f t="shared" si="16"/>
        <v>0.11677999999999999</v>
      </c>
      <c r="C90" s="32">
        <f t="shared" si="23"/>
        <v>30894.597011615977</v>
      </c>
      <c r="D90" s="32">
        <f t="shared" si="17"/>
        <v>3607.8710390165138</v>
      </c>
      <c r="E90" s="33">
        <f t="shared" si="18"/>
        <v>2431.5388337660297</v>
      </c>
      <c r="F90" s="34">
        <f t="shared" si="19"/>
        <v>279.78927864780786</v>
      </c>
      <c r="G90" s="32">
        <f t="shared" si="20"/>
        <v>12888.06626641175</v>
      </c>
      <c r="H90" s="35">
        <f t="shared" si="21"/>
        <v>2086.7747750167882</v>
      </c>
    </row>
    <row r="91" spans="1:8" x14ac:dyDescent="0.2">
      <c r="A91" s="30">
        <f t="shared" si="22"/>
        <v>87</v>
      </c>
      <c r="B91" s="31">
        <f t="shared" si="16"/>
        <v>0.12806000000000001</v>
      </c>
      <c r="C91" s="32">
        <f t="shared" si="23"/>
        <v>27286.725972599463</v>
      </c>
      <c r="D91" s="32">
        <f t="shared" si="17"/>
        <v>3494.3381280510876</v>
      </c>
      <c r="E91" s="33">
        <f t="shared" si="18"/>
        <v>2085.0327463677986</v>
      </c>
      <c r="F91" s="34">
        <f t="shared" si="19"/>
        <v>263.09207442737568</v>
      </c>
      <c r="G91" s="32">
        <f t="shared" si="20"/>
        <v>10456.52743264572</v>
      </c>
      <c r="H91" s="35">
        <f t="shared" si="21"/>
        <v>1806.9854963689804</v>
      </c>
    </row>
    <row r="92" spans="1:8" x14ac:dyDescent="0.2">
      <c r="A92" s="30">
        <f t="shared" si="22"/>
        <v>88</v>
      </c>
      <c r="B92" s="31">
        <f t="shared" si="16"/>
        <v>0.14041999999999999</v>
      </c>
      <c r="C92" s="32">
        <f t="shared" si="23"/>
        <v>23792.387844548375</v>
      </c>
      <c r="D92" s="32">
        <f t="shared" si="17"/>
        <v>3340.9271011314827</v>
      </c>
      <c r="E92" s="33">
        <f t="shared" si="18"/>
        <v>1765.071313464018</v>
      </c>
      <c r="F92" s="34">
        <f t="shared" si="19"/>
        <v>244.21515615470634</v>
      </c>
      <c r="G92" s="32">
        <f t="shared" si="20"/>
        <v>8371.4946862779216</v>
      </c>
      <c r="H92" s="35">
        <f t="shared" si="21"/>
        <v>1543.8934219416049</v>
      </c>
    </row>
    <row r="93" spans="1:8" x14ac:dyDescent="0.2">
      <c r="A93" s="30">
        <f t="shared" si="22"/>
        <v>89</v>
      </c>
      <c r="B93" s="31">
        <f t="shared" si="16"/>
        <v>0.15378</v>
      </c>
      <c r="C93" s="32">
        <f t="shared" si="23"/>
        <v>20451.460743416894</v>
      </c>
      <c r="D93" s="32">
        <f t="shared" si="17"/>
        <v>3145.0256331226501</v>
      </c>
      <c r="E93" s="33">
        <f t="shared" si="18"/>
        <v>1473.029125851845</v>
      </c>
      <c r="F93" s="34">
        <f t="shared" si="19"/>
        <v>223.19917157518557</v>
      </c>
      <c r="G93" s="32">
        <f t="shared" si="20"/>
        <v>6606.4233728139043</v>
      </c>
      <c r="H93" s="35">
        <f t="shared" si="21"/>
        <v>1299.6782657868985</v>
      </c>
    </row>
    <row r="94" spans="1:8" x14ac:dyDescent="0.2">
      <c r="A94" s="30">
        <f t="shared" si="22"/>
        <v>90</v>
      </c>
      <c r="B94" s="31">
        <f t="shared" si="16"/>
        <v>0.17013</v>
      </c>
      <c r="C94" s="32">
        <f t="shared" si="23"/>
        <v>17306.435110294246</v>
      </c>
      <c r="D94" s="32">
        <f t="shared" si="17"/>
        <v>2944.34380531436</v>
      </c>
      <c r="E94" s="33">
        <f t="shared" si="18"/>
        <v>1210.2006862896587</v>
      </c>
      <c r="F94" s="34">
        <f t="shared" si="19"/>
        <v>202.87086667339827</v>
      </c>
      <c r="G94" s="32">
        <f t="shared" si="20"/>
        <v>5133.3942469620597</v>
      </c>
      <c r="H94" s="35">
        <f t="shared" si="21"/>
        <v>1076.4790942117129</v>
      </c>
    </row>
    <row r="95" spans="1:8" x14ac:dyDescent="0.2">
      <c r="A95" s="30">
        <f t="shared" si="22"/>
        <v>91</v>
      </c>
      <c r="B95" s="31">
        <f t="shared" si="16"/>
        <v>0.18465000000000001</v>
      </c>
      <c r="C95" s="32">
        <f t="shared" si="23"/>
        <v>14362.091304979886</v>
      </c>
      <c r="D95" s="32">
        <f t="shared" si="17"/>
        <v>2651.960159464536</v>
      </c>
      <c r="E95" s="33">
        <f t="shared" si="18"/>
        <v>975.05751799145548</v>
      </c>
      <c r="F95" s="34">
        <f t="shared" si="19"/>
        <v>177.40298981654018</v>
      </c>
      <c r="G95" s="32">
        <f t="shared" si="20"/>
        <v>3923.1935606724005</v>
      </c>
      <c r="H95" s="35">
        <f t="shared" si="21"/>
        <v>873.60822753831462</v>
      </c>
    </row>
    <row r="96" spans="1:8" x14ac:dyDescent="0.2">
      <c r="A96" s="30">
        <f t="shared" si="22"/>
        <v>92</v>
      </c>
      <c r="B96" s="31">
        <f t="shared" si="16"/>
        <v>0.19968</v>
      </c>
      <c r="C96" s="32">
        <f t="shared" si="23"/>
        <v>11710.13114551535</v>
      </c>
      <c r="D96" s="32">
        <f t="shared" si="17"/>
        <v>2338.2789871365048</v>
      </c>
      <c r="E96" s="33">
        <f t="shared" si="18"/>
        <v>771.85742455760521</v>
      </c>
      <c r="F96" s="34">
        <f t="shared" si="19"/>
        <v>151.86337300694413</v>
      </c>
      <c r="G96" s="32">
        <f t="shared" si="20"/>
        <v>2948.1360426809451</v>
      </c>
      <c r="H96" s="35">
        <f t="shared" si="21"/>
        <v>696.20523772177444</v>
      </c>
    </row>
    <row r="97" spans="1:8" x14ac:dyDescent="0.2">
      <c r="A97" s="30">
        <f t="shared" si="22"/>
        <v>93</v>
      </c>
      <c r="B97" s="31">
        <f t="shared" si="16"/>
        <v>0.21523</v>
      </c>
      <c r="C97" s="32">
        <f t="shared" si="23"/>
        <v>9371.8521583788461</v>
      </c>
      <c r="D97" s="32">
        <f t="shared" si="17"/>
        <v>2017.103740047879</v>
      </c>
      <c r="E97" s="33">
        <f t="shared" si="18"/>
        <v>599.74071264266274</v>
      </c>
      <c r="F97" s="34">
        <f t="shared" si="19"/>
        <v>127.18846462609497</v>
      </c>
      <c r="G97" s="32">
        <f t="shared" si="20"/>
        <v>2176.27861812334</v>
      </c>
      <c r="H97" s="35">
        <f t="shared" si="21"/>
        <v>544.34186471483031</v>
      </c>
    </row>
    <row r="98" spans="1:8" x14ac:dyDescent="0.2">
      <c r="A98" s="30">
        <f t="shared" si="22"/>
        <v>94</v>
      </c>
      <c r="B98" s="31">
        <f t="shared" si="16"/>
        <v>0.23129</v>
      </c>
      <c r="C98" s="32">
        <f t="shared" si="23"/>
        <v>7354.7484183309671</v>
      </c>
      <c r="D98" s="32">
        <f t="shared" si="17"/>
        <v>1701.0797616757693</v>
      </c>
      <c r="E98" s="33">
        <f t="shared" si="18"/>
        <v>456.95001850541985</v>
      </c>
      <c r="F98" s="34">
        <f t="shared" si="19"/>
        <v>104.13745097409402</v>
      </c>
      <c r="G98" s="32">
        <f t="shared" si="20"/>
        <v>1576.5379054806772</v>
      </c>
      <c r="H98" s="35">
        <f t="shared" si="21"/>
        <v>417.1534000887354</v>
      </c>
    </row>
    <row r="99" spans="1:8" x14ac:dyDescent="0.2">
      <c r="A99" s="30">
        <f t="shared" si="22"/>
        <v>95</v>
      </c>
      <c r="B99" s="31">
        <f t="shared" si="16"/>
        <v>0.24787000000000001</v>
      </c>
      <c r="C99" s="32">
        <f t="shared" si="23"/>
        <v>5653.668656655198</v>
      </c>
      <c r="D99" s="32">
        <f t="shared" si="17"/>
        <v>1401.374849925124</v>
      </c>
      <c r="E99" s="33">
        <f t="shared" si="18"/>
        <v>341.03111526728281</v>
      </c>
      <c r="F99" s="34">
        <f t="shared" si="19"/>
        <v>83.291246141650376</v>
      </c>
      <c r="G99" s="32">
        <f t="shared" si="20"/>
        <v>1119.5878869752573</v>
      </c>
      <c r="H99" s="35">
        <f t="shared" si="21"/>
        <v>313.01594911464139</v>
      </c>
    </row>
    <row r="100" spans="1:8" x14ac:dyDescent="0.2">
      <c r="A100" s="30">
        <f t="shared" si="22"/>
        <v>96</v>
      </c>
      <c r="B100" s="31">
        <f t="shared" ref="B100:B131" si="24">INDEX(MortGrid,A100+1,PremMortCol)</f>
        <v>0.26495999999999997</v>
      </c>
      <c r="C100" s="32">
        <f t="shared" si="23"/>
        <v>4252.2938067300738</v>
      </c>
      <c r="D100" s="32">
        <f t="shared" ref="D100:D131" si="25">C100*B100</f>
        <v>1126.6877670312003</v>
      </c>
      <c r="E100" s="33">
        <f t="shared" ref="E100:E134" si="26">C100*(1/(1+IntRatePrem))^A100</f>
        <v>249.02886672425379</v>
      </c>
      <c r="F100" s="34">
        <f t="shared" ref="F100:F134" si="27">D100*(1/(1+IntRatePrem))^(A100+0.5)</f>
        <v>65.014674857902918</v>
      </c>
      <c r="G100" s="32">
        <f t="shared" ref="G100:G134" si="28">IF(A100&gt;=110,E100,G101+E100)</f>
        <v>778.55677170797446</v>
      </c>
      <c r="H100" s="35">
        <f t="shared" ref="H100:H134" si="29">IF(A100&gt;=110,E100,H101+F100)</f>
        <v>229.72470297299103</v>
      </c>
    </row>
    <row r="101" spans="1:8" x14ac:dyDescent="0.2">
      <c r="A101" s="30">
        <f t="shared" ref="A101:A134" si="30">A100+1</f>
        <v>97</v>
      </c>
      <c r="B101" s="31">
        <f t="shared" si="24"/>
        <v>0.28255000000000002</v>
      </c>
      <c r="C101" s="32">
        <f t="shared" ref="C101:C134" si="31">C100-D100</f>
        <v>3125.6060396988732</v>
      </c>
      <c r="D101" s="32">
        <f t="shared" si="25"/>
        <v>883.13998651691668</v>
      </c>
      <c r="E101" s="33">
        <f t="shared" si="26"/>
        <v>177.71473611358783</v>
      </c>
      <c r="F101" s="34">
        <f t="shared" si="27"/>
        <v>49.476633351376314</v>
      </c>
      <c r="G101" s="32">
        <f t="shared" si="28"/>
        <v>529.52790498372065</v>
      </c>
      <c r="H101" s="35">
        <f t="shared" si="29"/>
        <v>164.71002811508811</v>
      </c>
    </row>
    <row r="102" spans="1:8" x14ac:dyDescent="0.2">
      <c r="A102" s="30">
        <f t="shared" si="30"/>
        <v>98</v>
      </c>
      <c r="B102" s="31">
        <f t="shared" si="24"/>
        <v>0.30064999999999997</v>
      </c>
      <c r="C102" s="32">
        <f t="shared" si="31"/>
        <v>2242.4660531819563</v>
      </c>
      <c r="D102" s="32">
        <f t="shared" si="25"/>
        <v>674.19741888915507</v>
      </c>
      <c r="E102" s="33">
        <f t="shared" si="26"/>
        <v>123.78780332494522</v>
      </c>
      <c r="F102" s="34">
        <f t="shared" si="27"/>
        <v>36.670805704195807</v>
      </c>
      <c r="G102" s="32">
        <f t="shared" si="28"/>
        <v>351.81316887013287</v>
      </c>
      <c r="H102" s="35">
        <f t="shared" si="29"/>
        <v>115.2333947637118</v>
      </c>
    </row>
    <row r="103" spans="1:8" x14ac:dyDescent="0.2">
      <c r="A103" s="30">
        <f t="shared" si="30"/>
        <v>99</v>
      </c>
      <c r="B103" s="31">
        <f t="shared" si="24"/>
        <v>0.31923000000000001</v>
      </c>
      <c r="C103" s="32">
        <f t="shared" si="31"/>
        <v>1568.2686342928014</v>
      </c>
      <c r="D103" s="32">
        <f t="shared" si="25"/>
        <v>500.63839612529102</v>
      </c>
      <c r="E103" s="33">
        <f t="shared" si="26"/>
        <v>84.049514810971331</v>
      </c>
      <c r="F103" s="34">
        <f t="shared" si="27"/>
        <v>26.437494618026907</v>
      </c>
      <c r="G103" s="32">
        <f t="shared" si="28"/>
        <v>228.02536554518764</v>
      </c>
      <c r="H103" s="35">
        <f t="shared" si="29"/>
        <v>78.562589059515986</v>
      </c>
    </row>
    <row r="104" spans="1:8" x14ac:dyDescent="0.2">
      <c r="A104" s="30">
        <f t="shared" si="30"/>
        <v>100</v>
      </c>
      <c r="B104" s="31">
        <f t="shared" si="24"/>
        <v>0.33828000000000003</v>
      </c>
      <c r="C104" s="32">
        <f t="shared" si="31"/>
        <v>1067.6302381675105</v>
      </c>
      <c r="D104" s="32">
        <f t="shared" si="25"/>
        <v>361.15795696730549</v>
      </c>
      <c r="E104" s="33">
        <f t="shared" si="26"/>
        <v>55.551833201810631</v>
      </c>
      <c r="F104" s="34">
        <f t="shared" si="27"/>
        <v>18.516380843150515</v>
      </c>
      <c r="G104" s="32">
        <f t="shared" si="28"/>
        <v>143.97585073421629</v>
      </c>
      <c r="H104" s="35">
        <f t="shared" si="29"/>
        <v>52.125094441489082</v>
      </c>
    </row>
    <row r="105" spans="1:8" x14ac:dyDescent="0.2">
      <c r="A105" s="30">
        <f t="shared" si="30"/>
        <v>101</v>
      </c>
      <c r="B105" s="31">
        <f t="shared" si="24"/>
        <v>0.35777999999999999</v>
      </c>
      <c r="C105" s="32">
        <f t="shared" si="31"/>
        <v>706.47228120020497</v>
      </c>
      <c r="D105" s="32">
        <f t="shared" si="25"/>
        <v>252.76165276780932</v>
      </c>
      <c r="E105" s="33">
        <f t="shared" si="26"/>
        <v>35.689086472137987</v>
      </c>
      <c r="F105" s="34">
        <f t="shared" si="27"/>
        <v>12.581513238274043</v>
      </c>
      <c r="G105" s="32">
        <f t="shared" si="28"/>
        <v>88.424017532405671</v>
      </c>
      <c r="H105" s="35">
        <f t="shared" si="29"/>
        <v>33.608713598338568</v>
      </c>
    </row>
    <row r="106" spans="1:8" x14ac:dyDescent="0.2">
      <c r="A106" s="30">
        <f t="shared" si="30"/>
        <v>102</v>
      </c>
      <c r="B106" s="31">
        <f t="shared" si="24"/>
        <v>0.37772</v>
      </c>
      <c r="C106" s="32">
        <f t="shared" si="31"/>
        <v>453.71062843239565</v>
      </c>
      <c r="D106" s="32">
        <f t="shared" si="25"/>
        <v>171.37557857148448</v>
      </c>
      <c r="E106" s="33">
        <f t="shared" si="26"/>
        <v>22.252665159355782</v>
      </c>
      <c r="F106" s="34">
        <f t="shared" si="27"/>
        <v>8.2819652078088861</v>
      </c>
      <c r="G106" s="32">
        <f t="shared" si="28"/>
        <v>52.734931060267684</v>
      </c>
      <c r="H106" s="35">
        <f t="shared" si="29"/>
        <v>21.027200360064526</v>
      </c>
    </row>
    <row r="107" spans="1:8" x14ac:dyDescent="0.2">
      <c r="A107" s="30">
        <f t="shared" si="30"/>
        <v>103</v>
      </c>
      <c r="B107" s="31">
        <f t="shared" si="24"/>
        <v>0.39807999999999999</v>
      </c>
      <c r="C107" s="32">
        <f t="shared" si="31"/>
        <v>282.33504986091117</v>
      </c>
      <c r="D107" s="32">
        <f t="shared" si="25"/>
        <v>112.39193664863151</v>
      </c>
      <c r="E107" s="33">
        <f t="shared" si="26"/>
        <v>13.444066480935843</v>
      </c>
      <c r="F107" s="34">
        <f t="shared" si="27"/>
        <v>5.2732990104445161</v>
      </c>
      <c r="G107" s="32">
        <f t="shared" si="28"/>
        <v>30.482265900911905</v>
      </c>
      <c r="H107" s="35">
        <f t="shared" si="29"/>
        <v>12.745235152255638</v>
      </c>
    </row>
    <row r="108" spans="1:8" x14ac:dyDescent="0.2">
      <c r="A108" s="30">
        <f t="shared" si="30"/>
        <v>104</v>
      </c>
      <c r="B108" s="31">
        <f t="shared" si="24"/>
        <v>0.41881000000000002</v>
      </c>
      <c r="C108" s="32">
        <f t="shared" si="31"/>
        <v>169.94311321227966</v>
      </c>
      <c r="D108" s="32">
        <f t="shared" si="25"/>
        <v>71.173875244434839</v>
      </c>
      <c r="E108" s="33">
        <f t="shared" si="26"/>
        <v>7.8565558215581568</v>
      </c>
      <c r="F108" s="34">
        <f t="shared" si="27"/>
        <v>3.242131539708573</v>
      </c>
      <c r="G108" s="32">
        <f t="shared" si="28"/>
        <v>17.03819941997606</v>
      </c>
      <c r="H108" s="35">
        <f t="shared" si="29"/>
        <v>7.4719361418111223</v>
      </c>
    </row>
    <row r="109" spans="1:8" x14ac:dyDescent="0.2">
      <c r="A109" s="30">
        <f t="shared" si="30"/>
        <v>105</v>
      </c>
      <c r="B109" s="31">
        <f t="shared" si="24"/>
        <v>0.43989</v>
      </c>
      <c r="C109" s="32">
        <f t="shared" si="31"/>
        <v>98.769237967844816</v>
      </c>
      <c r="D109" s="32">
        <f t="shared" si="25"/>
        <v>43.447600089675255</v>
      </c>
      <c r="E109" s="33">
        <f t="shared" si="26"/>
        <v>4.4331569688654229</v>
      </c>
      <c r="F109" s="34">
        <f t="shared" si="27"/>
        <v>1.9214920235641468</v>
      </c>
      <c r="G109" s="32">
        <f t="shared" si="28"/>
        <v>9.181643598417903</v>
      </c>
      <c r="H109" s="35">
        <f t="shared" si="29"/>
        <v>4.2298046021025488</v>
      </c>
    </row>
    <row r="110" spans="1:8" x14ac:dyDescent="0.2">
      <c r="A110" s="30">
        <f t="shared" si="30"/>
        <v>106</v>
      </c>
      <c r="B110" s="31">
        <f t="shared" si="24"/>
        <v>0.46128999999999998</v>
      </c>
      <c r="C110" s="32">
        <f t="shared" si="31"/>
        <v>55.321637878169561</v>
      </c>
      <c r="D110" s="32">
        <f t="shared" si="25"/>
        <v>25.519318336820835</v>
      </c>
      <c r="E110" s="33">
        <f t="shared" si="26"/>
        <v>2.4107335435254482</v>
      </c>
      <c r="F110" s="34">
        <f t="shared" si="27"/>
        <v>1.0957327400342085</v>
      </c>
      <c r="G110" s="32">
        <f t="shared" si="28"/>
        <v>4.7484866295524792</v>
      </c>
      <c r="H110" s="35">
        <f t="shared" si="29"/>
        <v>2.3083125785384015</v>
      </c>
    </row>
    <row r="111" spans="1:8" x14ac:dyDescent="0.2">
      <c r="A111" s="30">
        <f t="shared" si="30"/>
        <v>107</v>
      </c>
      <c r="B111" s="31">
        <f t="shared" si="24"/>
        <v>0.48297000000000001</v>
      </c>
      <c r="C111" s="32">
        <f t="shared" si="31"/>
        <v>29.802319541348727</v>
      </c>
      <c r="D111" s="32">
        <f t="shared" si="25"/>
        <v>14.393626268885194</v>
      </c>
      <c r="E111" s="33">
        <f t="shared" si="26"/>
        <v>1.2608604536238781</v>
      </c>
      <c r="F111" s="34">
        <f t="shared" si="27"/>
        <v>0.60002392318514464</v>
      </c>
      <c r="G111" s="32">
        <f t="shared" si="28"/>
        <v>2.3377530860270306</v>
      </c>
      <c r="H111" s="35">
        <f t="shared" si="29"/>
        <v>1.212579838504193</v>
      </c>
    </row>
    <row r="112" spans="1:8" x14ac:dyDescent="0.2">
      <c r="A112" s="30">
        <f t="shared" si="30"/>
        <v>108</v>
      </c>
      <c r="B112" s="31">
        <f t="shared" si="24"/>
        <v>0.50487000000000004</v>
      </c>
      <c r="C112" s="32">
        <f t="shared" si="31"/>
        <v>15.408693272463532</v>
      </c>
      <c r="D112" s="32">
        <f t="shared" si="25"/>
        <v>7.7793869724686644</v>
      </c>
      <c r="E112" s="33">
        <f t="shared" si="26"/>
        <v>0.63291522362830466</v>
      </c>
      <c r="F112" s="34">
        <f t="shared" si="27"/>
        <v>0.31485202783356309</v>
      </c>
      <c r="G112" s="32">
        <f t="shared" si="28"/>
        <v>1.0768926324031525</v>
      </c>
      <c r="H112" s="35">
        <f t="shared" si="29"/>
        <v>0.61255591531904829</v>
      </c>
    </row>
    <row r="113" spans="1:8" x14ac:dyDescent="0.2">
      <c r="A113" s="30">
        <f t="shared" si="30"/>
        <v>109</v>
      </c>
      <c r="B113" s="31">
        <f t="shared" si="24"/>
        <v>0.52695999999999998</v>
      </c>
      <c r="C113" s="32">
        <f t="shared" si="31"/>
        <v>7.6293062999948678</v>
      </c>
      <c r="D113" s="32">
        <f t="shared" si="25"/>
        <v>4.0203392478452953</v>
      </c>
      <c r="E113" s="33">
        <f t="shared" si="26"/>
        <v>0.30424787832532274</v>
      </c>
      <c r="F113" s="34">
        <f t="shared" si="27"/>
        <v>0.1579743570359603</v>
      </c>
      <c r="G113" s="32">
        <f t="shared" si="28"/>
        <v>0.4439774087748477</v>
      </c>
      <c r="H113" s="35">
        <f t="shared" si="29"/>
        <v>0.29770388748548526</v>
      </c>
    </row>
    <row r="114" spans="1:8" x14ac:dyDescent="0.2">
      <c r="A114" s="30">
        <f t="shared" si="30"/>
        <v>110</v>
      </c>
      <c r="B114" s="31">
        <f t="shared" si="24"/>
        <v>0.54918</v>
      </c>
      <c r="C114" s="32">
        <f t="shared" si="31"/>
        <v>3.6089670521495725</v>
      </c>
      <c r="D114" s="32">
        <f t="shared" si="25"/>
        <v>1.9819725256995022</v>
      </c>
      <c r="E114" s="33">
        <f t="shared" si="26"/>
        <v>0.13972953044952494</v>
      </c>
      <c r="F114" s="34">
        <f t="shared" si="27"/>
        <v>7.5610881286988091E-2</v>
      </c>
      <c r="G114" s="32">
        <f t="shared" si="28"/>
        <v>0.13972953044952494</v>
      </c>
      <c r="H114" s="35">
        <f t="shared" si="29"/>
        <v>0.13972953044952494</v>
      </c>
    </row>
    <row r="115" spans="1:8" x14ac:dyDescent="0.2">
      <c r="A115" s="30">
        <f t="shared" si="30"/>
        <v>111</v>
      </c>
      <c r="B115" s="31">
        <f t="shared" si="24"/>
        <v>0.57147000000000003</v>
      </c>
      <c r="C115" s="32">
        <f t="shared" si="31"/>
        <v>1.6269945264500703</v>
      </c>
      <c r="D115" s="32">
        <f t="shared" si="25"/>
        <v>0.92977856203042175</v>
      </c>
      <c r="E115" s="33">
        <f t="shared" si="26"/>
        <v>6.1158123220635754E-2</v>
      </c>
      <c r="F115" s="34">
        <f t="shared" si="27"/>
        <v>3.4437290469345176E-2</v>
      </c>
      <c r="G115" s="32">
        <f t="shared" si="28"/>
        <v>6.1158123220635754E-2</v>
      </c>
      <c r="H115" s="35">
        <f t="shared" si="29"/>
        <v>6.1158123220635754E-2</v>
      </c>
    </row>
    <row r="116" spans="1:8" x14ac:dyDescent="0.2">
      <c r="A116" s="30">
        <f t="shared" si="30"/>
        <v>112</v>
      </c>
      <c r="B116" s="31">
        <f t="shared" si="24"/>
        <v>0.59377999999999997</v>
      </c>
      <c r="C116" s="32">
        <f t="shared" si="31"/>
        <v>0.6972159644196485</v>
      </c>
      <c r="D116" s="32">
        <f t="shared" si="25"/>
        <v>0.41399289535309886</v>
      </c>
      <c r="E116" s="33">
        <f t="shared" si="26"/>
        <v>2.544474810071751E-2</v>
      </c>
      <c r="F116" s="34">
        <f t="shared" si="27"/>
        <v>1.488692871565506E-2</v>
      </c>
      <c r="G116" s="32">
        <f t="shared" si="28"/>
        <v>2.544474810071751E-2</v>
      </c>
      <c r="H116" s="35">
        <f t="shared" si="29"/>
        <v>2.544474810071751E-2</v>
      </c>
    </row>
    <row r="117" spans="1:8" x14ac:dyDescent="0.2">
      <c r="A117" s="30">
        <f t="shared" si="30"/>
        <v>113</v>
      </c>
      <c r="B117" s="31">
        <f t="shared" si="24"/>
        <v>1</v>
      </c>
      <c r="C117" s="32">
        <f t="shared" si="31"/>
        <v>0.28322306906654965</v>
      </c>
      <c r="D117" s="32">
        <f t="shared" si="25"/>
        <v>0.28322306906654965</v>
      </c>
      <c r="E117" s="33">
        <f t="shared" si="26"/>
        <v>1.0035112207255795E-2</v>
      </c>
      <c r="F117" s="34">
        <f t="shared" si="27"/>
        <v>9.8878898674730625E-3</v>
      </c>
      <c r="G117" s="32">
        <f t="shared" si="28"/>
        <v>1.0035112207255795E-2</v>
      </c>
      <c r="H117" s="35">
        <f t="shared" si="29"/>
        <v>1.0035112207255795E-2</v>
      </c>
    </row>
    <row r="118" spans="1:8" x14ac:dyDescent="0.2">
      <c r="A118" s="30">
        <f t="shared" si="30"/>
        <v>114</v>
      </c>
      <c r="B118" s="31">
        <f t="shared" si="24"/>
        <v>1</v>
      </c>
      <c r="C118" s="32">
        <f t="shared" si="31"/>
        <v>0</v>
      </c>
      <c r="D118" s="32">
        <f t="shared" si="25"/>
        <v>0</v>
      </c>
      <c r="E118" s="33">
        <f t="shared" si="26"/>
        <v>0</v>
      </c>
      <c r="F118" s="34">
        <f t="shared" si="27"/>
        <v>0</v>
      </c>
      <c r="G118" s="32">
        <f t="shared" si="28"/>
        <v>0</v>
      </c>
      <c r="H118" s="35">
        <f t="shared" si="29"/>
        <v>0</v>
      </c>
    </row>
    <row r="119" spans="1:8" x14ac:dyDescent="0.2">
      <c r="A119" s="30">
        <f t="shared" si="30"/>
        <v>115</v>
      </c>
      <c r="B119" s="31">
        <f t="shared" si="24"/>
        <v>1</v>
      </c>
      <c r="C119" s="32">
        <f t="shared" si="31"/>
        <v>0</v>
      </c>
      <c r="D119" s="32">
        <f t="shared" si="25"/>
        <v>0</v>
      </c>
      <c r="E119" s="33">
        <f t="shared" si="26"/>
        <v>0</v>
      </c>
      <c r="F119" s="34">
        <f t="shared" si="27"/>
        <v>0</v>
      </c>
      <c r="G119" s="32">
        <f t="shared" si="28"/>
        <v>0</v>
      </c>
      <c r="H119" s="35">
        <f t="shared" si="29"/>
        <v>0</v>
      </c>
    </row>
    <row r="120" spans="1:8" x14ac:dyDescent="0.2">
      <c r="A120" s="30">
        <f t="shared" si="30"/>
        <v>116</v>
      </c>
      <c r="B120" s="31">
        <f t="shared" si="24"/>
        <v>1</v>
      </c>
      <c r="C120" s="32">
        <f t="shared" si="31"/>
        <v>0</v>
      </c>
      <c r="D120" s="32">
        <f t="shared" si="25"/>
        <v>0</v>
      </c>
      <c r="E120" s="33">
        <f t="shared" si="26"/>
        <v>0</v>
      </c>
      <c r="F120" s="34">
        <f t="shared" si="27"/>
        <v>0</v>
      </c>
      <c r="G120" s="32">
        <f t="shared" si="28"/>
        <v>0</v>
      </c>
      <c r="H120" s="35">
        <f t="shared" si="29"/>
        <v>0</v>
      </c>
    </row>
    <row r="121" spans="1:8" x14ac:dyDescent="0.2">
      <c r="A121" s="30">
        <f t="shared" si="30"/>
        <v>117</v>
      </c>
      <c r="B121" s="31">
        <f t="shared" si="24"/>
        <v>1</v>
      </c>
      <c r="C121" s="32">
        <f t="shared" si="31"/>
        <v>0</v>
      </c>
      <c r="D121" s="32">
        <f t="shared" si="25"/>
        <v>0</v>
      </c>
      <c r="E121" s="33">
        <f t="shared" si="26"/>
        <v>0</v>
      </c>
      <c r="F121" s="34">
        <f t="shared" si="27"/>
        <v>0</v>
      </c>
      <c r="G121" s="32">
        <f t="shared" si="28"/>
        <v>0</v>
      </c>
      <c r="H121" s="35">
        <f t="shared" si="29"/>
        <v>0</v>
      </c>
    </row>
    <row r="122" spans="1:8" x14ac:dyDescent="0.2">
      <c r="A122" s="30">
        <f t="shared" si="30"/>
        <v>118</v>
      </c>
      <c r="B122" s="31">
        <f t="shared" si="24"/>
        <v>1</v>
      </c>
      <c r="C122" s="32">
        <f t="shared" si="31"/>
        <v>0</v>
      </c>
      <c r="D122" s="32">
        <f t="shared" si="25"/>
        <v>0</v>
      </c>
      <c r="E122" s="33">
        <f t="shared" si="26"/>
        <v>0</v>
      </c>
      <c r="F122" s="34">
        <f t="shared" si="27"/>
        <v>0</v>
      </c>
      <c r="G122" s="32">
        <f t="shared" si="28"/>
        <v>0</v>
      </c>
      <c r="H122" s="35">
        <f t="shared" si="29"/>
        <v>0</v>
      </c>
    </row>
    <row r="123" spans="1:8" x14ac:dyDescent="0.2">
      <c r="A123" s="30">
        <f t="shared" si="30"/>
        <v>119</v>
      </c>
      <c r="B123" s="31">
        <f t="shared" si="24"/>
        <v>1</v>
      </c>
      <c r="C123" s="32">
        <f t="shared" si="31"/>
        <v>0</v>
      </c>
      <c r="D123" s="32">
        <f t="shared" si="25"/>
        <v>0</v>
      </c>
      <c r="E123" s="33">
        <f t="shared" si="26"/>
        <v>0</v>
      </c>
      <c r="F123" s="34">
        <f t="shared" si="27"/>
        <v>0</v>
      </c>
      <c r="G123" s="32">
        <f t="shared" si="28"/>
        <v>0</v>
      </c>
      <c r="H123" s="35">
        <f t="shared" si="29"/>
        <v>0</v>
      </c>
    </row>
    <row r="124" spans="1:8" x14ac:dyDescent="0.2">
      <c r="A124" s="30">
        <f t="shared" si="30"/>
        <v>120</v>
      </c>
      <c r="B124" s="31">
        <f t="shared" si="24"/>
        <v>1</v>
      </c>
      <c r="C124" s="32">
        <f t="shared" si="31"/>
        <v>0</v>
      </c>
      <c r="D124" s="32">
        <f t="shared" si="25"/>
        <v>0</v>
      </c>
      <c r="E124" s="33">
        <f t="shared" si="26"/>
        <v>0</v>
      </c>
      <c r="F124" s="34">
        <f t="shared" si="27"/>
        <v>0</v>
      </c>
      <c r="G124" s="32">
        <f t="shared" si="28"/>
        <v>0</v>
      </c>
      <c r="H124" s="35">
        <f t="shared" si="29"/>
        <v>0</v>
      </c>
    </row>
    <row r="125" spans="1:8" x14ac:dyDescent="0.2">
      <c r="A125" s="30">
        <f t="shared" si="30"/>
        <v>121</v>
      </c>
      <c r="B125" s="31">
        <f t="shared" si="24"/>
        <v>1</v>
      </c>
      <c r="C125" s="32">
        <f t="shared" si="31"/>
        <v>0</v>
      </c>
      <c r="D125" s="32">
        <f t="shared" si="25"/>
        <v>0</v>
      </c>
      <c r="E125" s="33">
        <f t="shared" si="26"/>
        <v>0</v>
      </c>
      <c r="F125" s="34">
        <f t="shared" si="27"/>
        <v>0</v>
      </c>
      <c r="G125" s="32">
        <f t="shared" si="28"/>
        <v>0</v>
      </c>
      <c r="H125" s="35">
        <f t="shared" si="29"/>
        <v>0</v>
      </c>
    </row>
    <row r="126" spans="1:8" x14ac:dyDescent="0.2">
      <c r="A126" s="30">
        <f t="shared" si="30"/>
        <v>122</v>
      </c>
      <c r="B126" s="31">
        <f t="shared" si="24"/>
        <v>1</v>
      </c>
      <c r="C126" s="32">
        <f t="shared" si="31"/>
        <v>0</v>
      </c>
      <c r="D126" s="32">
        <f t="shared" si="25"/>
        <v>0</v>
      </c>
      <c r="E126" s="33">
        <f t="shared" si="26"/>
        <v>0</v>
      </c>
      <c r="F126" s="34">
        <f t="shared" si="27"/>
        <v>0</v>
      </c>
      <c r="G126" s="32">
        <f t="shared" si="28"/>
        <v>0</v>
      </c>
      <c r="H126" s="35">
        <f t="shared" si="29"/>
        <v>0</v>
      </c>
    </row>
    <row r="127" spans="1:8" x14ac:dyDescent="0.2">
      <c r="A127" s="30">
        <f t="shared" si="30"/>
        <v>123</v>
      </c>
      <c r="B127" s="31">
        <f t="shared" si="24"/>
        <v>1</v>
      </c>
      <c r="C127" s="32">
        <f t="shared" si="31"/>
        <v>0</v>
      </c>
      <c r="D127" s="32">
        <f t="shared" si="25"/>
        <v>0</v>
      </c>
      <c r="E127" s="33">
        <f t="shared" si="26"/>
        <v>0</v>
      </c>
      <c r="F127" s="34">
        <f t="shared" si="27"/>
        <v>0</v>
      </c>
      <c r="G127" s="32">
        <f t="shared" si="28"/>
        <v>0</v>
      </c>
      <c r="H127" s="35">
        <f t="shared" si="29"/>
        <v>0</v>
      </c>
    </row>
    <row r="128" spans="1:8" x14ac:dyDescent="0.2">
      <c r="A128" s="30">
        <f t="shared" si="30"/>
        <v>124</v>
      </c>
      <c r="B128" s="31">
        <f t="shared" si="24"/>
        <v>1</v>
      </c>
      <c r="C128" s="32">
        <f t="shared" si="31"/>
        <v>0</v>
      </c>
      <c r="D128" s="32">
        <f t="shared" si="25"/>
        <v>0</v>
      </c>
      <c r="E128" s="33">
        <f t="shared" si="26"/>
        <v>0</v>
      </c>
      <c r="F128" s="34">
        <f t="shared" si="27"/>
        <v>0</v>
      </c>
      <c r="G128" s="32">
        <f t="shared" si="28"/>
        <v>0</v>
      </c>
      <c r="H128" s="35">
        <f t="shared" si="29"/>
        <v>0</v>
      </c>
    </row>
    <row r="129" spans="1:8" x14ac:dyDescent="0.2">
      <c r="A129" s="30">
        <f t="shared" si="30"/>
        <v>125</v>
      </c>
      <c r="B129" s="31">
        <f t="shared" si="24"/>
        <v>1</v>
      </c>
      <c r="C129" s="32">
        <f t="shared" si="31"/>
        <v>0</v>
      </c>
      <c r="D129" s="32">
        <f t="shared" si="25"/>
        <v>0</v>
      </c>
      <c r="E129" s="33">
        <f t="shared" si="26"/>
        <v>0</v>
      </c>
      <c r="F129" s="34">
        <f t="shared" si="27"/>
        <v>0</v>
      </c>
      <c r="G129" s="32">
        <f t="shared" si="28"/>
        <v>0</v>
      </c>
      <c r="H129" s="35">
        <f t="shared" si="29"/>
        <v>0</v>
      </c>
    </row>
    <row r="130" spans="1:8" x14ac:dyDescent="0.2">
      <c r="A130" s="30">
        <f t="shared" si="30"/>
        <v>126</v>
      </c>
      <c r="B130" s="31">
        <f t="shared" si="24"/>
        <v>1</v>
      </c>
      <c r="C130" s="32">
        <f t="shared" si="31"/>
        <v>0</v>
      </c>
      <c r="D130" s="32">
        <f t="shared" si="25"/>
        <v>0</v>
      </c>
      <c r="E130" s="33">
        <f t="shared" si="26"/>
        <v>0</v>
      </c>
      <c r="F130" s="34">
        <f t="shared" si="27"/>
        <v>0</v>
      </c>
      <c r="G130" s="32">
        <f t="shared" si="28"/>
        <v>0</v>
      </c>
      <c r="H130" s="35">
        <f t="shared" si="29"/>
        <v>0</v>
      </c>
    </row>
    <row r="131" spans="1:8" x14ac:dyDescent="0.2">
      <c r="A131" s="30">
        <f t="shared" si="30"/>
        <v>127</v>
      </c>
      <c r="B131" s="31">
        <f t="shared" si="24"/>
        <v>1</v>
      </c>
      <c r="C131" s="32">
        <f t="shared" si="31"/>
        <v>0</v>
      </c>
      <c r="D131" s="32">
        <f t="shared" si="25"/>
        <v>0</v>
      </c>
      <c r="E131" s="33">
        <f t="shared" si="26"/>
        <v>0</v>
      </c>
      <c r="F131" s="34">
        <f t="shared" si="27"/>
        <v>0</v>
      </c>
      <c r="G131" s="32">
        <f t="shared" si="28"/>
        <v>0</v>
      </c>
      <c r="H131" s="35">
        <f t="shared" si="29"/>
        <v>0</v>
      </c>
    </row>
    <row r="132" spans="1:8" x14ac:dyDescent="0.2">
      <c r="A132" s="30">
        <f t="shared" si="30"/>
        <v>128</v>
      </c>
      <c r="B132" s="31">
        <f t="shared" ref="B132:B134" si="32">INDEX(MortGrid,A132+1,PremMortCol)</f>
        <v>1</v>
      </c>
      <c r="C132" s="32">
        <f t="shared" si="31"/>
        <v>0</v>
      </c>
      <c r="D132" s="32">
        <f t="shared" ref="D132:D134" si="33">C132*B132</f>
        <v>0</v>
      </c>
      <c r="E132" s="33">
        <f t="shared" si="26"/>
        <v>0</v>
      </c>
      <c r="F132" s="34">
        <f t="shared" si="27"/>
        <v>0</v>
      </c>
      <c r="G132" s="32">
        <f t="shared" si="28"/>
        <v>0</v>
      </c>
      <c r="H132" s="35">
        <f t="shared" si="29"/>
        <v>0</v>
      </c>
    </row>
    <row r="133" spans="1:8" x14ac:dyDescent="0.2">
      <c r="A133" s="30">
        <f t="shared" si="30"/>
        <v>129</v>
      </c>
      <c r="B133" s="31">
        <f t="shared" si="32"/>
        <v>1</v>
      </c>
      <c r="C133" s="32">
        <f t="shared" si="31"/>
        <v>0</v>
      </c>
      <c r="D133" s="32">
        <f t="shared" si="33"/>
        <v>0</v>
      </c>
      <c r="E133" s="33">
        <f t="shared" si="26"/>
        <v>0</v>
      </c>
      <c r="F133" s="34">
        <f t="shared" si="27"/>
        <v>0</v>
      </c>
      <c r="G133" s="32">
        <f t="shared" si="28"/>
        <v>0</v>
      </c>
      <c r="H133" s="35">
        <f t="shared" si="29"/>
        <v>0</v>
      </c>
    </row>
    <row r="134" spans="1:8" x14ac:dyDescent="0.2">
      <c r="A134" s="30">
        <f t="shared" si="30"/>
        <v>130</v>
      </c>
      <c r="B134" s="31">
        <f t="shared" si="32"/>
        <v>1</v>
      </c>
      <c r="C134" s="32">
        <f t="shared" si="31"/>
        <v>0</v>
      </c>
      <c r="D134" s="32">
        <f t="shared" si="33"/>
        <v>0</v>
      </c>
      <c r="E134" s="33">
        <f t="shared" si="26"/>
        <v>0</v>
      </c>
      <c r="F134" s="34">
        <f t="shared" si="27"/>
        <v>0</v>
      </c>
      <c r="G134" s="32">
        <f t="shared" si="28"/>
        <v>0</v>
      </c>
      <c r="H134" s="35">
        <f t="shared" si="29"/>
        <v>0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10"/>
  <sheetViews>
    <sheetView workbookViewId="0">
      <pane xSplit="2" ySplit="6" topLeftCell="C7" activePane="bottomRight" state="frozen"/>
      <selection pane="topRight"/>
      <selection pane="bottomLeft"/>
      <selection pane="bottomRight"/>
    </sheetView>
  </sheetViews>
  <sheetFormatPr baseColWidth="10" defaultColWidth="8.83203125" defaultRowHeight="15" x14ac:dyDescent="0.2"/>
  <cols>
    <col min="1" max="1" width="6" customWidth="1"/>
    <col min="2" max="2" width="9" customWidth="1"/>
    <col min="3" max="3" width="12" customWidth="1"/>
    <col min="4" max="4" width="11" customWidth="1"/>
    <col min="5" max="5" width="12" customWidth="1"/>
    <col min="6" max="6" width="14" customWidth="1"/>
    <col min="7" max="8" width="12" customWidth="1"/>
    <col min="9" max="10" width="13" customWidth="1"/>
    <col min="11" max="11" width="10" customWidth="1"/>
  </cols>
  <sheetData>
    <row r="1" spans="1:11" x14ac:dyDescent="0.2">
      <c r="A1" s="3" t="s">
        <v>314</v>
      </c>
    </row>
    <row r="5" spans="1:11" x14ac:dyDescent="0.2">
      <c r="A5" s="10" t="s">
        <v>185</v>
      </c>
      <c r="B5" s="10" t="s">
        <v>315</v>
      </c>
      <c r="C5" s="10" t="s">
        <v>316</v>
      </c>
      <c r="D5" s="10" t="s">
        <v>317</v>
      </c>
      <c r="E5" s="10" t="s">
        <v>318</v>
      </c>
      <c r="F5" s="10" t="s">
        <v>319</v>
      </c>
      <c r="G5" s="10" t="s">
        <v>320</v>
      </c>
      <c r="H5" s="10" t="s">
        <v>321</v>
      </c>
      <c r="I5" s="10" t="s">
        <v>322</v>
      </c>
      <c r="J5" s="10" t="s">
        <v>323</v>
      </c>
      <c r="K5" s="10" t="s">
        <v>324</v>
      </c>
    </row>
    <row r="6" spans="1:11" x14ac:dyDescent="0.2">
      <c r="A6" s="14" t="s">
        <v>185</v>
      </c>
      <c r="B6" s="14" t="s">
        <v>325</v>
      </c>
      <c r="C6" s="14" t="s">
        <v>326</v>
      </c>
      <c r="D6" s="14" t="s">
        <v>108</v>
      </c>
      <c r="E6" s="14" t="s">
        <v>327</v>
      </c>
      <c r="F6" s="14" t="s">
        <v>328</v>
      </c>
      <c r="G6" s="14" t="s">
        <v>329</v>
      </c>
      <c r="H6" s="14" t="s">
        <v>330</v>
      </c>
      <c r="I6" s="14" t="s">
        <v>331</v>
      </c>
      <c r="J6" s="14" t="s">
        <v>332</v>
      </c>
      <c r="K6" s="14" t="s">
        <v>196</v>
      </c>
    </row>
    <row r="7" spans="1:11" x14ac:dyDescent="0.2">
      <c r="A7" s="30">
        <v>0</v>
      </c>
      <c r="B7" s="30">
        <f t="shared" ref="B7:B38" si="0">IssueAge+A7</f>
        <v>30</v>
      </c>
      <c r="C7" s="31">
        <f t="shared" ref="C7:C38" si="1">IF($A7&gt;LastT,0,INDEX(MortGrid,B7+1,BaseMortCol))</f>
        <v>7.6999999999999996E-4</v>
      </c>
      <c r="D7" s="31">
        <f t="shared" ref="D7:D38" si="2">IF($A7&gt;LastT,0,INDEX(AsmpTblGrid,MIN(A7,19)+1,MortFactorCol))</f>
        <v>0.7</v>
      </c>
      <c r="E7" s="36">
        <f t="shared" ref="E7:E38" si="3">IF($A7&gt;LastT,0,INDEX(AsmpTblGrid,MIN(A7,19)+1,SurrCol))</f>
        <v>0.08</v>
      </c>
      <c r="F7" s="37">
        <f t="shared" ref="F7:F38" si="4">IF($A7&gt;LastT+1,0,IF(INDEX(Comm_Dx,B7+1)=0,0,(INDEX(Comm_Mx,B7+1)-Mx_xn+LoadMaintSA2*(Nx_xn-Nx_xn)-IF(A7&lt;=PolicyTerm,NetPremRatePrem*(INDEX(Comm_Nx,B7+1)-Nx_xn),0))/INDEX(Comm_Dx,B7+1)))</f>
        <v>-2.801683888959924E-18</v>
      </c>
      <c r="G7" s="37">
        <f t="shared" ref="G7:G38" si="5">IF($A7&gt;LastT+1,0,InitSurrCharge*MAX((MIN(PolicyTerm,10)-A7)/MIN(PolicyTerm,10),0))</f>
        <v>0</v>
      </c>
      <c r="H7" s="37">
        <f t="shared" ref="H7:H38" si="6">IF($A7&gt;LastT+1,0,MAX(F7-G7,0))</f>
        <v>0</v>
      </c>
      <c r="I7" s="38">
        <f t="shared" ref="I7:I38" si="7">IF($A7&gt;LastT,0,SumAssured*(H7+H8)/2)</f>
        <v>223.73470701506008</v>
      </c>
      <c r="J7" s="38">
        <f t="shared" ref="J7:J38" si="8">IF(OR($A7=0,$A7&gt;LastT),0,IF(A7&lt;CommRenTerm,SizePremium*CommRenPrem*(1+CnsmpTax),0))</f>
        <v>0</v>
      </c>
      <c r="K7" s="36">
        <f t="shared" ref="K7:K38" si="9">IF($A7&gt;LastT,0,INDEX(ScenGrid,A7+1,ScenID))</f>
        <v>1.4999999999999999E-2</v>
      </c>
    </row>
    <row r="8" spans="1:11" x14ac:dyDescent="0.2">
      <c r="A8" s="30">
        <f t="shared" ref="A8:A39" si="10">A7+1</f>
        <v>1</v>
      </c>
      <c r="B8" s="30">
        <f t="shared" si="0"/>
        <v>31</v>
      </c>
      <c r="C8" s="31">
        <f t="shared" si="1"/>
        <v>8.1999999999999998E-4</v>
      </c>
      <c r="D8" s="31">
        <f t="shared" si="2"/>
        <v>0.7</v>
      </c>
      <c r="E8" s="36">
        <f t="shared" si="3"/>
        <v>0.08</v>
      </c>
      <c r="F8" s="37">
        <f t="shared" si="4"/>
        <v>4.4746941403012017E-4</v>
      </c>
      <c r="G8" s="37">
        <f t="shared" si="5"/>
        <v>0</v>
      </c>
      <c r="H8" s="37">
        <f t="shared" si="6"/>
        <v>4.4746941403012017E-4</v>
      </c>
      <c r="I8" s="38">
        <f t="shared" si="7"/>
        <v>652.72342837000588</v>
      </c>
      <c r="J8" s="38">
        <f t="shared" si="8"/>
        <v>178.70849546707404</v>
      </c>
      <c r="K8" s="36">
        <f t="shared" si="9"/>
        <v>1.4999999999999999E-2</v>
      </c>
    </row>
    <row r="9" spans="1:11" x14ac:dyDescent="0.2">
      <c r="A9" s="30">
        <f t="shared" si="10"/>
        <v>2</v>
      </c>
      <c r="B9" s="30">
        <f t="shared" si="0"/>
        <v>32</v>
      </c>
      <c r="C9" s="31">
        <f t="shared" si="1"/>
        <v>8.8000000000000003E-4</v>
      </c>
      <c r="D9" s="31">
        <f t="shared" si="2"/>
        <v>0.7</v>
      </c>
      <c r="E9" s="36">
        <f t="shared" si="3"/>
        <v>0.08</v>
      </c>
      <c r="F9" s="37">
        <f t="shared" si="4"/>
        <v>8.5797744270989143E-4</v>
      </c>
      <c r="G9" s="37">
        <f t="shared" si="5"/>
        <v>0</v>
      </c>
      <c r="H9" s="37">
        <f t="shared" si="6"/>
        <v>8.5797744270989143E-4</v>
      </c>
      <c r="I9" s="38">
        <f t="shared" si="7"/>
        <v>1039.1275542060896</v>
      </c>
      <c r="J9" s="38">
        <f t="shared" si="8"/>
        <v>178.70849546707404</v>
      </c>
      <c r="K9" s="36">
        <f t="shared" si="9"/>
        <v>1.4999999999999999E-2</v>
      </c>
    </row>
    <row r="10" spans="1:11" x14ac:dyDescent="0.2">
      <c r="A10" s="30">
        <f t="shared" si="10"/>
        <v>3</v>
      </c>
      <c r="B10" s="30">
        <f t="shared" si="0"/>
        <v>33</v>
      </c>
      <c r="C10" s="31">
        <f t="shared" si="1"/>
        <v>9.2000000000000003E-4</v>
      </c>
      <c r="D10" s="31">
        <f t="shared" si="2"/>
        <v>0.7</v>
      </c>
      <c r="E10" s="36">
        <f t="shared" si="3"/>
        <v>0.08</v>
      </c>
      <c r="F10" s="37">
        <f t="shared" si="4"/>
        <v>1.2202776657022876E-3</v>
      </c>
      <c r="G10" s="37">
        <f t="shared" si="5"/>
        <v>0</v>
      </c>
      <c r="H10" s="37">
        <f t="shared" si="6"/>
        <v>1.2202776657022876E-3</v>
      </c>
      <c r="I10" s="38">
        <f t="shared" si="7"/>
        <v>1386.7420502002378</v>
      </c>
      <c r="J10" s="38">
        <f t="shared" si="8"/>
        <v>178.70849546707404</v>
      </c>
      <c r="K10" s="36">
        <f t="shared" si="9"/>
        <v>1.4999999999999999E-2</v>
      </c>
    </row>
    <row r="11" spans="1:11" x14ac:dyDescent="0.2">
      <c r="A11" s="30">
        <f t="shared" si="10"/>
        <v>4</v>
      </c>
      <c r="B11" s="30">
        <f t="shared" si="0"/>
        <v>34</v>
      </c>
      <c r="C11" s="31">
        <f t="shared" si="1"/>
        <v>9.5E-4</v>
      </c>
      <c r="D11" s="31">
        <f t="shared" si="2"/>
        <v>0.7</v>
      </c>
      <c r="E11" s="36">
        <f t="shared" si="3"/>
        <v>0.08</v>
      </c>
      <c r="F11" s="37">
        <f t="shared" si="4"/>
        <v>1.5532064346981884E-3</v>
      </c>
      <c r="G11" s="37">
        <f t="shared" si="5"/>
        <v>0</v>
      </c>
      <c r="H11" s="37">
        <f t="shared" si="6"/>
        <v>1.5532064346981884E-3</v>
      </c>
      <c r="I11" s="38">
        <f t="shared" si="7"/>
        <v>1709.6132980001159</v>
      </c>
      <c r="J11" s="38">
        <f t="shared" si="8"/>
        <v>178.70849546707404</v>
      </c>
      <c r="K11" s="36">
        <f t="shared" si="9"/>
        <v>1.4999999999999999E-2</v>
      </c>
    </row>
    <row r="12" spans="1:11" x14ac:dyDescent="0.2">
      <c r="A12" s="30">
        <f t="shared" si="10"/>
        <v>5</v>
      </c>
      <c r="B12" s="30">
        <f t="shared" si="0"/>
        <v>35</v>
      </c>
      <c r="C12" s="31">
        <f t="shared" si="1"/>
        <v>9.8999999999999999E-4</v>
      </c>
      <c r="D12" s="31">
        <f t="shared" si="2"/>
        <v>0.7</v>
      </c>
      <c r="E12" s="36">
        <f t="shared" si="3"/>
        <v>0.08</v>
      </c>
      <c r="F12" s="37">
        <f t="shared" si="4"/>
        <v>1.8660201613020433E-3</v>
      </c>
      <c r="G12" s="37">
        <f t="shared" si="5"/>
        <v>0</v>
      </c>
      <c r="H12" s="37">
        <f t="shared" si="6"/>
        <v>1.8660201613020433E-3</v>
      </c>
      <c r="I12" s="38">
        <f t="shared" si="7"/>
        <v>2006.9983361691882</v>
      </c>
      <c r="J12" s="38">
        <f t="shared" si="8"/>
        <v>0</v>
      </c>
      <c r="K12" s="36">
        <f t="shared" si="9"/>
        <v>1.4999999999999999E-2</v>
      </c>
    </row>
    <row r="13" spans="1:11" x14ac:dyDescent="0.2">
      <c r="A13" s="30">
        <f t="shared" si="10"/>
        <v>6</v>
      </c>
      <c r="B13" s="30">
        <f t="shared" si="0"/>
        <v>36</v>
      </c>
      <c r="C13" s="31">
        <f t="shared" si="1"/>
        <v>1.0499999999999999E-3</v>
      </c>
      <c r="D13" s="31">
        <f t="shared" si="2"/>
        <v>0.7</v>
      </c>
      <c r="E13" s="36">
        <f t="shared" si="3"/>
        <v>0.08</v>
      </c>
      <c r="F13" s="37">
        <f t="shared" si="4"/>
        <v>2.1479765110363333E-3</v>
      </c>
      <c r="G13" s="37">
        <f t="shared" si="5"/>
        <v>0</v>
      </c>
      <c r="H13" s="37">
        <f t="shared" si="6"/>
        <v>2.1479765110363333E-3</v>
      </c>
      <c r="I13" s="38">
        <f t="shared" si="7"/>
        <v>2262.9224890264286</v>
      </c>
      <c r="J13" s="38">
        <f t="shared" si="8"/>
        <v>0</v>
      </c>
      <c r="K13" s="36">
        <f t="shared" si="9"/>
        <v>1.4999999999999999E-2</v>
      </c>
    </row>
    <row r="14" spans="1:11" x14ac:dyDescent="0.2">
      <c r="A14" s="30">
        <f t="shared" si="10"/>
        <v>7</v>
      </c>
      <c r="B14" s="30">
        <f t="shared" si="0"/>
        <v>37</v>
      </c>
      <c r="C14" s="31">
        <f t="shared" si="1"/>
        <v>1.14E-3</v>
      </c>
      <c r="D14" s="31">
        <f t="shared" si="2"/>
        <v>0.7</v>
      </c>
      <c r="E14" s="36">
        <f t="shared" si="3"/>
        <v>0.08</v>
      </c>
      <c r="F14" s="37">
        <f t="shared" si="4"/>
        <v>2.3778684670165235E-3</v>
      </c>
      <c r="G14" s="37">
        <f t="shared" si="5"/>
        <v>0</v>
      </c>
      <c r="H14" s="37">
        <f t="shared" si="6"/>
        <v>2.3778684670165235E-3</v>
      </c>
      <c r="I14" s="38">
        <f t="shared" si="7"/>
        <v>2450.7829388823484</v>
      </c>
      <c r="J14" s="38">
        <f t="shared" si="8"/>
        <v>0</v>
      </c>
      <c r="K14" s="36">
        <f t="shared" si="9"/>
        <v>1.4999999999999999E-2</v>
      </c>
    </row>
    <row r="15" spans="1:11" x14ac:dyDescent="0.2">
      <c r="A15" s="30">
        <f t="shared" si="10"/>
        <v>8</v>
      </c>
      <c r="B15" s="30">
        <f t="shared" si="0"/>
        <v>38</v>
      </c>
      <c r="C15" s="31">
        <f t="shared" si="1"/>
        <v>1.25E-3</v>
      </c>
      <c r="D15" s="31">
        <f t="shared" si="2"/>
        <v>0.7</v>
      </c>
      <c r="E15" s="36">
        <f t="shared" si="3"/>
        <v>0.08</v>
      </c>
      <c r="F15" s="37">
        <f t="shared" si="4"/>
        <v>2.5236974107481734E-3</v>
      </c>
      <c r="G15" s="37">
        <f t="shared" si="5"/>
        <v>0</v>
      </c>
      <c r="H15" s="37">
        <f t="shared" si="6"/>
        <v>2.5236974107481734E-3</v>
      </c>
      <c r="I15" s="38">
        <f t="shared" si="7"/>
        <v>2543.1435241613076</v>
      </c>
      <c r="J15" s="38">
        <f t="shared" si="8"/>
        <v>0</v>
      </c>
      <c r="K15" s="36">
        <f t="shared" si="9"/>
        <v>1.4999999999999999E-2</v>
      </c>
    </row>
    <row r="16" spans="1:11" x14ac:dyDescent="0.2">
      <c r="A16" s="30">
        <f t="shared" si="10"/>
        <v>9</v>
      </c>
      <c r="B16" s="30">
        <f t="shared" si="0"/>
        <v>39</v>
      </c>
      <c r="C16" s="31">
        <f t="shared" si="1"/>
        <v>1.3600000000000001E-3</v>
      </c>
      <c r="D16" s="31">
        <f t="shared" si="2"/>
        <v>0.7</v>
      </c>
      <c r="E16" s="36">
        <f t="shared" si="3"/>
        <v>0.08</v>
      </c>
      <c r="F16" s="37">
        <f t="shared" si="4"/>
        <v>2.5625896375744417E-3</v>
      </c>
      <c r="G16" s="37">
        <f t="shared" si="5"/>
        <v>0</v>
      </c>
      <c r="H16" s="37">
        <f t="shared" si="6"/>
        <v>2.5625896375744417E-3</v>
      </c>
      <c r="I16" s="38">
        <f t="shared" si="7"/>
        <v>2526.8926252753163</v>
      </c>
      <c r="J16" s="38">
        <f t="shared" si="8"/>
        <v>0</v>
      </c>
      <c r="K16" s="36">
        <f t="shared" si="9"/>
        <v>1.4999999999999999E-2</v>
      </c>
    </row>
    <row r="17" spans="1:11" x14ac:dyDescent="0.2">
      <c r="A17" s="30">
        <f t="shared" si="10"/>
        <v>10</v>
      </c>
      <c r="B17" s="30">
        <f t="shared" si="0"/>
        <v>40</v>
      </c>
      <c r="C17" s="31">
        <f t="shared" si="1"/>
        <v>1.47E-3</v>
      </c>
      <c r="D17" s="31">
        <f t="shared" si="2"/>
        <v>0.7</v>
      </c>
      <c r="E17" s="36">
        <f t="shared" si="3"/>
        <v>0.08</v>
      </c>
      <c r="F17" s="37">
        <f t="shared" si="4"/>
        <v>2.4911956129761901E-3</v>
      </c>
      <c r="G17" s="37">
        <f t="shared" si="5"/>
        <v>0</v>
      </c>
      <c r="H17" s="37">
        <f t="shared" si="6"/>
        <v>2.4911956129761901E-3</v>
      </c>
      <c r="I17" s="38">
        <f t="shared" si="7"/>
        <v>2398.6097011684446</v>
      </c>
      <c r="J17" s="38">
        <f t="shared" si="8"/>
        <v>0</v>
      </c>
      <c r="K17" s="36">
        <f t="shared" si="9"/>
        <v>1.4999999999999999E-2</v>
      </c>
    </row>
    <row r="18" spans="1:11" x14ac:dyDescent="0.2">
      <c r="A18" s="30">
        <f t="shared" si="10"/>
        <v>11</v>
      </c>
      <c r="B18" s="30">
        <f t="shared" si="0"/>
        <v>41</v>
      </c>
      <c r="C18" s="31">
        <f t="shared" si="1"/>
        <v>1.5900000000000001E-3</v>
      </c>
      <c r="D18" s="31">
        <f t="shared" si="2"/>
        <v>0.7</v>
      </c>
      <c r="E18" s="36">
        <f t="shared" si="3"/>
        <v>0.08</v>
      </c>
      <c r="F18" s="37">
        <f t="shared" si="4"/>
        <v>2.3060237893606991E-3</v>
      </c>
      <c r="G18" s="37">
        <f t="shared" si="5"/>
        <v>0</v>
      </c>
      <c r="H18" s="37">
        <f t="shared" si="6"/>
        <v>2.3060237893606991E-3</v>
      </c>
      <c r="I18" s="38">
        <f t="shared" si="7"/>
        <v>2149.6566885452207</v>
      </c>
      <c r="J18" s="38">
        <f t="shared" si="8"/>
        <v>0</v>
      </c>
      <c r="K18" s="36">
        <f t="shared" si="9"/>
        <v>1.4999999999999999E-2</v>
      </c>
    </row>
    <row r="19" spans="1:11" x14ac:dyDescent="0.2">
      <c r="A19" s="30">
        <f t="shared" si="10"/>
        <v>12</v>
      </c>
      <c r="B19" s="30">
        <f t="shared" si="0"/>
        <v>42</v>
      </c>
      <c r="C19" s="31">
        <f t="shared" si="1"/>
        <v>1.73E-3</v>
      </c>
      <c r="D19" s="31">
        <f t="shared" si="2"/>
        <v>0.7</v>
      </c>
      <c r="E19" s="36">
        <f t="shared" si="3"/>
        <v>0.08</v>
      </c>
      <c r="F19" s="37">
        <f t="shared" si="4"/>
        <v>1.9932895877297417E-3</v>
      </c>
      <c r="G19" s="37">
        <f t="shared" si="5"/>
        <v>0</v>
      </c>
      <c r="H19" s="37">
        <f t="shared" si="6"/>
        <v>1.9932895877297417E-3</v>
      </c>
      <c r="I19" s="38">
        <f t="shared" si="7"/>
        <v>1760.9267755401984</v>
      </c>
      <c r="J19" s="38">
        <f t="shared" si="8"/>
        <v>0</v>
      </c>
      <c r="K19" s="36">
        <f t="shared" si="9"/>
        <v>1.4999999999999999E-2</v>
      </c>
    </row>
    <row r="20" spans="1:11" x14ac:dyDescent="0.2">
      <c r="A20" s="30">
        <f t="shared" si="10"/>
        <v>13</v>
      </c>
      <c r="B20" s="30">
        <f t="shared" si="0"/>
        <v>43</v>
      </c>
      <c r="C20" s="31">
        <f t="shared" si="1"/>
        <v>1.9E-3</v>
      </c>
      <c r="D20" s="31">
        <f t="shared" si="2"/>
        <v>0.7</v>
      </c>
      <c r="E20" s="36">
        <f t="shared" si="3"/>
        <v>0.08</v>
      </c>
      <c r="F20" s="37">
        <f t="shared" si="4"/>
        <v>1.5285639633506553E-3</v>
      </c>
      <c r="G20" s="37">
        <f t="shared" si="5"/>
        <v>0</v>
      </c>
      <c r="H20" s="37">
        <f t="shared" si="6"/>
        <v>1.5285639633506553E-3</v>
      </c>
      <c r="I20" s="38">
        <f t="shared" si="7"/>
        <v>1202.4750474888872</v>
      </c>
      <c r="J20" s="38">
        <f t="shared" si="8"/>
        <v>0</v>
      </c>
      <c r="K20" s="36">
        <f t="shared" si="9"/>
        <v>1.4999999999999999E-2</v>
      </c>
    </row>
    <row r="21" spans="1:11" x14ac:dyDescent="0.2">
      <c r="A21" s="30">
        <f t="shared" si="10"/>
        <v>14</v>
      </c>
      <c r="B21" s="30">
        <f t="shared" si="0"/>
        <v>44</v>
      </c>
      <c r="C21" s="31">
        <f t="shared" si="1"/>
        <v>2.0999999999999999E-3</v>
      </c>
      <c r="D21" s="31">
        <f t="shared" si="2"/>
        <v>0.7</v>
      </c>
      <c r="E21" s="36">
        <f t="shared" si="3"/>
        <v>0.08</v>
      </c>
      <c r="F21" s="37">
        <f t="shared" si="4"/>
        <v>8.7638613162711919E-4</v>
      </c>
      <c r="G21" s="37">
        <f t="shared" si="5"/>
        <v>0</v>
      </c>
      <c r="H21" s="37">
        <f t="shared" si="6"/>
        <v>8.7638613162711919E-4</v>
      </c>
      <c r="I21" s="38">
        <f t="shared" si="7"/>
        <v>438.1930658135596</v>
      </c>
      <c r="J21" s="38">
        <f t="shared" si="8"/>
        <v>0</v>
      </c>
      <c r="K21" s="36">
        <f t="shared" si="9"/>
        <v>1.4999999999999999E-2</v>
      </c>
    </row>
    <row r="22" spans="1:11" x14ac:dyDescent="0.2">
      <c r="A22" s="30">
        <f t="shared" si="10"/>
        <v>15</v>
      </c>
      <c r="B22" s="30">
        <f t="shared" si="0"/>
        <v>45</v>
      </c>
      <c r="C22" s="31">
        <f t="shared" si="1"/>
        <v>2.32E-3</v>
      </c>
      <c r="D22" s="31">
        <f t="shared" si="2"/>
        <v>0.7</v>
      </c>
      <c r="E22" s="36">
        <f t="shared" si="3"/>
        <v>0.08</v>
      </c>
      <c r="F22" s="37">
        <f t="shared" si="4"/>
        <v>0</v>
      </c>
      <c r="G22" s="37">
        <f t="shared" si="5"/>
        <v>0</v>
      </c>
      <c r="H22" s="37">
        <f t="shared" si="6"/>
        <v>0</v>
      </c>
      <c r="I22" s="38">
        <f t="shared" si="7"/>
        <v>0</v>
      </c>
      <c r="J22" s="38">
        <f t="shared" si="8"/>
        <v>0</v>
      </c>
      <c r="K22" s="36">
        <f t="shared" si="9"/>
        <v>1.4999999999999999E-2</v>
      </c>
    </row>
    <row r="23" spans="1:11" x14ac:dyDescent="0.2">
      <c r="A23" s="30">
        <f t="shared" si="10"/>
        <v>16</v>
      </c>
      <c r="B23" s="30">
        <f t="shared" si="0"/>
        <v>46</v>
      </c>
      <c r="C23" s="31">
        <f t="shared" si="1"/>
        <v>0</v>
      </c>
      <c r="D23" s="31">
        <f t="shared" si="2"/>
        <v>0</v>
      </c>
      <c r="E23" s="36">
        <f t="shared" si="3"/>
        <v>0</v>
      </c>
      <c r="F23" s="37">
        <f t="shared" si="4"/>
        <v>-2.360018085058722E-3</v>
      </c>
      <c r="G23" s="37">
        <f t="shared" si="5"/>
        <v>0</v>
      </c>
      <c r="H23" s="37">
        <f t="shared" si="6"/>
        <v>0</v>
      </c>
      <c r="I23" s="38">
        <f t="shared" si="7"/>
        <v>0</v>
      </c>
      <c r="J23" s="38">
        <f t="shared" si="8"/>
        <v>0</v>
      </c>
      <c r="K23" s="36">
        <f t="shared" si="9"/>
        <v>0</v>
      </c>
    </row>
    <row r="24" spans="1:11" x14ac:dyDescent="0.2">
      <c r="A24" s="30">
        <f t="shared" si="10"/>
        <v>17</v>
      </c>
      <c r="B24" s="30">
        <f t="shared" si="0"/>
        <v>47</v>
      </c>
      <c r="C24" s="31">
        <f t="shared" si="1"/>
        <v>0</v>
      </c>
      <c r="D24" s="31">
        <f t="shared" si="2"/>
        <v>0</v>
      </c>
      <c r="E24" s="36">
        <f t="shared" si="3"/>
        <v>0</v>
      </c>
      <c r="F24" s="37">
        <f t="shared" si="4"/>
        <v>0</v>
      </c>
      <c r="G24" s="37">
        <f t="shared" si="5"/>
        <v>0</v>
      </c>
      <c r="H24" s="37">
        <f t="shared" si="6"/>
        <v>0</v>
      </c>
      <c r="I24" s="38">
        <f t="shared" si="7"/>
        <v>0</v>
      </c>
      <c r="J24" s="38">
        <f t="shared" si="8"/>
        <v>0</v>
      </c>
      <c r="K24" s="36">
        <f t="shared" si="9"/>
        <v>0</v>
      </c>
    </row>
    <row r="25" spans="1:11" x14ac:dyDescent="0.2">
      <c r="A25" s="30">
        <f t="shared" si="10"/>
        <v>18</v>
      </c>
      <c r="B25" s="30">
        <f t="shared" si="0"/>
        <v>48</v>
      </c>
      <c r="C25" s="31">
        <f t="shared" si="1"/>
        <v>0</v>
      </c>
      <c r="D25" s="31">
        <f t="shared" si="2"/>
        <v>0</v>
      </c>
      <c r="E25" s="36">
        <f t="shared" si="3"/>
        <v>0</v>
      </c>
      <c r="F25" s="37">
        <f t="shared" si="4"/>
        <v>0</v>
      </c>
      <c r="G25" s="37">
        <f t="shared" si="5"/>
        <v>0</v>
      </c>
      <c r="H25" s="37">
        <f t="shared" si="6"/>
        <v>0</v>
      </c>
      <c r="I25" s="38">
        <f t="shared" si="7"/>
        <v>0</v>
      </c>
      <c r="J25" s="38">
        <f t="shared" si="8"/>
        <v>0</v>
      </c>
      <c r="K25" s="36">
        <f t="shared" si="9"/>
        <v>0</v>
      </c>
    </row>
    <row r="26" spans="1:11" x14ac:dyDescent="0.2">
      <c r="A26" s="30">
        <f t="shared" si="10"/>
        <v>19</v>
      </c>
      <c r="B26" s="30">
        <f t="shared" si="0"/>
        <v>49</v>
      </c>
      <c r="C26" s="31">
        <f t="shared" si="1"/>
        <v>0</v>
      </c>
      <c r="D26" s="31">
        <f t="shared" si="2"/>
        <v>0</v>
      </c>
      <c r="E26" s="36">
        <f t="shared" si="3"/>
        <v>0</v>
      </c>
      <c r="F26" s="37">
        <f t="shared" si="4"/>
        <v>0</v>
      </c>
      <c r="G26" s="37">
        <f t="shared" si="5"/>
        <v>0</v>
      </c>
      <c r="H26" s="37">
        <f t="shared" si="6"/>
        <v>0</v>
      </c>
      <c r="I26" s="38">
        <f t="shared" si="7"/>
        <v>0</v>
      </c>
      <c r="J26" s="38">
        <f t="shared" si="8"/>
        <v>0</v>
      </c>
      <c r="K26" s="36">
        <f t="shared" si="9"/>
        <v>0</v>
      </c>
    </row>
    <row r="27" spans="1:11" x14ac:dyDescent="0.2">
      <c r="A27" s="30">
        <f t="shared" si="10"/>
        <v>20</v>
      </c>
      <c r="B27" s="30">
        <f t="shared" si="0"/>
        <v>50</v>
      </c>
      <c r="C27" s="31">
        <f t="shared" si="1"/>
        <v>0</v>
      </c>
      <c r="D27" s="31">
        <f t="shared" si="2"/>
        <v>0</v>
      </c>
      <c r="E27" s="36">
        <f t="shared" si="3"/>
        <v>0</v>
      </c>
      <c r="F27" s="37">
        <f t="shared" si="4"/>
        <v>0</v>
      </c>
      <c r="G27" s="37">
        <f t="shared" si="5"/>
        <v>0</v>
      </c>
      <c r="H27" s="37">
        <f t="shared" si="6"/>
        <v>0</v>
      </c>
      <c r="I27" s="38">
        <f t="shared" si="7"/>
        <v>0</v>
      </c>
      <c r="J27" s="38">
        <f t="shared" si="8"/>
        <v>0</v>
      </c>
      <c r="K27" s="36">
        <f t="shared" si="9"/>
        <v>0</v>
      </c>
    </row>
    <row r="28" spans="1:11" x14ac:dyDescent="0.2">
      <c r="A28" s="30">
        <f t="shared" si="10"/>
        <v>21</v>
      </c>
      <c r="B28" s="30">
        <f t="shared" si="0"/>
        <v>51</v>
      </c>
      <c r="C28" s="31">
        <f t="shared" si="1"/>
        <v>0</v>
      </c>
      <c r="D28" s="31">
        <f t="shared" si="2"/>
        <v>0</v>
      </c>
      <c r="E28" s="36">
        <f t="shared" si="3"/>
        <v>0</v>
      </c>
      <c r="F28" s="37">
        <f t="shared" si="4"/>
        <v>0</v>
      </c>
      <c r="G28" s="37">
        <f t="shared" si="5"/>
        <v>0</v>
      </c>
      <c r="H28" s="37">
        <f t="shared" si="6"/>
        <v>0</v>
      </c>
      <c r="I28" s="38">
        <f t="shared" si="7"/>
        <v>0</v>
      </c>
      <c r="J28" s="38">
        <f t="shared" si="8"/>
        <v>0</v>
      </c>
      <c r="K28" s="36">
        <f t="shared" si="9"/>
        <v>0</v>
      </c>
    </row>
    <row r="29" spans="1:11" x14ac:dyDescent="0.2">
      <c r="A29" s="30">
        <f t="shared" si="10"/>
        <v>22</v>
      </c>
      <c r="B29" s="30">
        <f t="shared" si="0"/>
        <v>52</v>
      </c>
      <c r="C29" s="31">
        <f t="shared" si="1"/>
        <v>0</v>
      </c>
      <c r="D29" s="31">
        <f t="shared" si="2"/>
        <v>0</v>
      </c>
      <c r="E29" s="36">
        <f t="shared" si="3"/>
        <v>0</v>
      </c>
      <c r="F29" s="37">
        <f t="shared" si="4"/>
        <v>0</v>
      </c>
      <c r="G29" s="37">
        <f t="shared" si="5"/>
        <v>0</v>
      </c>
      <c r="H29" s="37">
        <f t="shared" si="6"/>
        <v>0</v>
      </c>
      <c r="I29" s="38">
        <f t="shared" si="7"/>
        <v>0</v>
      </c>
      <c r="J29" s="38">
        <f t="shared" si="8"/>
        <v>0</v>
      </c>
      <c r="K29" s="36">
        <f t="shared" si="9"/>
        <v>0</v>
      </c>
    </row>
    <row r="30" spans="1:11" x14ac:dyDescent="0.2">
      <c r="A30" s="30">
        <f t="shared" si="10"/>
        <v>23</v>
      </c>
      <c r="B30" s="30">
        <f t="shared" si="0"/>
        <v>53</v>
      </c>
      <c r="C30" s="31">
        <f t="shared" si="1"/>
        <v>0</v>
      </c>
      <c r="D30" s="31">
        <f t="shared" si="2"/>
        <v>0</v>
      </c>
      <c r="E30" s="36">
        <f t="shared" si="3"/>
        <v>0</v>
      </c>
      <c r="F30" s="37">
        <f t="shared" si="4"/>
        <v>0</v>
      </c>
      <c r="G30" s="37">
        <f t="shared" si="5"/>
        <v>0</v>
      </c>
      <c r="H30" s="37">
        <f t="shared" si="6"/>
        <v>0</v>
      </c>
      <c r="I30" s="38">
        <f t="shared" si="7"/>
        <v>0</v>
      </c>
      <c r="J30" s="38">
        <f t="shared" si="8"/>
        <v>0</v>
      </c>
      <c r="K30" s="36">
        <f t="shared" si="9"/>
        <v>0</v>
      </c>
    </row>
    <row r="31" spans="1:11" x14ac:dyDescent="0.2">
      <c r="A31" s="30">
        <f t="shared" si="10"/>
        <v>24</v>
      </c>
      <c r="B31" s="30">
        <f t="shared" si="0"/>
        <v>54</v>
      </c>
      <c r="C31" s="31">
        <f t="shared" si="1"/>
        <v>0</v>
      </c>
      <c r="D31" s="31">
        <f t="shared" si="2"/>
        <v>0</v>
      </c>
      <c r="E31" s="36">
        <f t="shared" si="3"/>
        <v>0</v>
      </c>
      <c r="F31" s="37">
        <f t="shared" si="4"/>
        <v>0</v>
      </c>
      <c r="G31" s="37">
        <f t="shared" si="5"/>
        <v>0</v>
      </c>
      <c r="H31" s="37">
        <f t="shared" si="6"/>
        <v>0</v>
      </c>
      <c r="I31" s="38">
        <f t="shared" si="7"/>
        <v>0</v>
      </c>
      <c r="J31" s="38">
        <f t="shared" si="8"/>
        <v>0</v>
      </c>
      <c r="K31" s="36">
        <f t="shared" si="9"/>
        <v>0</v>
      </c>
    </row>
    <row r="32" spans="1:11" x14ac:dyDescent="0.2">
      <c r="A32" s="30">
        <f t="shared" si="10"/>
        <v>25</v>
      </c>
      <c r="B32" s="30">
        <f t="shared" si="0"/>
        <v>55</v>
      </c>
      <c r="C32" s="31">
        <f t="shared" si="1"/>
        <v>0</v>
      </c>
      <c r="D32" s="31">
        <f t="shared" si="2"/>
        <v>0</v>
      </c>
      <c r="E32" s="36">
        <f t="shared" si="3"/>
        <v>0</v>
      </c>
      <c r="F32" s="37">
        <f t="shared" si="4"/>
        <v>0</v>
      </c>
      <c r="G32" s="37">
        <f t="shared" si="5"/>
        <v>0</v>
      </c>
      <c r="H32" s="37">
        <f t="shared" si="6"/>
        <v>0</v>
      </c>
      <c r="I32" s="38">
        <f t="shared" si="7"/>
        <v>0</v>
      </c>
      <c r="J32" s="38">
        <f t="shared" si="8"/>
        <v>0</v>
      </c>
      <c r="K32" s="36">
        <f t="shared" si="9"/>
        <v>0</v>
      </c>
    </row>
    <row r="33" spans="1:11" x14ac:dyDescent="0.2">
      <c r="A33" s="30">
        <f t="shared" si="10"/>
        <v>26</v>
      </c>
      <c r="B33" s="30">
        <f t="shared" si="0"/>
        <v>56</v>
      </c>
      <c r="C33" s="31">
        <f t="shared" si="1"/>
        <v>0</v>
      </c>
      <c r="D33" s="31">
        <f t="shared" si="2"/>
        <v>0</v>
      </c>
      <c r="E33" s="36">
        <f t="shared" si="3"/>
        <v>0</v>
      </c>
      <c r="F33" s="37">
        <f t="shared" si="4"/>
        <v>0</v>
      </c>
      <c r="G33" s="37">
        <f t="shared" si="5"/>
        <v>0</v>
      </c>
      <c r="H33" s="37">
        <f t="shared" si="6"/>
        <v>0</v>
      </c>
      <c r="I33" s="38">
        <f t="shared" si="7"/>
        <v>0</v>
      </c>
      <c r="J33" s="38">
        <f t="shared" si="8"/>
        <v>0</v>
      </c>
      <c r="K33" s="36">
        <f t="shared" si="9"/>
        <v>0</v>
      </c>
    </row>
    <row r="34" spans="1:11" x14ac:dyDescent="0.2">
      <c r="A34" s="30">
        <f t="shared" si="10"/>
        <v>27</v>
      </c>
      <c r="B34" s="30">
        <f t="shared" si="0"/>
        <v>57</v>
      </c>
      <c r="C34" s="31">
        <f t="shared" si="1"/>
        <v>0</v>
      </c>
      <c r="D34" s="31">
        <f t="shared" si="2"/>
        <v>0</v>
      </c>
      <c r="E34" s="36">
        <f t="shared" si="3"/>
        <v>0</v>
      </c>
      <c r="F34" s="37">
        <f t="shared" si="4"/>
        <v>0</v>
      </c>
      <c r="G34" s="37">
        <f t="shared" si="5"/>
        <v>0</v>
      </c>
      <c r="H34" s="37">
        <f t="shared" si="6"/>
        <v>0</v>
      </c>
      <c r="I34" s="38">
        <f t="shared" si="7"/>
        <v>0</v>
      </c>
      <c r="J34" s="38">
        <f t="shared" si="8"/>
        <v>0</v>
      </c>
      <c r="K34" s="36">
        <f t="shared" si="9"/>
        <v>0</v>
      </c>
    </row>
    <row r="35" spans="1:11" x14ac:dyDescent="0.2">
      <c r="A35" s="30">
        <f t="shared" si="10"/>
        <v>28</v>
      </c>
      <c r="B35" s="30">
        <f t="shared" si="0"/>
        <v>58</v>
      </c>
      <c r="C35" s="31">
        <f t="shared" si="1"/>
        <v>0</v>
      </c>
      <c r="D35" s="31">
        <f t="shared" si="2"/>
        <v>0</v>
      </c>
      <c r="E35" s="36">
        <f t="shared" si="3"/>
        <v>0</v>
      </c>
      <c r="F35" s="37">
        <f t="shared" si="4"/>
        <v>0</v>
      </c>
      <c r="G35" s="37">
        <f t="shared" si="5"/>
        <v>0</v>
      </c>
      <c r="H35" s="37">
        <f t="shared" si="6"/>
        <v>0</v>
      </c>
      <c r="I35" s="38">
        <f t="shared" si="7"/>
        <v>0</v>
      </c>
      <c r="J35" s="38">
        <f t="shared" si="8"/>
        <v>0</v>
      </c>
      <c r="K35" s="36">
        <f t="shared" si="9"/>
        <v>0</v>
      </c>
    </row>
    <row r="36" spans="1:11" x14ac:dyDescent="0.2">
      <c r="A36" s="30">
        <f t="shared" si="10"/>
        <v>29</v>
      </c>
      <c r="B36" s="30">
        <f t="shared" si="0"/>
        <v>59</v>
      </c>
      <c r="C36" s="31">
        <f t="shared" si="1"/>
        <v>0</v>
      </c>
      <c r="D36" s="31">
        <f t="shared" si="2"/>
        <v>0</v>
      </c>
      <c r="E36" s="36">
        <f t="shared" si="3"/>
        <v>0</v>
      </c>
      <c r="F36" s="37">
        <f t="shared" si="4"/>
        <v>0</v>
      </c>
      <c r="G36" s="37">
        <f t="shared" si="5"/>
        <v>0</v>
      </c>
      <c r="H36" s="37">
        <f t="shared" si="6"/>
        <v>0</v>
      </c>
      <c r="I36" s="38">
        <f t="shared" si="7"/>
        <v>0</v>
      </c>
      <c r="J36" s="38">
        <f t="shared" si="8"/>
        <v>0</v>
      </c>
      <c r="K36" s="36">
        <f t="shared" si="9"/>
        <v>0</v>
      </c>
    </row>
    <row r="37" spans="1:11" x14ac:dyDescent="0.2">
      <c r="A37" s="30">
        <f t="shared" si="10"/>
        <v>30</v>
      </c>
      <c r="B37" s="30">
        <f t="shared" si="0"/>
        <v>60</v>
      </c>
      <c r="C37" s="31">
        <f t="shared" si="1"/>
        <v>0</v>
      </c>
      <c r="D37" s="31">
        <f t="shared" si="2"/>
        <v>0</v>
      </c>
      <c r="E37" s="36">
        <f t="shared" si="3"/>
        <v>0</v>
      </c>
      <c r="F37" s="37">
        <f t="shared" si="4"/>
        <v>0</v>
      </c>
      <c r="G37" s="37">
        <f t="shared" si="5"/>
        <v>0</v>
      </c>
      <c r="H37" s="37">
        <f t="shared" si="6"/>
        <v>0</v>
      </c>
      <c r="I37" s="38">
        <f t="shared" si="7"/>
        <v>0</v>
      </c>
      <c r="J37" s="38">
        <f t="shared" si="8"/>
        <v>0</v>
      </c>
      <c r="K37" s="36">
        <f t="shared" si="9"/>
        <v>0</v>
      </c>
    </row>
    <row r="38" spans="1:11" x14ac:dyDescent="0.2">
      <c r="A38" s="30">
        <f t="shared" si="10"/>
        <v>31</v>
      </c>
      <c r="B38" s="30">
        <f t="shared" si="0"/>
        <v>61</v>
      </c>
      <c r="C38" s="31">
        <f t="shared" si="1"/>
        <v>0</v>
      </c>
      <c r="D38" s="31">
        <f t="shared" si="2"/>
        <v>0</v>
      </c>
      <c r="E38" s="36">
        <f t="shared" si="3"/>
        <v>0</v>
      </c>
      <c r="F38" s="37">
        <f t="shared" si="4"/>
        <v>0</v>
      </c>
      <c r="G38" s="37">
        <f t="shared" si="5"/>
        <v>0</v>
      </c>
      <c r="H38" s="37">
        <f t="shared" si="6"/>
        <v>0</v>
      </c>
      <c r="I38" s="38">
        <f t="shared" si="7"/>
        <v>0</v>
      </c>
      <c r="J38" s="38">
        <f t="shared" si="8"/>
        <v>0</v>
      </c>
      <c r="K38" s="36">
        <f t="shared" si="9"/>
        <v>0</v>
      </c>
    </row>
    <row r="39" spans="1:11" x14ac:dyDescent="0.2">
      <c r="A39" s="30">
        <f t="shared" si="10"/>
        <v>32</v>
      </c>
      <c r="B39" s="30">
        <f t="shared" ref="B39:B70" si="11">IssueAge+A39</f>
        <v>62</v>
      </c>
      <c r="C39" s="31">
        <f t="shared" ref="C39:C70" si="12">IF($A39&gt;LastT,0,INDEX(MortGrid,B39+1,BaseMortCol))</f>
        <v>0</v>
      </c>
      <c r="D39" s="31">
        <f t="shared" ref="D39:D70" si="13">IF($A39&gt;LastT,0,INDEX(AsmpTblGrid,MIN(A39,19)+1,MortFactorCol))</f>
        <v>0</v>
      </c>
      <c r="E39" s="36">
        <f t="shared" ref="E39:E70" si="14">IF($A39&gt;LastT,0,INDEX(AsmpTblGrid,MIN(A39,19)+1,SurrCol))</f>
        <v>0</v>
      </c>
      <c r="F39" s="37">
        <f t="shared" ref="F39:F70" si="15">IF($A39&gt;LastT+1,0,IF(INDEX(Comm_Dx,B39+1)=0,0,(INDEX(Comm_Mx,B39+1)-Mx_xn+LoadMaintSA2*(Nx_xn-Nx_xn)-IF(A39&lt;=PolicyTerm,NetPremRatePrem*(INDEX(Comm_Nx,B39+1)-Nx_xn),0))/INDEX(Comm_Dx,B39+1)))</f>
        <v>0</v>
      </c>
      <c r="G39" s="37">
        <f t="shared" ref="G39:G70" si="16">IF($A39&gt;LastT+1,0,InitSurrCharge*MAX((MIN(PolicyTerm,10)-A39)/MIN(PolicyTerm,10),0))</f>
        <v>0</v>
      </c>
      <c r="H39" s="37">
        <f t="shared" ref="H39:H70" si="17">IF($A39&gt;LastT+1,0,MAX(F39-G39,0))</f>
        <v>0</v>
      </c>
      <c r="I39" s="38">
        <f t="shared" ref="I39:I70" si="18">IF($A39&gt;LastT,0,SumAssured*(H39+H40)/2)</f>
        <v>0</v>
      </c>
      <c r="J39" s="38">
        <f t="shared" ref="J39:J70" si="19">IF(OR($A39=0,$A39&gt;LastT),0,IF(A39&lt;CommRenTerm,SizePremium*CommRenPrem*(1+CnsmpTax),0))</f>
        <v>0</v>
      </c>
      <c r="K39" s="36">
        <f t="shared" ref="K39:K70" si="20">IF($A39&gt;LastT,0,INDEX(ScenGrid,A39+1,ScenID))</f>
        <v>0</v>
      </c>
    </row>
    <row r="40" spans="1:11" x14ac:dyDescent="0.2">
      <c r="A40" s="30">
        <f t="shared" ref="A40:A71" si="21">A39+1</f>
        <v>33</v>
      </c>
      <c r="B40" s="30">
        <f t="shared" si="11"/>
        <v>63</v>
      </c>
      <c r="C40" s="31">
        <f t="shared" si="12"/>
        <v>0</v>
      </c>
      <c r="D40" s="31">
        <f t="shared" si="13"/>
        <v>0</v>
      </c>
      <c r="E40" s="36">
        <f t="shared" si="14"/>
        <v>0</v>
      </c>
      <c r="F40" s="37">
        <f t="shared" si="15"/>
        <v>0</v>
      </c>
      <c r="G40" s="37">
        <f t="shared" si="16"/>
        <v>0</v>
      </c>
      <c r="H40" s="37">
        <f t="shared" si="17"/>
        <v>0</v>
      </c>
      <c r="I40" s="38">
        <f t="shared" si="18"/>
        <v>0</v>
      </c>
      <c r="J40" s="38">
        <f t="shared" si="19"/>
        <v>0</v>
      </c>
      <c r="K40" s="36">
        <f t="shared" si="20"/>
        <v>0</v>
      </c>
    </row>
    <row r="41" spans="1:11" x14ac:dyDescent="0.2">
      <c r="A41" s="30">
        <f t="shared" si="21"/>
        <v>34</v>
      </c>
      <c r="B41" s="30">
        <f t="shared" si="11"/>
        <v>64</v>
      </c>
      <c r="C41" s="31">
        <f t="shared" si="12"/>
        <v>0</v>
      </c>
      <c r="D41" s="31">
        <f t="shared" si="13"/>
        <v>0</v>
      </c>
      <c r="E41" s="36">
        <f t="shared" si="14"/>
        <v>0</v>
      </c>
      <c r="F41" s="37">
        <f t="shared" si="15"/>
        <v>0</v>
      </c>
      <c r="G41" s="37">
        <f t="shared" si="16"/>
        <v>0</v>
      </c>
      <c r="H41" s="37">
        <f t="shared" si="17"/>
        <v>0</v>
      </c>
      <c r="I41" s="38">
        <f t="shared" si="18"/>
        <v>0</v>
      </c>
      <c r="J41" s="38">
        <f t="shared" si="19"/>
        <v>0</v>
      </c>
      <c r="K41" s="36">
        <f t="shared" si="20"/>
        <v>0</v>
      </c>
    </row>
    <row r="42" spans="1:11" x14ac:dyDescent="0.2">
      <c r="A42" s="30">
        <f t="shared" si="21"/>
        <v>35</v>
      </c>
      <c r="B42" s="30">
        <f t="shared" si="11"/>
        <v>65</v>
      </c>
      <c r="C42" s="31">
        <f t="shared" si="12"/>
        <v>0</v>
      </c>
      <c r="D42" s="31">
        <f t="shared" si="13"/>
        <v>0</v>
      </c>
      <c r="E42" s="36">
        <f t="shared" si="14"/>
        <v>0</v>
      </c>
      <c r="F42" s="37">
        <f t="shared" si="15"/>
        <v>0</v>
      </c>
      <c r="G42" s="37">
        <f t="shared" si="16"/>
        <v>0</v>
      </c>
      <c r="H42" s="37">
        <f t="shared" si="17"/>
        <v>0</v>
      </c>
      <c r="I42" s="38">
        <f t="shared" si="18"/>
        <v>0</v>
      </c>
      <c r="J42" s="38">
        <f t="shared" si="19"/>
        <v>0</v>
      </c>
      <c r="K42" s="36">
        <f t="shared" si="20"/>
        <v>0</v>
      </c>
    </row>
    <row r="43" spans="1:11" x14ac:dyDescent="0.2">
      <c r="A43" s="30">
        <f t="shared" si="21"/>
        <v>36</v>
      </c>
      <c r="B43" s="30">
        <f t="shared" si="11"/>
        <v>66</v>
      </c>
      <c r="C43" s="31">
        <f t="shared" si="12"/>
        <v>0</v>
      </c>
      <c r="D43" s="31">
        <f t="shared" si="13"/>
        <v>0</v>
      </c>
      <c r="E43" s="36">
        <f t="shared" si="14"/>
        <v>0</v>
      </c>
      <c r="F43" s="37">
        <f t="shared" si="15"/>
        <v>0</v>
      </c>
      <c r="G43" s="37">
        <f t="shared" si="16"/>
        <v>0</v>
      </c>
      <c r="H43" s="37">
        <f t="shared" si="17"/>
        <v>0</v>
      </c>
      <c r="I43" s="38">
        <f t="shared" si="18"/>
        <v>0</v>
      </c>
      <c r="J43" s="38">
        <f t="shared" si="19"/>
        <v>0</v>
      </c>
      <c r="K43" s="36">
        <f t="shared" si="20"/>
        <v>0</v>
      </c>
    </row>
    <row r="44" spans="1:11" x14ac:dyDescent="0.2">
      <c r="A44" s="30">
        <f t="shared" si="21"/>
        <v>37</v>
      </c>
      <c r="B44" s="30">
        <f t="shared" si="11"/>
        <v>67</v>
      </c>
      <c r="C44" s="31">
        <f t="shared" si="12"/>
        <v>0</v>
      </c>
      <c r="D44" s="31">
        <f t="shared" si="13"/>
        <v>0</v>
      </c>
      <c r="E44" s="36">
        <f t="shared" si="14"/>
        <v>0</v>
      </c>
      <c r="F44" s="37">
        <f t="shared" si="15"/>
        <v>0</v>
      </c>
      <c r="G44" s="37">
        <f t="shared" si="16"/>
        <v>0</v>
      </c>
      <c r="H44" s="37">
        <f t="shared" si="17"/>
        <v>0</v>
      </c>
      <c r="I44" s="38">
        <f t="shared" si="18"/>
        <v>0</v>
      </c>
      <c r="J44" s="38">
        <f t="shared" si="19"/>
        <v>0</v>
      </c>
      <c r="K44" s="36">
        <f t="shared" si="20"/>
        <v>0</v>
      </c>
    </row>
    <row r="45" spans="1:11" x14ac:dyDescent="0.2">
      <c r="A45" s="30">
        <f t="shared" si="21"/>
        <v>38</v>
      </c>
      <c r="B45" s="30">
        <f t="shared" si="11"/>
        <v>68</v>
      </c>
      <c r="C45" s="31">
        <f t="shared" si="12"/>
        <v>0</v>
      </c>
      <c r="D45" s="31">
        <f t="shared" si="13"/>
        <v>0</v>
      </c>
      <c r="E45" s="36">
        <f t="shared" si="14"/>
        <v>0</v>
      </c>
      <c r="F45" s="37">
        <f t="shared" si="15"/>
        <v>0</v>
      </c>
      <c r="G45" s="37">
        <f t="shared" si="16"/>
        <v>0</v>
      </c>
      <c r="H45" s="37">
        <f t="shared" si="17"/>
        <v>0</v>
      </c>
      <c r="I45" s="38">
        <f t="shared" si="18"/>
        <v>0</v>
      </c>
      <c r="J45" s="38">
        <f t="shared" si="19"/>
        <v>0</v>
      </c>
      <c r="K45" s="36">
        <f t="shared" si="20"/>
        <v>0</v>
      </c>
    </row>
    <row r="46" spans="1:11" x14ac:dyDescent="0.2">
      <c r="A46" s="30">
        <f t="shared" si="21"/>
        <v>39</v>
      </c>
      <c r="B46" s="30">
        <f t="shared" si="11"/>
        <v>69</v>
      </c>
      <c r="C46" s="31">
        <f t="shared" si="12"/>
        <v>0</v>
      </c>
      <c r="D46" s="31">
        <f t="shared" si="13"/>
        <v>0</v>
      </c>
      <c r="E46" s="36">
        <f t="shared" si="14"/>
        <v>0</v>
      </c>
      <c r="F46" s="37">
        <f t="shared" si="15"/>
        <v>0</v>
      </c>
      <c r="G46" s="37">
        <f t="shared" si="16"/>
        <v>0</v>
      </c>
      <c r="H46" s="37">
        <f t="shared" si="17"/>
        <v>0</v>
      </c>
      <c r="I46" s="38">
        <f t="shared" si="18"/>
        <v>0</v>
      </c>
      <c r="J46" s="38">
        <f t="shared" si="19"/>
        <v>0</v>
      </c>
      <c r="K46" s="36">
        <f t="shared" si="20"/>
        <v>0</v>
      </c>
    </row>
    <row r="47" spans="1:11" x14ac:dyDescent="0.2">
      <c r="A47" s="30">
        <f t="shared" si="21"/>
        <v>40</v>
      </c>
      <c r="B47" s="30">
        <f t="shared" si="11"/>
        <v>70</v>
      </c>
      <c r="C47" s="31">
        <f t="shared" si="12"/>
        <v>0</v>
      </c>
      <c r="D47" s="31">
        <f t="shared" si="13"/>
        <v>0</v>
      </c>
      <c r="E47" s="36">
        <f t="shared" si="14"/>
        <v>0</v>
      </c>
      <c r="F47" s="37">
        <f t="shared" si="15"/>
        <v>0</v>
      </c>
      <c r="G47" s="37">
        <f t="shared" si="16"/>
        <v>0</v>
      </c>
      <c r="H47" s="37">
        <f t="shared" si="17"/>
        <v>0</v>
      </c>
      <c r="I47" s="38">
        <f t="shared" si="18"/>
        <v>0</v>
      </c>
      <c r="J47" s="38">
        <f t="shared" si="19"/>
        <v>0</v>
      </c>
      <c r="K47" s="36">
        <f t="shared" si="20"/>
        <v>0</v>
      </c>
    </row>
    <row r="48" spans="1:11" x14ac:dyDescent="0.2">
      <c r="A48" s="30">
        <f t="shared" si="21"/>
        <v>41</v>
      </c>
      <c r="B48" s="30">
        <f t="shared" si="11"/>
        <v>71</v>
      </c>
      <c r="C48" s="31">
        <f t="shared" si="12"/>
        <v>0</v>
      </c>
      <c r="D48" s="31">
        <f t="shared" si="13"/>
        <v>0</v>
      </c>
      <c r="E48" s="36">
        <f t="shared" si="14"/>
        <v>0</v>
      </c>
      <c r="F48" s="37">
        <f t="shared" si="15"/>
        <v>0</v>
      </c>
      <c r="G48" s="37">
        <f t="shared" si="16"/>
        <v>0</v>
      </c>
      <c r="H48" s="37">
        <f t="shared" si="17"/>
        <v>0</v>
      </c>
      <c r="I48" s="38">
        <f t="shared" si="18"/>
        <v>0</v>
      </c>
      <c r="J48" s="38">
        <f t="shared" si="19"/>
        <v>0</v>
      </c>
      <c r="K48" s="36">
        <f t="shared" si="20"/>
        <v>0</v>
      </c>
    </row>
    <row r="49" spans="1:11" x14ac:dyDescent="0.2">
      <c r="A49" s="30">
        <f t="shared" si="21"/>
        <v>42</v>
      </c>
      <c r="B49" s="30">
        <f t="shared" si="11"/>
        <v>72</v>
      </c>
      <c r="C49" s="31">
        <f t="shared" si="12"/>
        <v>0</v>
      </c>
      <c r="D49" s="31">
        <f t="shared" si="13"/>
        <v>0</v>
      </c>
      <c r="E49" s="36">
        <f t="shared" si="14"/>
        <v>0</v>
      </c>
      <c r="F49" s="37">
        <f t="shared" si="15"/>
        <v>0</v>
      </c>
      <c r="G49" s="37">
        <f t="shared" si="16"/>
        <v>0</v>
      </c>
      <c r="H49" s="37">
        <f t="shared" si="17"/>
        <v>0</v>
      </c>
      <c r="I49" s="38">
        <f t="shared" si="18"/>
        <v>0</v>
      </c>
      <c r="J49" s="38">
        <f t="shared" si="19"/>
        <v>0</v>
      </c>
      <c r="K49" s="36">
        <f t="shared" si="20"/>
        <v>0</v>
      </c>
    </row>
    <row r="50" spans="1:11" x14ac:dyDescent="0.2">
      <c r="A50" s="30">
        <f t="shared" si="21"/>
        <v>43</v>
      </c>
      <c r="B50" s="30">
        <f t="shared" si="11"/>
        <v>73</v>
      </c>
      <c r="C50" s="31">
        <f t="shared" si="12"/>
        <v>0</v>
      </c>
      <c r="D50" s="31">
        <f t="shared" si="13"/>
        <v>0</v>
      </c>
      <c r="E50" s="36">
        <f t="shared" si="14"/>
        <v>0</v>
      </c>
      <c r="F50" s="37">
        <f t="shared" si="15"/>
        <v>0</v>
      </c>
      <c r="G50" s="37">
        <f t="shared" si="16"/>
        <v>0</v>
      </c>
      <c r="H50" s="37">
        <f t="shared" si="17"/>
        <v>0</v>
      </c>
      <c r="I50" s="38">
        <f t="shared" si="18"/>
        <v>0</v>
      </c>
      <c r="J50" s="38">
        <f t="shared" si="19"/>
        <v>0</v>
      </c>
      <c r="K50" s="36">
        <f t="shared" si="20"/>
        <v>0</v>
      </c>
    </row>
    <row r="51" spans="1:11" x14ac:dyDescent="0.2">
      <c r="A51" s="30">
        <f t="shared" si="21"/>
        <v>44</v>
      </c>
      <c r="B51" s="30">
        <f t="shared" si="11"/>
        <v>74</v>
      </c>
      <c r="C51" s="31">
        <f t="shared" si="12"/>
        <v>0</v>
      </c>
      <c r="D51" s="31">
        <f t="shared" si="13"/>
        <v>0</v>
      </c>
      <c r="E51" s="36">
        <f t="shared" si="14"/>
        <v>0</v>
      </c>
      <c r="F51" s="37">
        <f t="shared" si="15"/>
        <v>0</v>
      </c>
      <c r="G51" s="37">
        <f t="shared" si="16"/>
        <v>0</v>
      </c>
      <c r="H51" s="37">
        <f t="shared" si="17"/>
        <v>0</v>
      </c>
      <c r="I51" s="38">
        <f t="shared" si="18"/>
        <v>0</v>
      </c>
      <c r="J51" s="38">
        <f t="shared" si="19"/>
        <v>0</v>
      </c>
      <c r="K51" s="36">
        <f t="shared" si="20"/>
        <v>0</v>
      </c>
    </row>
    <row r="52" spans="1:11" x14ac:dyDescent="0.2">
      <c r="A52" s="30">
        <f t="shared" si="21"/>
        <v>45</v>
      </c>
      <c r="B52" s="30">
        <f t="shared" si="11"/>
        <v>75</v>
      </c>
      <c r="C52" s="31">
        <f t="shared" si="12"/>
        <v>0</v>
      </c>
      <c r="D52" s="31">
        <f t="shared" si="13"/>
        <v>0</v>
      </c>
      <c r="E52" s="36">
        <f t="shared" si="14"/>
        <v>0</v>
      </c>
      <c r="F52" s="37">
        <f t="shared" si="15"/>
        <v>0</v>
      </c>
      <c r="G52" s="37">
        <f t="shared" si="16"/>
        <v>0</v>
      </c>
      <c r="H52" s="37">
        <f t="shared" si="17"/>
        <v>0</v>
      </c>
      <c r="I52" s="38">
        <f t="shared" si="18"/>
        <v>0</v>
      </c>
      <c r="J52" s="38">
        <f t="shared" si="19"/>
        <v>0</v>
      </c>
      <c r="K52" s="36">
        <f t="shared" si="20"/>
        <v>0</v>
      </c>
    </row>
    <row r="53" spans="1:11" x14ac:dyDescent="0.2">
      <c r="A53" s="30">
        <f t="shared" si="21"/>
        <v>46</v>
      </c>
      <c r="B53" s="30">
        <f t="shared" si="11"/>
        <v>76</v>
      </c>
      <c r="C53" s="31">
        <f t="shared" si="12"/>
        <v>0</v>
      </c>
      <c r="D53" s="31">
        <f t="shared" si="13"/>
        <v>0</v>
      </c>
      <c r="E53" s="36">
        <f t="shared" si="14"/>
        <v>0</v>
      </c>
      <c r="F53" s="37">
        <f t="shared" si="15"/>
        <v>0</v>
      </c>
      <c r="G53" s="37">
        <f t="shared" si="16"/>
        <v>0</v>
      </c>
      <c r="H53" s="37">
        <f t="shared" si="17"/>
        <v>0</v>
      </c>
      <c r="I53" s="38">
        <f t="shared" si="18"/>
        <v>0</v>
      </c>
      <c r="J53" s="38">
        <f t="shared" si="19"/>
        <v>0</v>
      </c>
      <c r="K53" s="36">
        <f t="shared" si="20"/>
        <v>0</v>
      </c>
    </row>
    <row r="54" spans="1:11" x14ac:dyDescent="0.2">
      <c r="A54" s="30">
        <f t="shared" si="21"/>
        <v>47</v>
      </c>
      <c r="B54" s="30">
        <f t="shared" si="11"/>
        <v>77</v>
      </c>
      <c r="C54" s="31">
        <f t="shared" si="12"/>
        <v>0</v>
      </c>
      <c r="D54" s="31">
        <f t="shared" si="13"/>
        <v>0</v>
      </c>
      <c r="E54" s="36">
        <f t="shared" si="14"/>
        <v>0</v>
      </c>
      <c r="F54" s="37">
        <f t="shared" si="15"/>
        <v>0</v>
      </c>
      <c r="G54" s="37">
        <f t="shared" si="16"/>
        <v>0</v>
      </c>
      <c r="H54" s="37">
        <f t="shared" si="17"/>
        <v>0</v>
      </c>
      <c r="I54" s="38">
        <f t="shared" si="18"/>
        <v>0</v>
      </c>
      <c r="J54" s="38">
        <f t="shared" si="19"/>
        <v>0</v>
      </c>
      <c r="K54" s="36">
        <f t="shared" si="20"/>
        <v>0</v>
      </c>
    </row>
    <row r="55" spans="1:11" x14ac:dyDescent="0.2">
      <c r="A55" s="30">
        <f t="shared" si="21"/>
        <v>48</v>
      </c>
      <c r="B55" s="30">
        <f t="shared" si="11"/>
        <v>78</v>
      </c>
      <c r="C55" s="31">
        <f t="shared" si="12"/>
        <v>0</v>
      </c>
      <c r="D55" s="31">
        <f t="shared" si="13"/>
        <v>0</v>
      </c>
      <c r="E55" s="36">
        <f t="shared" si="14"/>
        <v>0</v>
      </c>
      <c r="F55" s="37">
        <f t="shared" si="15"/>
        <v>0</v>
      </c>
      <c r="G55" s="37">
        <f t="shared" si="16"/>
        <v>0</v>
      </c>
      <c r="H55" s="37">
        <f t="shared" si="17"/>
        <v>0</v>
      </c>
      <c r="I55" s="38">
        <f t="shared" si="18"/>
        <v>0</v>
      </c>
      <c r="J55" s="38">
        <f t="shared" si="19"/>
        <v>0</v>
      </c>
      <c r="K55" s="36">
        <f t="shared" si="20"/>
        <v>0</v>
      </c>
    </row>
    <row r="56" spans="1:11" x14ac:dyDescent="0.2">
      <c r="A56" s="30">
        <f t="shared" si="21"/>
        <v>49</v>
      </c>
      <c r="B56" s="30">
        <f t="shared" si="11"/>
        <v>79</v>
      </c>
      <c r="C56" s="31">
        <f t="shared" si="12"/>
        <v>0</v>
      </c>
      <c r="D56" s="31">
        <f t="shared" si="13"/>
        <v>0</v>
      </c>
      <c r="E56" s="36">
        <f t="shared" si="14"/>
        <v>0</v>
      </c>
      <c r="F56" s="37">
        <f t="shared" si="15"/>
        <v>0</v>
      </c>
      <c r="G56" s="37">
        <f t="shared" si="16"/>
        <v>0</v>
      </c>
      <c r="H56" s="37">
        <f t="shared" si="17"/>
        <v>0</v>
      </c>
      <c r="I56" s="38">
        <f t="shared" si="18"/>
        <v>0</v>
      </c>
      <c r="J56" s="38">
        <f t="shared" si="19"/>
        <v>0</v>
      </c>
      <c r="K56" s="36">
        <f t="shared" si="20"/>
        <v>0</v>
      </c>
    </row>
    <row r="57" spans="1:11" x14ac:dyDescent="0.2">
      <c r="A57" s="30">
        <f t="shared" si="21"/>
        <v>50</v>
      </c>
      <c r="B57" s="30">
        <f t="shared" si="11"/>
        <v>80</v>
      </c>
      <c r="C57" s="31">
        <f t="shared" si="12"/>
        <v>0</v>
      </c>
      <c r="D57" s="31">
        <f t="shared" si="13"/>
        <v>0</v>
      </c>
      <c r="E57" s="36">
        <f t="shared" si="14"/>
        <v>0</v>
      </c>
      <c r="F57" s="37">
        <f t="shared" si="15"/>
        <v>0</v>
      </c>
      <c r="G57" s="37">
        <f t="shared" si="16"/>
        <v>0</v>
      </c>
      <c r="H57" s="37">
        <f t="shared" si="17"/>
        <v>0</v>
      </c>
      <c r="I57" s="38">
        <f t="shared" si="18"/>
        <v>0</v>
      </c>
      <c r="J57" s="38">
        <f t="shared" si="19"/>
        <v>0</v>
      </c>
      <c r="K57" s="36">
        <f t="shared" si="20"/>
        <v>0</v>
      </c>
    </row>
    <row r="58" spans="1:11" x14ac:dyDescent="0.2">
      <c r="A58" s="30">
        <f t="shared" si="21"/>
        <v>51</v>
      </c>
      <c r="B58" s="30">
        <f t="shared" si="11"/>
        <v>81</v>
      </c>
      <c r="C58" s="31">
        <f t="shared" si="12"/>
        <v>0</v>
      </c>
      <c r="D58" s="31">
        <f t="shared" si="13"/>
        <v>0</v>
      </c>
      <c r="E58" s="36">
        <f t="shared" si="14"/>
        <v>0</v>
      </c>
      <c r="F58" s="37">
        <f t="shared" si="15"/>
        <v>0</v>
      </c>
      <c r="G58" s="37">
        <f t="shared" si="16"/>
        <v>0</v>
      </c>
      <c r="H58" s="37">
        <f t="shared" si="17"/>
        <v>0</v>
      </c>
      <c r="I58" s="38">
        <f t="shared" si="18"/>
        <v>0</v>
      </c>
      <c r="J58" s="38">
        <f t="shared" si="19"/>
        <v>0</v>
      </c>
      <c r="K58" s="36">
        <f t="shared" si="20"/>
        <v>0</v>
      </c>
    </row>
    <row r="59" spans="1:11" x14ac:dyDescent="0.2">
      <c r="A59" s="30">
        <f t="shared" si="21"/>
        <v>52</v>
      </c>
      <c r="B59" s="30">
        <f t="shared" si="11"/>
        <v>82</v>
      </c>
      <c r="C59" s="31">
        <f t="shared" si="12"/>
        <v>0</v>
      </c>
      <c r="D59" s="31">
        <f t="shared" si="13"/>
        <v>0</v>
      </c>
      <c r="E59" s="36">
        <f t="shared" si="14"/>
        <v>0</v>
      </c>
      <c r="F59" s="37">
        <f t="shared" si="15"/>
        <v>0</v>
      </c>
      <c r="G59" s="37">
        <f t="shared" si="16"/>
        <v>0</v>
      </c>
      <c r="H59" s="37">
        <f t="shared" si="17"/>
        <v>0</v>
      </c>
      <c r="I59" s="38">
        <f t="shared" si="18"/>
        <v>0</v>
      </c>
      <c r="J59" s="38">
        <f t="shared" si="19"/>
        <v>0</v>
      </c>
      <c r="K59" s="36">
        <f t="shared" si="20"/>
        <v>0</v>
      </c>
    </row>
    <row r="60" spans="1:11" x14ac:dyDescent="0.2">
      <c r="A60" s="30">
        <f t="shared" si="21"/>
        <v>53</v>
      </c>
      <c r="B60" s="30">
        <f t="shared" si="11"/>
        <v>83</v>
      </c>
      <c r="C60" s="31">
        <f t="shared" si="12"/>
        <v>0</v>
      </c>
      <c r="D60" s="31">
        <f t="shared" si="13"/>
        <v>0</v>
      </c>
      <c r="E60" s="36">
        <f t="shared" si="14"/>
        <v>0</v>
      </c>
      <c r="F60" s="37">
        <f t="shared" si="15"/>
        <v>0</v>
      </c>
      <c r="G60" s="37">
        <f t="shared" si="16"/>
        <v>0</v>
      </c>
      <c r="H60" s="37">
        <f t="shared" si="17"/>
        <v>0</v>
      </c>
      <c r="I60" s="38">
        <f t="shared" si="18"/>
        <v>0</v>
      </c>
      <c r="J60" s="38">
        <f t="shared" si="19"/>
        <v>0</v>
      </c>
      <c r="K60" s="36">
        <f t="shared" si="20"/>
        <v>0</v>
      </c>
    </row>
    <row r="61" spans="1:11" x14ac:dyDescent="0.2">
      <c r="A61" s="30">
        <f t="shared" si="21"/>
        <v>54</v>
      </c>
      <c r="B61" s="30">
        <f t="shared" si="11"/>
        <v>84</v>
      </c>
      <c r="C61" s="31">
        <f t="shared" si="12"/>
        <v>0</v>
      </c>
      <c r="D61" s="31">
        <f t="shared" si="13"/>
        <v>0</v>
      </c>
      <c r="E61" s="36">
        <f t="shared" si="14"/>
        <v>0</v>
      </c>
      <c r="F61" s="37">
        <f t="shared" si="15"/>
        <v>0</v>
      </c>
      <c r="G61" s="37">
        <f t="shared" si="16"/>
        <v>0</v>
      </c>
      <c r="H61" s="37">
        <f t="shared" si="17"/>
        <v>0</v>
      </c>
      <c r="I61" s="38">
        <f t="shared" si="18"/>
        <v>0</v>
      </c>
      <c r="J61" s="38">
        <f t="shared" si="19"/>
        <v>0</v>
      </c>
      <c r="K61" s="36">
        <f t="shared" si="20"/>
        <v>0</v>
      </c>
    </row>
    <row r="62" spans="1:11" x14ac:dyDescent="0.2">
      <c r="A62" s="30">
        <f t="shared" si="21"/>
        <v>55</v>
      </c>
      <c r="B62" s="30">
        <f t="shared" si="11"/>
        <v>85</v>
      </c>
      <c r="C62" s="31">
        <f t="shared" si="12"/>
        <v>0</v>
      </c>
      <c r="D62" s="31">
        <f t="shared" si="13"/>
        <v>0</v>
      </c>
      <c r="E62" s="36">
        <f t="shared" si="14"/>
        <v>0</v>
      </c>
      <c r="F62" s="37">
        <f t="shared" si="15"/>
        <v>0</v>
      </c>
      <c r="G62" s="37">
        <f t="shared" si="16"/>
        <v>0</v>
      </c>
      <c r="H62" s="37">
        <f t="shared" si="17"/>
        <v>0</v>
      </c>
      <c r="I62" s="38">
        <f t="shared" si="18"/>
        <v>0</v>
      </c>
      <c r="J62" s="38">
        <f t="shared" si="19"/>
        <v>0</v>
      </c>
      <c r="K62" s="36">
        <f t="shared" si="20"/>
        <v>0</v>
      </c>
    </row>
    <row r="63" spans="1:11" x14ac:dyDescent="0.2">
      <c r="A63" s="30">
        <f t="shared" si="21"/>
        <v>56</v>
      </c>
      <c r="B63" s="30">
        <f t="shared" si="11"/>
        <v>86</v>
      </c>
      <c r="C63" s="31">
        <f t="shared" si="12"/>
        <v>0</v>
      </c>
      <c r="D63" s="31">
        <f t="shared" si="13"/>
        <v>0</v>
      </c>
      <c r="E63" s="36">
        <f t="shared" si="14"/>
        <v>0</v>
      </c>
      <c r="F63" s="37">
        <f t="shared" si="15"/>
        <v>0</v>
      </c>
      <c r="G63" s="37">
        <f t="shared" si="16"/>
        <v>0</v>
      </c>
      <c r="H63" s="37">
        <f t="shared" si="17"/>
        <v>0</v>
      </c>
      <c r="I63" s="38">
        <f t="shared" si="18"/>
        <v>0</v>
      </c>
      <c r="J63" s="38">
        <f t="shared" si="19"/>
        <v>0</v>
      </c>
      <c r="K63" s="36">
        <f t="shared" si="20"/>
        <v>0</v>
      </c>
    </row>
    <row r="64" spans="1:11" x14ac:dyDescent="0.2">
      <c r="A64" s="30">
        <f t="shared" si="21"/>
        <v>57</v>
      </c>
      <c r="B64" s="30">
        <f t="shared" si="11"/>
        <v>87</v>
      </c>
      <c r="C64" s="31">
        <f t="shared" si="12"/>
        <v>0</v>
      </c>
      <c r="D64" s="31">
        <f t="shared" si="13"/>
        <v>0</v>
      </c>
      <c r="E64" s="36">
        <f t="shared" si="14"/>
        <v>0</v>
      </c>
      <c r="F64" s="37">
        <f t="shared" si="15"/>
        <v>0</v>
      </c>
      <c r="G64" s="37">
        <f t="shared" si="16"/>
        <v>0</v>
      </c>
      <c r="H64" s="37">
        <f t="shared" si="17"/>
        <v>0</v>
      </c>
      <c r="I64" s="38">
        <f t="shared" si="18"/>
        <v>0</v>
      </c>
      <c r="J64" s="38">
        <f t="shared" si="19"/>
        <v>0</v>
      </c>
      <c r="K64" s="36">
        <f t="shared" si="20"/>
        <v>0</v>
      </c>
    </row>
    <row r="65" spans="1:11" x14ac:dyDescent="0.2">
      <c r="A65" s="30">
        <f t="shared" si="21"/>
        <v>58</v>
      </c>
      <c r="B65" s="30">
        <f t="shared" si="11"/>
        <v>88</v>
      </c>
      <c r="C65" s="31">
        <f t="shared" si="12"/>
        <v>0</v>
      </c>
      <c r="D65" s="31">
        <f t="shared" si="13"/>
        <v>0</v>
      </c>
      <c r="E65" s="36">
        <f t="shared" si="14"/>
        <v>0</v>
      </c>
      <c r="F65" s="37">
        <f t="shared" si="15"/>
        <v>0</v>
      </c>
      <c r="G65" s="37">
        <f t="shared" si="16"/>
        <v>0</v>
      </c>
      <c r="H65" s="37">
        <f t="shared" si="17"/>
        <v>0</v>
      </c>
      <c r="I65" s="38">
        <f t="shared" si="18"/>
        <v>0</v>
      </c>
      <c r="J65" s="38">
        <f t="shared" si="19"/>
        <v>0</v>
      </c>
      <c r="K65" s="36">
        <f t="shared" si="20"/>
        <v>0</v>
      </c>
    </row>
    <row r="66" spans="1:11" x14ac:dyDescent="0.2">
      <c r="A66" s="30">
        <f t="shared" si="21"/>
        <v>59</v>
      </c>
      <c r="B66" s="30">
        <f t="shared" si="11"/>
        <v>89</v>
      </c>
      <c r="C66" s="31">
        <f t="shared" si="12"/>
        <v>0</v>
      </c>
      <c r="D66" s="31">
        <f t="shared" si="13"/>
        <v>0</v>
      </c>
      <c r="E66" s="36">
        <f t="shared" si="14"/>
        <v>0</v>
      </c>
      <c r="F66" s="37">
        <f t="shared" si="15"/>
        <v>0</v>
      </c>
      <c r="G66" s="37">
        <f t="shared" si="16"/>
        <v>0</v>
      </c>
      <c r="H66" s="37">
        <f t="shared" si="17"/>
        <v>0</v>
      </c>
      <c r="I66" s="38">
        <f t="shared" si="18"/>
        <v>0</v>
      </c>
      <c r="J66" s="38">
        <f t="shared" si="19"/>
        <v>0</v>
      </c>
      <c r="K66" s="36">
        <f t="shared" si="20"/>
        <v>0</v>
      </c>
    </row>
    <row r="67" spans="1:11" x14ac:dyDescent="0.2">
      <c r="A67" s="30">
        <f t="shared" si="21"/>
        <v>60</v>
      </c>
      <c r="B67" s="30">
        <f t="shared" si="11"/>
        <v>90</v>
      </c>
      <c r="C67" s="31">
        <f t="shared" si="12"/>
        <v>0</v>
      </c>
      <c r="D67" s="31">
        <f t="shared" si="13"/>
        <v>0</v>
      </c>
      <c r="E67" s="36">
        <f t="shared" si="14"/>
        <v>0</v>
      </c>
      <c r="F67" s="37">
        <f t="shared" si="15"/>
        <v>0</v>
      </c>
      <c r="G67" s="37">
        <f t="shared" si="16"/>
        <v>0</v>
      </c>
      <c r="H67" s="37">
        <f t="shared" si="17"/>
        <v>0</v>
      </c>
      <c r="I67" s="38">
        <f t="shared" si="18"/>
        <v>0</v>
      </c>
      <c r="J67" s="38">
        <f t="shared" si="19"/>
        <v>0</v>
      </c>
      <c r="K67" s="36">
        <f t="shared" si="20"/>
        <v>0</v>
      </c>
    </row>
    <row r="68" spans="1:11" x14ac:dyDescent="0.2">
      <c r="A68" s="30">
        <f t="shared" si="21"/>
        <v>61</v>
      </c>
      <c r="B68" s="30">
        <f t="shared" si="11"/>
        <v>91</v>
      </c>
      <c r="C68" s="31">
        <f t="shared" si="12"/>
        <v>0</v>
      </c>
      <c r="D68" s="31">
        <f t="shared" si="13"/>
        <v>0</v>
      </c>
      <c r="E68" s="36">
        <f t="shared" si="14"/>
        <v>0</v>
      </c>
      <c r="F68" s="37">
        <f t="shared" si="15"/>
        <v>0</v>
      </c>
      <c r="G68" s="37">
        <f t="shared" si="16"/>
        <v>0</v>
      </c>
      <c r="H68" s="37">
        <f t="shared" si="17"/>
        <v>0</v>
      </c>
      <c r="I68" s="38">
        <f t="shared" si="18"/>
        <v>0</v>
      </c>
      <c r="J68" s="38">
        <f t="shared" si="19"/>
        <v>0</v>
      </c>
      <c r="K68" s="36">
        <f t="shared" si="20"/>
        <v>0</v>
      </c>
    </row>
    <row r="69" spans="1:11" x14ac:dyDescent="0.2">
      <c r="A69" s="30">
        <f t="shared" si="21"/>
        <v>62</v>
      </c>
      <c r="B69" s="30">
        <f t="shared" si="11"/>
        <v>92</v>
      </c>
      <c r="C69" s="31">
        <f t="shared" si="12"/>
        <v>0</v>
      </c>
      <c r="D69" s="31">
        <f t="shared" si="13"/>
        <v>0</v>
      </c>
      <c r="E69" s="36">
        <f t="shared" si="14"/>
        <v>0</v>
      </c>
      <c r="F69" s="37">
        <f t="shared" si="15"/>
        <v>0</v>
      </c>
      <c r="G69" s="37">
        <f t="shared" si="16"/>
        <v>0</v>
      </c>
      <c r="H69" s="37">
        <f t="shared" si="17"/>
        <v>0</v>
      </c>
      <c r="I69" s="38">
        <f t="shared" si="18"/>
        <v>0</v>
      </c>
      <c r="J69" s="38">
        <f t="shared" si="19"/>
        <v>0</v>
      </c>
      <c r="K69" s="36">
        <f t="shared" si="20"/>
        <v>0</v>
      </c>
    </row>
    <row r="70" spans="1:11" x14ac:dyDescent="0.2">
      <c r="A70" s="30">
        <f t="shared" si="21"/>
        <v>63</v>
      </c>
      <c r="B70" s="30">
        <f t="shared" si="11"/>
        <v>93</v>
      </c>
      <c r="C70" s="31">
        <f t="shared" si="12"/>
        <v>0</v>
      </c>
      <c r="D70" s="31">
        <f t="shared" si="13"/>
        <v>0</v>
      </c>
      <c r="E70" s="36">
        <f t="shared" si="14"/>
        <v>0</v>
      </c>
      <c r="F70" s="37">
        <f t="shared" si="15"/>
        <v>0</v>
      </c>
      <c r="G70" s="37">
        <f t="shared" si="16"/>
        <v>0</v>
      </c>
      <c r="H70" s="37">
        <f t="shared" si="17"/>
        <v>0</v>
      </c>
      <c r="I70" s="38">
        <f t="shared" si="18"/>
        <v>0</v>
      </c>
      <c r="J70" s="38">
        <f t="shared" si="19"/>
        <v>0</v>
      </c>
      <c r="K70" s="36">
        <f t="shared" si="20"/>
        <v>0</v>
      </c>
    </row>
    <row r="71" spans="1:11" x14ac:dyDescent="0.2">
      <c r="A71" s="30">
        <f t="shared" si="21"/>
        <v>64</v>
      </c>
      <c r="B71" s="30">
        <f t="shared" ref="B71:B102" si="22">IssueAge+A71</f>
        <v>94</v>
      </c>
      <c r="C71" s="31">
        <f t="shared" ref="C71:C102" si="23">IF($A71&gt;LastT,0,INDEX(MortGrid,B71+1,BaseMortCol))</f>
        <v>0</v>
      </c>
      <c r="D71" s="31">
        <f t="shared" ref="D71:D102" si="24">IF($A71&gt;LastT,0,INDEX(AsmpTblGrid,MIN(A71,19)+1,MortFactorCol))</f>
        <v>0</v>
      </c>
      <c r="E71" s="36">
        <f t="shared" ref="E71:E102" si="25">IF($A71&gt;LastT,0,INDEX(AsmpTblGrid,MIN(A71,19)+1,SurrCol))</f>
        <v>0</v>
      </c>
      <c r="F71" s="37">
        <f t="shared" ref="F71:F102" si="26">IF($A71&gt;LastT+1,0,IF(INDEX(Comm_Dx,B71+1)=0,0,(INDEX(Comm_Mx,B71+1)-Mx_xn+LoadMaintSA2*(Nx_xn-Nx_xn)-IF(A71&lt;=PolicyTerm,NetPremRatePrem*(INDEX(Comm_Nx,B71+1)-Nx_xn),0))/INDEX(Comm_Dx,B71+1)))</f>
        <v>0</v>
      </c>
      <c r="G71" s="37">
        <f t="shared" ref="G71:G102" si="27">IF($A71&gt;LastT+1,0,InitSurrCharge*MAX((MIN(PolicyTerm,10)-A71)/MIN(PolicyTerm,10),0))</f>
        <v>0</v>
      </c>
      <c r="H71" s="37">
        <f t="shared" ref="H71:H102" si="28">IF($A71&gt;LastT+1,0,MAX(F71-G71,0))</f>
        <v>0</v>
      </c>
      <c r="I71" s="38">
        <f t="shared" ref="I71:I102" si="29">IF($A71&gt;LastT,0,SumAssured*(H71+H72)/2)</f>
        <v>0</v>
      </c>
      <c r="J71" s="38">
        <f t="shared" ref="J71:J102" si="30">IF(OR($A71=0,$A71&gt;LastT),0,IF(A71&lt;CommRenTerm,SizePremium*CommRenPrem*(1+CnsmpTax),0))</f>
        <v>0</v>
      </c>
      <c r="K71" s="36">
        <f t="shared" ref="K71:K102" si="31">IF($A71&gt;LastT,0,INDEX(ScenGrid,A71+1,ScenID))</f>
        <v>0</v>
      </c>
    </row>
    <row r="72" spans="1:11" x14ac:dyDescent="0.2">
      <c r="A72" s="30">
        <f t="shared" ref="A72:A103" si="32">A71+1</f>
        <v>65</v>
      </c>
      <c r="B72" s="30">
        <f t="shared" si="22"/>
        <v>95</v>
      </c>
      <c r="C72" s="31">
        <f t="shared" si="23"/>
        <v>0</v>
      </c>
      <c r="D72" s="31">
        <f t="shared" si="24"/>
        <v>0</v>
      </c>
      <c r="E72" s="36">
        <f t="shared" si="25"/>
        <v>0</v>
      </c>
      <c r="F72" s="37">
        <f t="shared" si="26"/>
        <v>0</v>
      </c>
      <c r="G72" s="37">
        <f t="shared" si="27"/>
        <v>0</v>
      </c>
      <c r="H72" s="37">
        <f t="shared" si="28"/>
        <v>0</v>
      </c>
      <c r="I72" s="38">
        <f t="shared" si="29"/>
        <v>0</v>
      </c>
      <c r="J72" s="38">
        <f t="shared" si="30"/>
        <v>0</v>
      </c>
      <c r="K72" s="36">
        <f t="shared" si="31"/>
        <v>0</v>
      </c>
    </row>
    <row r="73" spans="1:11" x14ac:dyDescent="0.2">
      <c r="A73" s="30">
        <f t="shared" si="32"/>
        <v>66</v>
      </c>
      <c r="B73" s="30">
        <f t="shared" si="22"/>
        <v>96</v>
      </c>
      <c r="C73" s="31">
        <f t="shared" si="23"/>
        <v>0</v>
      </c>
      <c r="D73" s="31">
        <f t="shared" si="24"/>
        <v>0</v>
      </c>
      <c r="E73" s="36">
        <f t="shared" si="25"/>
        <v>0</v>
      </c>
      <c r="F73" s="37">
        <f t="shared" si="26"/>
        <v>0</v>
      </c>
      <c r="G73" s="37">
        <f t="shared" si="27"/>
        <v>0</v>
      </c>
      <c r="H73" s="37">
        <f t="shared" si="28"/>
        <v>0</v>
      </c>
      <c r="I73" s="38">
        <f t="shared" si="29"/>
        <v>0</v>
      </c>
      <c r="J73" s="38">
        <f t="shared" si="30"/>
        <v>0</v>
      </c>
      <c r="K73" s="36">
        <f t="shared" si="31"/>
        <v>0</v>
      </c>
    </row>
    <row r="74" spans="1:11" x14ac:dyDescent="0.2">
      <c r="A74" s="30">
        <f t="shared" si="32"/>
        <v>67</v>
      </c>
      <c r="B74" s="30">
        <f t="shared" si="22"/>
        <v>97</v>
      </c>
      <c r="C74" s="31">
        <f t="shared" si="23"/>
        <v>0</v>
      </c>
      <c r="D74" s="31">
        <f t="shared" si="24"/>
        <v>0</v>
      </c>
      <c r="E74" s="36">
        <f t="shared" si="25"/>
        <v>0</v>
      </c>
      <c r="F74" s="37">
        <f t="shared" si="26"/>
        <v>0</v>
      </c>
      <c r="G74" s="37">
        <f t="shared" si="27"/>
        <v>0</v>
      </c>
      <c r="H74" s="37">
        <f t="shared" si="28"/>
        <v>0</v>
      </c>
      <c r="I74" s="38">
        <f t="shared" si="29"/>
        <v>0</v>
      </c>
      <c r="J74" s="38">
        <f t="shared" si="30"/>
        <v>0</v>
      </c>
      <c r="K74" s="36">
        <f t="shared" si="31"/>
        <v>0</v>
      </c>
    </row>
    <row r="75" spans="1:11" x14ac:dyDescent="0.2">
      <c r="A75" s="30">
        <f t="shared" si="32"/>
        <v>68</v>
      </c>
      <c r="B75" s="30">
        <f t="shared" si="22"/>
        <v>98</v>
      </c>
      <c r="C75" s="31">
        <f t="shared" si="23"/>
        <v>0</v>
      </c>
      <c r="D75" s="31">
        <f t="shared" si="24"/>
        <v>0</v>
      </c>
      <c r="E75" s="36">
        <f t="shared" si="25"/>
        <v>0</v>
      </c>
      <c r="F75" s="37">
        <f t="shared" si="26"/>
        <v>0</v>
      </c>
      <c r="G75" s="37">
        <f t="shared" si="27"/>
        <v>0</v>
      </c>
      <c r="H75" s="37">
        <f t="shared" si="28"/>
        <v>0</v>
      </c>
      <c r="I75" s="38">
        <f t="shared" si="29"/>
        <v>0</v>
      </c>
      <c r="J75" s="38">
        <f t="shared" si="30"/>
        <v>0</v>
      </c>
      <c r="K75" s="36">
        <f t="shared" si="31"/>
        <v>0</v>
      </c>
    </row>
    <row r="76" spans="1:11" x14ac:dyDescent="0.2">
      <c r="A76" s="30">
        <f t="shared" si="32"/>
        <v>69</v>
      </c>
      <c r="B76" s="30">
        <f t="shared" si="22"/>
        <v>99</v>
      </c>
      <c r="C76" s="31">
        <f t="shared" si="23"/>
        <v>0</v>
      </c>
      <c r="D76" s="31">
        <f t="shared" si="24"/>
        <v>0</v>
      </c>
      <c r="E76" s="36">
        <f t="shared" si="25"/>
        <v>0</v>
      </c>
      <c r="F76" s="37">
        <f t="shared" si="26"/>
        <v>0</v>
      </c>
      <c r="G76" s="37">
        <f t="shared" si="27"/>
        <v>0</v>
      </c>
      <c r="H76" s="37">
        <f t="shared" si="28"/>
        <v>0</v>
      </c>
      <c r="I76" s="38">
        <f t="shared" si="29"/>
        <v>0</v>
      </c>
      <c r="J76" s="38">
        <f t="shared" si="30"/>
        <v>0</v>
      </c>
      <c r="K76" s="36">
        <f t="shared" si="31"/>
        <v>0</v>
      </c>
    </row>
    <row r="77" spans="1:11" x14ac:dyDescent="0.2">
      <c r="A77" s="30">
        <f t="shared" si="32"/>
        <v>70</v>
      </c>
      <c r="B77" s="30">
        <f t="shared" si="22"/>
        <v>100</v>
      </c>
      <c r="C77" s="31">
        <f t="shared" si="23"/>
        <v>0</v>
      </c>
      <c r="D77" s="31">
        <f t="shared" si="24"/>
        <v>0</v>
      </c>
      <c r="E77" s="36">
        <f t="shared" si="25"/>
        <v>0</v>
      </c>
      <c r="F77" s="37">
        <f t="shared" si="26"/>
        <v>0</v>
      </c>
      <c r="G77" s="37">
        <f t="shared" si="27"/>
        <v>0</v>
      </c>
      <c r="H77" s="37">
        <f t="shared" si="28"/>
        <v>0</v>
      </c>
      <c r="I77" s="38">
        <f t="shared" si="29"/>
        <v>0</v>
      </c>
      <c r="J77" s="38">
        <f t="shared" si="30"/>
        <v>0</v>
      </c>
      <c r="K77" s="36">
        <f t="shared" si="31"/>
        <v>0</v>
      </c>
    </row>
    <row r="78" spans="1:11" x14ac:dyDescent="0.2">
      <c r="A78" s="30">
        <f t="shared" si="32"/>
        <v>71</v>
      </c>
      <c r="B78" s="30">
        <f t="shared" si="22"/>
        <v>101</v>
      </c>
      <c r="C78" s="31">
        <f t="shared" si="23"/>
        <v>0</v>
      </c>
      <c r="D78" s="31">
        <f t="shared" si="24"/>
        <v>0</v>
      </c>
      <c r="E78" s="36">
        <f t="shared" si="25"/>
        <v>0</v>
      </c>
      <c r="F78" s="37">
        <f t="shared" si="26"/>
        <v>0</v>
      </c>
      <c r="G78" s="37">
        <f t="shared" si="27"/>
        <v>0</v>
      </c>
      <c r="H78" s="37">
        <f t="shared" si="28"/>
        <v>0</v>
      </c>
      <c r="I78" s="38">
        <f t="shared" si="29"/>
        <v>0</v>
      </c>
      <c r="J78" s="38">
        <f t="shared" si="30"/>
        <v>0</v>
      </c>
      <c r="K78" s="36">
        <f t="shared" si="31"/>
        <v>0</v>
      </c>
    </row>
    <row r="79" spans="1:11" x14ac:dyDescent="0.2">
      <c r="A79" s="30">
        <f t="shared" si="32"/>
        <v>72</v>
      </c>
      <c r="B79" s="30">
        <f t="shared" si="22"/>
        <v>102</v>
      </c>
      <c r="C79" s="31">
        <f t="shared" si="23"/>
        <v>0</v>
      </c>
      <c r="D79" s="31">
        <f t="shared" si="24"/>
        <v>0</v>
      </c>
      <c r="E79" s="36">
        <f t="shared" si="25"/>
        <v>0</v>
      </c>
      <c r="F79" s="37">
        <f t="shared" si="26"/>
        <v>0</v>
      </c>
      <c r="G79" s="37">
        <f t="shared" si="27"/>
        <v>0</v>
      </c>
      <c r="H79" s="37">
        <f t="shared" si="28"/>
        <v>0</v>
      </c>
      <c r="I79" s="38">
        <f t="shared" si="29"/>
        <v>0</v>
      </c>
      <c r="J79" s="38">
        <f t="shared" si="30"/>
        <v>0</v>
      </c>
      <c r="K79" s="36">
        <f t="shared" si="31"/>
        <v>0</v>
      </c>
    </row>
    <row r="80" spans="1:11" x14ac:dyDescent="0.2">
      <c r="A80" s="30">
        <f t="shared" si="32"/>
        <v>73</v>
      </c>
      <c r="B80" s="30">
        <f t="shared" si="22"/>
        <v>103</v>
      </c>
      <c r="C80" s="31">
        <f t="shared" si="23"/>
        <v>0</v>
      </c>
      <c r="D80" s="31">
        <f t="shared" si="24"/>
        <v>0</v>
      </c>
      <c r="E80" s="36">
        <f t="shared" si="25"/>
        <v>0</v>
      </c>
      <c r="F80" s="37">
        <f t="shared" si="26"/>
        <v>0</v>
      </c>
      <c r="G80" s="37">
        <f t="shared" si="27"/>
        <v>0</v>
      </c>
      <c r="H80" s="37">
        <f t="shared" si="28"/>
        <v>0</v>
      </c>
      <c r="I80" s="38">
        <f t="shared" si="29"/>
        <v>0</v>
      </c>
      <c r="J80" s="38">
        <f t="shared" si="30"/>
        <v>0</v>
      </c>
      <c r="K80" s="36">
        <f t="shared" si="31"/>
        <v>0</v>
      </c>
    </row>
    <row r="81" spans="1:11" x14ac:dyDescent="0.2">
      <c r="A81" s="30">
        <f t="shared" si="32"/>
        <v>74</v>
      </c>
      <c r="B81" s="30">
        <f t="shared" si="22"/>
        <v>104</v>
      </c>
      <c r="C81" s="31">
        <f t="shared" si="23"/>
        <v>0</v>
      </c>
      <c r="D81" s="31">
        <f t="shared" si="24"/>
        <v>0</v>
      </c>
      <c r="E81" s="36">
        <f t="shared" si="25"/>
        <v>0</v>
      </c>
      <c r="F81" s="37">
        <f t="shared" si="26"/>
        <v>0</v>
      </c>
      <c r="G81" s="37">
        <f t="shared" si="27"/>
        <v>0</v>
      </c>
      <c r="H81" s="37">
        <f t="shared" si="28"/>
        <v>0</v>
      </c>
      <c r="I81" s="38">
        <f t="shared" si="29"/>
        <v>0</v>
      </c>
      <c r="J81" s="38">
        <f t="shared" si="30"/>
        <v>0</v>
      </c>
      <c r="K81" s="36">
        <f t="shared" si="31"/>
        <v>0</v>
      </c>
    </row>
    <row r="82" spans="1:11" x14ac:dyDescent="0.2">
      <c r="A82" s="30">
        <f t="shared" si="32"/>
        <v>75</v>
      </c>
      <c r="B82" s="30">
        <f t="shared" si="22"/>
        <v>105</v>
      </c>
      <c r="C82" s="31">
        <f t="shared" si="23"/>
        <v>0</v>
      </c>
      <c r="D82" s="31">
        <f t="shared" si="24"/>
        <v>0</v>
      </c>
      <c r="E82" s="36">
        <f t="shared" si="25"/>
        <v>0</v>
      </c>
      <c r="F82" s="37">
        <f t="shared" si="26"/>
        <v>0</v>
      </c>
      <c r="G82" s="37">
        <f t="shared" si="27"/>
        <v>0</v>
      </c>
      <c r="H82" s="37">
        <f t="shared" si="28"/>
        <v>0</v>
      </c>
      <c r="I82" s="38">
        <f t="shared" si="29"/>
        <v>0</v>
      </c>
      <c r="J82" s="38">
        <f t="shared" si="30"/>
        <v>0</v>
      </c>
      <c r="K82" s="36">
        <f t="shared" si="31"/>
        <v>0</v>
      </c>
    </row>
    <row r="83" spans="1:11" x14ac:dyDescent="0.2">
      <c r="A83" s="30">
        <f t="shared" si="32"/>
        <v>76</v>
      </c>
      <c r="B83" s="30">
        <f t="shared" si="22"/>
        <v>106</v>
      </c>
      <c r="C83" s="31">
        <f t="shared" si="23"/>
        <v>0</v>
      </c>
      <c r="D83" s="31">
        <f t="shared" si="24"/>
        <v>0</v>
      </c>
      <c r="E83" s="36">
        <f t="shared" si="25"/>
        <v>0</v>
      </c>
      <c r="F83" s="37">
        <f t="shared" si="26"/>
        <v>0</v>
      </c>
      <c r="G83" s="37">
        <f t="shared" si="27"/>
        <v>0</v>
      </c>
      <c r="H83" s="37">
        <f t="shared" si="28"/>
        <v>0</v>
      </c>
      <c r="I83" s="38">
        <f t="shared" si="29"/>
        <v>0</v>
      </c>
      <c r="J83" s="38">
        <f t="shared" si="30"/>
        <v>0</v>
      </c>
      <c r="K83" s="36">
        <f t="shared" si="31"/>
        <v>0</v>
      </c>
    </row>
    <row r="84" spans="1:11" x14ac:dyDescent="0.2">
      <c r="A84" s="30">
        <f t="shared" si="32"/>
        <v>77</v>
      </c>
      <c r="B84" s="30">
        <f t="shared" si="22"/>
        <v>107</v>
      </c>
      <c r="C84" s="31">
        <f t="shared" si="23"/>
        <v>0</v>
      </c>
      <c r="D84" s="31">
        <f t="shared" si="24"/>
        <v>0</v>
      </c>
      <c r="E84" s="36">
        <f t="shared" si="25"/>
        <v>0</v>
      </c>
      <c r="F84" s="37">
        <f t="shared" si="26"/>
        <v>0</v>
      </c>
      <c r="G84" s="37">
        <f t="shared" si="27"/>
        <v>0</v>
      </c>
      <c r="H84" s="37">
        <f t="shared" si="28"/>
        <v>0</v>
      </c>
      <c r="I84" s="38">
        <f t="shared" si="29"/>
        <v>0</v>
      </c>
      <c r="J84" s="38">
        <f t="shared" si="30"/>
        <v>0</v>
      </c>
      <c r="K84" s="36">
        <f t="shared" si="31"/>
        <v>0</v>
      </c>
    </row>
    <row r="85" spans="1:11" x14ac:dyDescent="0.2">
      <c r="A85" s="30">
        <f t="shared" si="32"/>
        <v>78</v>
      </c>
      <c r="B85" s="30">
        <f t="shared" si="22"/>
        <v>108</v>
      </c>
      <c r="C85" s="31">
        <f t="shared" si="23"/>
        <v>0</v>
      </c>
      <c r="D85" s="31">
        <f t="shared" si="24"/>
        <v>0</v>
      </c>
      <c r="E85" s="36">
        <f t="shared" si="25"/>
        <v>0</v>
      </c>
      <c r="F85" s="37">
        <f t="shared" si="26"/>
        <v>0</v>
      </c>
      <c r="G85" s="37">
        <f t="shared" si="27"/>
        <v>0</v>
      </c>
      <c r="H85" s="37">
        <f t="shared" si="28"/>
        <v>0</v>
      </c>
      <c r="I85" s="38">
        <f t="shared" si="29"/>
        <v>0</v>
      </c>
      <c r="J85" s="38">
        <f t="shared" si="30"/>
        <v>0</v>
      </c>
      <c r="K85" s="36">
        <f t="shared" si="31"/>
        <v>0</v>
      </c>
    </row>
    <row r="86" spans="1:11" x14ac:dyDescent="0.2">
      <c r="A86" s="30">
        <f t="shared" si="32"/>
        <v>79</v>
      </c>
      <c r="B86" s="30">
        <f t="shared" si="22"/>
        <v>109</v>
      </c>
      <c r="C86" s="31">
        <f t="shared" si="23"/>
        <v>0</v>
      </c>
      <c r="D86" s="31">
        <f t="shared" si="24"/>
        <v>0</v>
      </c>
      <c r="E86" s="36">
        <f t="shared" si="25"/>
        <v>0</v>
      </c>
      <c r="F86" s="37">
        <f t="shared" si="26"/>
        <v>0</v>
      </c>
      <c r="G86" s="37">
        <f t="shared" si="27"/>
        <v>0</v>
      </c>
      <c r="H86" s="37">
        <f t="shared" si="28"/>
        <v>0</v>
      </c>
      <c r="I86" s="38">
        <f t="shared" si="29"/>
        <v>0</v>
      </c>
      <c r="J86" s="38">
        <f t="shared" si="30"/>
        <v>0</v>
      </c>
      <c r="K86" s="36">
        <f t="shared" si="31"/>
        <v>0</v>
      </c>
    </row>
    <row r="87" spans="1:11" x14ac:dyDescent="0.2">
      <c r="A87" s="30">
        <f t="shared" si="32"/>
        <v>80</v>
      </c>
      <c r="B87" s="30">
        <f t="shared" si="22"/>
        <v>110</v>
      </c>
      <c r="C87" s="31">
        <f t="shared" si="23"/>
        <v>0</v>
      </c>
      <c r="D87" s="31">
        <f t="shared" si="24"/>
        <v>0</v>
      </c>
      <c r="E87" s="36">
        <f t="shared" si="25"/>
        <v>0</v>
      </c>
      <c r="F87" s="37">
        <f t="shared" si="26"/>
        <v>0</v>
      </c>
      <c r="G87" s="37">
        <f t="shared" si="27"/>
        <v>0</v>
      </c>
      <c r="H87" s="37">
        <f t="shared" si="28"/>
        <v>0</v>
      </c>
      <c r="I87" s="38">
        <f t="shared" si="29"/>
        <v>0</v>
      </c>
      <c r="J87" s="38">
        <f t="shared" si="30"/>
        <v>0</v>
      </c>
      <c r="K87" s="36">
        <f t="shared" si="31"/>
        <v>0</v>
      </c>
    </row>
    <row r="88" spans="1:11" x14ac:dyDescent="0.2">
      <c r="A88" s="30">
        <f t="shared" si="32"/>
        <v>81</v>
      </c>
      <c r="B88" s="30">
        <f t="shared" si="22"/>
        <v>111</v>
      </c>
      <c r="C88" s="31">
        <f t="shared" si="23"/>
        <v>0</v>
      </c>
      <c r="D88" s="31">
        <f t="shared" si="24"/>
        <v>0</v>
      </c>
      <c r="E88" s="36">
        <f t="shared" si="25"/>
        <v>0</v>
      </c>
      <c r="F88" s="37">
        <f t="shared" si="26"/>
        <v>0</v>
      </c>
      <c r="G88" s="37">
        <f t="shared" si="27"/>
        <v>0</v>
      </c>
      <c r="H88" s="37">
        <f t="shared" si="28"/>
        <v>0</v>
      </c>
      <c r="I88" s="38">
        <f t="shared" si="29"/>
        <v>0</v>
      </c>
      <c r="J88" s="38">
        <f t="shared" si="30"/>
        <v>0</v>
      </c>
      <c r="K88" s="36">
        <f t="shared" si="31"/>
        <v>0</v>
      </c>
    </row>
    <row r="89" spans="1:11" x14ac:dyDescent="0.2">
      <c r="A89" s="30">
        <f t="shared" si="32"/>
        <v>82</v>
      </c>
      <c r="B89" s="30">
        <f t="shared" si="22"/>
        <v>112</v>
      </c>
      <c r="C89" s="31">
        <f t="shared" si="23"/>
        <v>0</v>
      </c>
      <c r="D89" s="31">
        <f t="shared" si="24"/>
        <v>0</v>
      </c>
      <c r="E89" s="36">
        <f t="shared" si="25"/>
        <v>0</v>
      </c>
      <c r="F89" s="37">
        <f t="shared" si="26"/>
        <v>0</v>
      </c>
      <c r="G89" s="37">
        <f t="shared" si="27"/>
        <v>0</v>
      </c>
      <c r="H89" s="37">
        <f t="shared" si="28"/>
        <v>0</v>
      </c>
      <c r="I89" s="38">
        <f t="shared" si="29"/>
        <v>0</v>
      </c>
      <c r="J89" s="38">
        <f t="shared" si="30"/>
        <v>0</v>
      </c>
      <c r="K89" s="36">
        <f t="shared" si="31"/>
        <v>0</v>
      </c>
    </row>
    <row r="90" spans="1:11" x14ac:dyDescent="0.2">
      <c r="A90" s="30">
        <f t="shared" si="32"/>
        <v>83</v>
      </c>
      <c r="B90" s="30">
        <f t="shared" si="22"/>
        <v>113</v>
      </c>
      <c r="C90" s="31">
        <f t="shared" si="23"/>
        <v>0</v>
      </c>
      <c r="D90" s="31">
        <f t="shared" si="24"/>
        <v>0</v>
      </c>
      <c r="E90" s="36">
        <f t="shared" si="25"/>
        <v>0</v>
      </c>
      <c r="F90" s="37">
        <f t="shared" si="26"/>
        <v>0</v>
      </c>
      <c r="G90" s="37">
        <f t="shared" si="27"/>
        <v>0</v>
      </c>
      <c r="H90" s="37">
        <f t="shared" si="28"/>
        <v>0</v>
      </c>
      <c r="I90" s="38">
        <f t="shared" si="29"/>
        <v>0</v>
      </c>
      <c r="J90" s="38">
        <f t="shared" si="30"/>
        <v>0</v>
      </c>
      <c r="K90" s="36">
        <f t="shared" si="31"/>
        <v>0</v>
      </c>
    </row>
    <row r="91" spans="1:11" x14ac:dyDescent="0.2">
      <c r="A91" s="30">
        <f t="shared" si="32"/>
        <v>84</v>
      </c>
      <c r="B91" s="30">
        <f t="shared" si="22"/>
        <v>114</v>
      </c>
      <c r="C91" s="31">
        <f t="shared" si="23"/>
        <v>0</v>
      </c>
      <c r="D91" s="31">
        <f t="shared" si="24"/>
        <v>0</v>
      </c>
      <c r="E91" s="36">
        <f t="shared" si="25"/>
        <v>0</v>
      </c>
      <c r="F91" s="37">
        <f t="shared" si="26"/>
        <v>0</v>
      </c>
      <c r="G91" s="37">
        <f t="shared" si="27"/>
        <v>0</v>
      </c>
      <c r="H91" s="37">
        <f t="shared" si="28"/>
        <v>0</v>
      </c>
      <c r="I91" s="38">
        <f t="shared" si="29"/>
        <v>0</v>
      </c>
      <c r="J91" s="38">
        <f t="shared" si="30"/>
        <v>0</v>
      </c>
      <c r="K91" s="36">
        <f t="shared" si="31"/>
        <v>0</v>
      </c>
    </row>
    <row r="92" spans="1:11" x14ac:dyDescent="0.2">
      <c r="A92" s="30">
        <f t="shared" si="32"/>
        <v>85</v>
      </c>
      <c r="B92" s="30">
        <f t="shared" si="22"/>
        <v>115</v>
      </c>
      <c r="C92" s="31">
        <f t="shared" si="23"/>
        <v>0</v>
      </c>
      <c r="D92" s="31">
        <f t="shared" si="24"/>
        <v>0</v>
      </c>
      <c r="E92" s="36">
        <f t="shared" si="25"/>
        <v>0</v>
      </c>
      <c r="F92" s="37">
        <f t="shared" si="26"/>
        <v>0</v>
      </c>
      <c r="G92" s="37">
        <f t="shared" si="27"/>
        <v>0</v>
      </c>
      <c r="H92" s="37">
        <f t="shared" si="28"/>
        <v>0</v>
      </c>
      <c r="I92" s="38">
        <f t="shared" si="29"/>
        <v>0</v>
      </c>
      <c r="J92" s="38">
        <f t="shared" si="30"/>
        <v>0</v>
      </c>
      <c r="K92" s="36">
        <f t="shared" si="31"/>
        <v>0</v>
      </c>
    </row>
    <row r="93" spans="1:11" x14ac:dyDescent="0.2">
      <c r="A93" s="30">
        <f t="shared" si="32"/>
        <v>86</v>
      </c>
      <c r="B93" s="30">
        <f t="shared" si="22"/>
        <v>116</v>
      </c>
      <c r="C93" s="31">
        <f t="shared" si="23"/>
        <v>0</v>
      </c>
      <c r="D93" s="31">
        <f t="shared" si="24"/>
        <v>0</v>
      </c>
      <c r="E93" s="36">
        <f t="shared" si="25"/>
        <v>0</v>
      </c>
      <c r="F93" s="37">
        <f t="shared" si="26"/>
        <v>0</v>
      </c>
      <c r="G93" s="37">
        <f t="shared" si="27"/>
        <v>0</v>
      </c>
      <c r="H93" s="37">
        <f t="shared" si="28"/>
        <v>0</v>
      </c>
      <c r="I93" s="38">
        <f t="shared" si="29"/>
        <v>0</v>
      </c>
      <c r="J93" s="38">
        <f t="shared" si="30"/>
        <v>0</v>
      </c>
      <c r="K93" s="36">
        <f t="shared" si="31"/>
        <v>0</v>
      </c>
    </row>
    <row r="94" spans="1:11" x14ac:dyDescent="0.2">
      <c r="A94" s="30">
        <f t="shared" si="32"/>
        <v>87</v>
      </c>
      <c r="B94" s="30">
        <f t="shared" si="22"/>
        <v>117</v>
      </c>
      <c r="C94" s="31">
        <f t="shared" si="23"/>
        <v>0</v>
      </c>
      <c r="D94" s="31">
        <f t="shared" si="24"/>
        <v>0</v>
      </c>
      <c r="E94" s="36">
        <f t="shared" si="25"/>
        <v>0</v>
      </c>
      <c r="F94" s="37">
        <f t="shared" si="26"/>
        <v>0</v>
      </c>
      <c r="G94" s="37">
        <f t="shared" si="27"/>
        <v>0</v>
      </c>
      <c r="H94" s="37">
        <f t="shared" si="28"/>
        <v>0</v>
      </c>
      <c r="I94" s="38">
        <f t="shared" si="29"/>
        <v>0</v>
      </c>
      <c r="J94" s="38">
        <f t="shared" si="30"/>
        <v>0</v>
      </c>
      <c r="K94" s="36">
        <f t="shared" si="31"/>
        <v>0</v>
      </c>
    </row>
    <row r="95" spans="1:11" x14ac:dyDescent="0.2">
      <c r="A95" s="30">
        <f t="shared" si="32"/>
        <v>88</v>
      </c>
      <c r="B95" s="30">
        <f t="shared" si="22"/>
        <v>118</v>
      </c>
      <c r="C95" s="31">
        <f t="shared" si="23"/>
        <v>0</v>
      </c>
      <c r="D95" s="31">
        <f t="shared" si="24"/>
        <v>0</v>
      </c>
      <c r="E95" s="36">
        <f t="shared" si="25"/>
        <v>0</v>
      </c>
      <c r="F95" s="37">
        <f t="shared" si="26"/>
        <v>0</v>
      </c>
      <c r="G95" s="37">
        <f t="shared" si="27"/>
        <v>0</v>
      </c>
      <c r="H95" s="37">
        <f t="shared" si="28"/>
        <v>0</v>
      </c>
      <c r="I95" s="38">
        <f t="shared" si="29"/>
        <v>0</v>
      </c>
      <c r="J95" s="38">
        <f t="shared" si="30"/>
        <v>0</v>
      </c>
      <c r="K95" s="36">
        <f t="shared" si="31"/>
        <v>0</v>
      </c>
    </row>
    <row r="96" spans="1:11" x14ac:dyDescent="0.2">
      <c r="A96" s="30">
        <f t="shared" si="32"/>
        <v>89</v>
      </c>
      <c r="B96" s="30">
        <f t="shared" si="22"/>
        <v>119</v>
      </c>
      <c r="C96" s="31">
        <f t="shared" si="23"/>
        <v>0</v>
      </c>
      <c r="D96" s="31">
        <f t="shared" si="24"/>
        <v>0</v>
      </c>
      <c r="E96" s="36">
        <f t="shared" si="25"/>
        <v>0</v>
      </c>
      <c r="F96" s="37">
        <f t="shared" si="26"/>
        <v>0</v>
      </c>
      <c r="G96" s="37">
        <f t="shared" si="27"/>
        <v>0</v>
      </c>
      <c r="H96" s="37">
        <f t="shared" si="28"/>
        <v>0</v>
      </c>
      <c r="I96" s="38">
        <f t="shared" si="29"/>
        <v>0</v>
      </c>
      <c r="J96" s="38">
        <f t="shared" si="30"/>
        <v>0</v>
      </c>
      <c r="K96" s="36">
        <f t="shared" si="31"/>
        <v>0</v>
      </c>
    </row>
    <row r="97" spans="1:11" x14ac:dyDescent="0.2">
      <c r="A97" s="30">
        <f t="shared" si="32"/>
        <v>90</v>
      </c>
      <c r="B97" s="30">
        <f t="shared" si="22"/>
        <v>120</v>
      </c>
      <c r="C97" s="31">
        <f t="shared" si="23"/>
        <v>0</v>
      </c>
      <c r="D97" s="31">
        <f t="shared" si="24"/>
        <v>0</v>
      </c>
      <c r="E97" s="36">
        <f t="shared" si="25"/>
        <v>0</v>
      </c>
      <c r="F97" s="37">
        <f t="shared" si="26"/>
        <v>0</v>
      </c>
      <c r="G97" s="37">
        <f t="shared" si="27"/>
        <v>0</v>
      </c>
      <c r="H97" s="37">
        <f t="shared" si="28"/>
        <v>0</v>
      </c>
      <c r="I97" s="38">
        <f t="shared" si="29"/>
        <v>0</v>
      </c>
      <c r="J97" s="38">
        <f t="shared" si="30"/>
        <v>0</v>
      </c>
      <c r="K97" s="36">
        <f t="shared" si="31"/>
        <v>0</v>
      </c>
    </row>
    <row r="98" spans="1:11" x14ac:dyDescent="0.2">
      <c r="A98" s="30">
        <f t="shared" si="32"/>
        <v>91</v>
      </c>
      <c r="B98" s="30">
        <f t="shared" si="22"/>
        <v>121</v>
      </c>
      <c r="C98" s="31">
        <f t="shared" si="23"/>
        <v>0</v>
      </c>
      <c r="D98" s="31">
        <f t="shared" si="24"/>
        <v>0</v>
      </c>
      <c r="E98" s="36">
        <f t="shared" si="25"/>
        <v>0</v>
      </c>
      <c r="F98" s="37">
        <f t="shared" si="26"/>
        <v>0</v>
      </c>
      <c r="G98" s="37">
        <f t="shared" si="27"/>
        <v>0</v>
      </c>
      <c r="H98" s="37">
        <f t="shared" si="28"/>
        <v>0</v>
      </c>
      <c r="I98" s="38">
        <f t="shared" si="29"/>
        <v>0</v>
      </c>
      <c r="J98" s="38">
        <f t="shared" si="30"/>
        <v>0</v>
      </c>
      <c r="K98" s="36">
        <f t="shared" si="31"/>
        <v>0</v>
      </c>
    </row>
    <row r="99" spans="1:11" x14ac:dyDescent="0.2">
      <c r="A99" s="30">
        <f t="shared" si="32"/>
        <v>92</v>
      </c>
      <c r="B99" s="30">
        <f t="shared" si="22"/>
        <v>122</v>
      </c>
      <c r="C99" s="31">
        <f t="shared" si="23"/>
        <v>0</v>
      </c>
      <c r="D99" s="31">
        <f t="shared" si="24"/>
        <v>0</v>
      </c>
      <c r="E99" s="36">
        <f t="shared" si="25"/>
        <v>0</v>
      </c>
      <c r="F99" s="37">
        <f t="shared" si="26"/>
        <v>0</v>
      </c>
      <c r="G99" s="37">
        <f t="shared" si="27"/>
        <v>0</v>
      </c>
      <c r="H99" s="37">
        <f t="shared" si="28"/>
        <v>0</v>
      </c>
      <c r="I99" s="38">
        <f t="shared" si="29"/>
        <v>0</v>
      </c>
      <c r="J99" s="38">
        <f t="shared" si="30"/>
        <v>0</v>
      </c>
      <c r="K99" s="36">
        <f t="shared" si="31"/>
        <v>0</v>
      </c>
    </row>
    <row r="100" spans="1:11" x14ac:dyDescent="0.2">
      <c r="A100" s="30">
        <f t="shared" si="32"/>
        <v>93</v>
      </c>
      <c r="B100" s="30">
        <f t="shared" si="22"/>
        <v>123</v>
      </c>
      <c r="C100" s="31">
        <f t="shared" si="23"/>
        <v>0</v>
      </c>
      <c r="D100" s="31">
        <f t="shared" si="24"/>
        <v>0</v>
      </c>
      <c r="E100" s="36">
        <f t="shared" si="25"/>
        <v>0</v>
      </c>
      <c r="F100" s="37">
        <f t="shared" si="26"/>
        <v>0</v>
      </c>
      <c r="G100" s="37">
        <f t="shared" si="27"/>
        <v>0</v>
      </c>
      <c r="H100" s="37">
        <f t="shared" si="28"/>
        <v>0</v>
      </c>
      <c r="I100" s="38">
        <f t="shared" si="29"/>
        <v>0</v>
      </c>
      <c r="J100" s="38">
        <f t="shared" si="30"/>
        <v>0</v>
      </c>
      <c r="K100" s="36">
        <f t="shared" si="31"/>
        <v>0</v>
      </c>
    </row>
    <row r="101" spans="1:11" x14ac:dyDescent="0.2">
      <c r="A101" s="30">
        <f t="shared" si="32"/>
        <v>94</v>
      </c>
      <c r="B101" s="30">
        <f t="shared" si="22"/>
        <v>124</v>
      </c>
      <c r="C101" s="31">
        <f t="shared" si="23"/>
        <v>0</v>
      </c>
      <c r="D101" s="31">
        <f t="shared" si="24"/>
        <v>0</v>
      </c>
      <c r="E101" s="36">
        <f t="shared" si="25"/>
        <v>0</v>
      </c>
      <c r="F101" s="37">
        <f t="shared" si="26"/>
        <v>0</v>
      </c>
      <c r="G101" s="37">
        <f t="shared" si="27"/>
        <v>0</v>
      </c>
      <c r="H101" s="37">
        <f t="shared" si="28"/>
        <v>0</v>
      </c>
      <c r="I101" s="38">
        <f t="shared" si="29"/>
        <v>0</v>
      </c>
      <c r="J101" s="38">
        <f t="shared" si="30"/>
        <v>0</v>
      </c>
      <c r="K101" s="36">
        <f t="shared" si="31"/>
        <v>0</v>
      </c>
    </row>
    <row r="102" spans="1:11" x14ac:dyDescent="0.2">
      <c r="A102" s="30">
        <f t="shared" si="32"/>
        <v>95</v>
      </c>
      <c r="B102" s="30">
        <f t="shared" si="22"/>
        <v>125</v>
      </c>
      <c r="C102" s="31">
        <f t="shared" si="23"/>
        <v>0</v>
      </c>
      <c r="D102" s="31">
        <f t="shared" si="24"/>
        <v>0</v>
      </c>
      <c r="E102" s="36">
        <f t="shared" si="25"/>
        <v>0</v>
      </c>
      <c r="F102" s="37">
        <f t="shared" si="26"/>
        <v>0</v>
      </c>
      <c r="G102" s="37">
        <f t="shared" si="27"/>
        <v>0</v>
      </c>
      <c r="H102" s="37">
        <f t="shared" si="28"/>
        <v>0</v>
      </c>
      <c r="I102" s="38">
        <f t="shared" si="29"/>
        <v>0</v>
      </c>
      <c r="J102" s="38">
        <f t="shared" si="30"/>
        <v>0</v>
      </c>
      <c r="K102" s="36">
        <f t="shared" si="31"/>
        <v>0</v>
      </c>
    </row>
    <row r="103" spans="1:11" x14ac:dyDescent="0.2">
      <c r="A103" s="30">
        <f t="shared" si="32"/>
        <v>96</v>
      </c>
      <c r="B103" s="30">
        <f t="shared" ref="B103:B110" si="33">IssueAge+A103</f>
        <v>126</v>
      </c>
      <c r="C103" s="31">
        <f t="shared" ref="C103:C110" si="34">IF($A103&gt;LastT,0,INDEX(MortGrid,B103+1,BaseMortCol))</f>
        <v>0</v>
      </c>
      <c r="D103" s="31">
        <f t="shared" ref="D103:D110" si="35">IF($A103&gt;LastT,0,INDEX(AsmpTblGrid,MIN(A103,19)+1,MortFactorCol))</f>
        <v>0</v>
      </c>
      <c r="E103" s="36">
        <f t="shared" ref="E103:E110" si="36">IF($A103&gt;LastT,0,INDEX(AsmpTblGrid,MIN(A103,19)+1,SurrCol))</f>
        <v>0</v>
      </c>
      <c r="F103" s="37">
        <f t="shared" ref="F103:F110" si="37">IF($A103&gt;LastT+1,0,IF(INDEX(Comm_Dx,B103+1)=0,0,(INDEX(Comm_Mx,B103+1)-Mx_xn+LoadMaintSA2*(Nx_xn-Nx_xn)-IF(A103&lt;=PolicyTerm,NetPremRatePrem*(INDEX(Comm_Nx,B103+1)-Nx_xn),0))/INDEX(Comm_Dx,B103+1)))</f>
        <v>0</v>
      </c>
      <c r="G103" s="37">
        <f t="shared" ref="G103:G110" si="38">IF($A103&gt;LastT+1,0,InitSurrCharge*MAX((MIN(PolicyTerm,10)-A103)/MIN(PolicyTerm,10),0))</f>
        <v>0</v>
      </c>
      <c r="H103" s="37">
        <f t="shared" ref="H103:H110" si="39">IF($A103&gt;LastT+1,0,MAX(F103-G103,0))</f>
        <v>0</v>
      </c>
      <c r="I103" s="38">
        <f t="shared" ref="I103:I110" si="40">IF($A103&gt;LastT,0,SumAssured*(H103+H104)/2)</f>
        <v>0</v>
      </c>
      <c r="J103" s="38">
        <f t="shared" ref="J103:J110" si="41">IF(OR($A103=0,$A103&gt;LastT),0,IF(A103&lt;CommRenTerm,SizePremium*CommRenPrem*(1+CnsmpTax),0))</f>
        <v>0</v>
      </c>
      <c r="K103" s="36">
        <f t="shared" ref="K103:K110" si="42">IF($A103&gt;LastT,0,INDEX(ScenGrid,A103+1,ScenID))</f>
        <v>0</v>
      </c>
    </row>
    <row r="104" spans="1:11" x14ac:dyDescent="0.2">
      <c r="A104" s="30">
        <f t="shared" ref="A104:A110" si="43">A103+1</f>
        <v>97</v>
      </c>
      <c r="B104" s="30">
        <f t="shared" si="33"/>
        <v>127</v>
      </c>
      <c r="C104" s="31">
        <f t="shared" si="34"/>
        <v>0</v>
      </c>
      <c r="D104" s="31">
        <f t="shared" si="35"/>
        <v>0</v>
      </c>
      <c r="E104" s="36">
        <f t="shared" si="36"/>
        <v>0</v>
      </c>
      <c r="F104" s="37">
        <f t="shared" si="37"/>
        <v>0</v>
      </c>
      <c r="G104" s="37">
        <f t="shared" si="38"/>
        <v>0</v>
      </c>
      <c r="H104" s="37">
        <f t="shared" si="39"/>
        <v>0</v>
      </c>
      <c r="I104" s="38">
        <f t="shared" si="40"/>
        <v>0</v>
      </c>
      <c r="J104" s="38">
        <f t="shared" si="41"/>
        <v>0</v>
      </c>
      <c r="K104" s="36">
        <f t="shared" si="42"/>
        <v>0</v>
      </c>
    </row>
    <row r="105" spans="1:11" x14ac:dyDescent="0.2">
      <c r="A105" s="30">
        <f t="shared" si="43"/>
        <v>98</v>
      </c>
      <c r="B105" s="30">
        <f t="shared" si="33"/>
        <v>128</v>
      </c>
      <c r="C105" s="31">
        <f t="shared" si="34"/>
        <v>0</v>
      </c>
      <c r="D105" s="31">
        <f t="shared" si="35"/>
        <v>0</v>
      </c>
      <c r="E105" s="36">
        <f t="shared" si="36"/>
        <v>0</v>
      </c>
      <c r="F105" s="37">
        <f t="shared" si="37"/>
        <v>0</v>
      </c>
      <c r="G105" s="37">
        <f t="shared" si="38"/>
        <v>0</v>
      </c>
      <c r="H105" s="37">
        <f t="shared" si="39"/>
        <v>0</v>
      </c>
      <c r="I105" s="38">
        <f t="shared" si="40"/>
        <v>0</v>
      </c>
      <c r="J105" s="38">
        <f t="shared" si="41"/>
        <v>0</v>
      </c>
      <c r="K105" s="36">
        <f t="shared" si="42"/>
        <v>0</v>
      </c>
    </row>
    <row r="106" spans="1:11" x14ac:dyDescent="0.2">
      <c r="A106" s="30">
        <f t="shared" si="43"/>
        <v>99</v>
      </c>
      <c r="B106" s="30">
        <f t="shared" si="33"/>
        <v>129</v>
      </c>
      <c r="C106" s="31">
        <f t="shared" si="34"/>
        <v>0</v>
      </c>
      <c r="D106" s="31">
        <f t="shared" si="35"/>
        <v>0</v>
      </c>
      <c r="E106" s="36">
        <f t="shared" si="36"/>
        <v>0</v>
      </c>
      <c r="F106" s="37">
        <f t="shared" si="37"/>
        <v>0</v>
      </c>
      <c r="G106" s="37">
        <f t="shared" si="38"/>
        <v>0</v>
      </c>
      <c r="H106" s="37">
        <f t="shared" si="39"/>
        <v>0</v>
      </c>
      <c r="I106" s="38">
        <f t="shared" si="40"/>
        <v>0</v>
      </c>
      <c r="J106" s="38">
        <f t="shared" si="41"/>
        <v>0</v>
      </c>
      <c r="K106" s="36">
        <f t="shared" si="42"/>
        <v>0</v>
      </c>
    </row>
    <row r="107" spans="1:11" x14ac:dyDescent="0.2">
      <c r="A107" s="30">
        <f t="shared" si="43"/>
        <v>100</v>
      </c>
      <c r="B107" s="30">
        <f t="shared" si="33"/>
        <v>130</v>
      </c>
      <c r="C107" s="31">
        <f t="shared" si="34"/>
        <v>0</v>
      </c>
      <c r="D107" s="31">
        <f t="shared" si="35"/>
        <v>0</v>
      </c>
      <c r="E107" s="36">
        <f t="shared" si="36"/>
        <v>0</v>
      </c>
      <c r="F107" s="37">
        <f t="shared" si="37"/>
        <v>0</v>
      </c>
      <c r="G107" s="37">
        <f t="shared" si="38"/>
        <v>0</v>
      </c>
      <c r="H107" s="37">
        <f t="shared" si="39"/>
        <v>0</v>
      </c>
      <c r="I107" s="38">
        <f t="shared" si="40"/>
        <v>0</v>
      </c>
      <c r="J107" s="38">
        <f t="shared" si="41"/>
        <v>0</v>
      </c>
      <c r="K107" s="36">
        <f t="shared" si="42"/>
        <v>0</v>
      </c>
    </row>
    <row r="108" spans="1:11" x14ac:dyDescent="0.2">
      <c r="A108" s="30">
        <f t="shared" si="43"/>
        <v>101</v>
      </c>
      <c r="B108" s="30">
        <f t="shared" si="33"/>
        <v>131</v>
      </c>
      <c r="C108" s="31">
        <f t="shared" si="34"/>
        <v>0</v>
      </c>
      <c r="D108" s="31">
        <f t="shared" si="35"/>
        <v>0</v>
      </c>
      <c r="E108" s="36">
        <f t="shared" si="36"/>
        <v>0</v>
      </c>
      <c r="F108" s="37">
        <f t="shared" si="37"/>
        <v>0</v>
      </c>
      <c r="G108" s="37">
        <f t="shared" si="38"/>
        <v>0</v>
      </c>
      <c r="H108" s="37">
        <f t="shared" si="39"/>
        <v>0</v>
      </c>
      <c r="I108" s="38">
        <f t="shared" si="40"/>
        <v>0</v>
      </c>
      <c r="J108" s="38">
        <f t="shared" si="41"/>
        <v>0</v>
      </c>
      <c r="K108" s="36">
        <f t="shared" si="42"/>
        <v>0</v>
      </c>
    </row>
    <row r="109" spans="1:11" x14ac:dyDescent="0.2">
      <c r="A109" s="30">
        <f t="shared" si="43"/>
        <v>102</v>
      </c>
      <c r="B109" s="30">
        <f t="shared" si="33"/>
        <v>132</v>
      </c>
      <c r="C109" s="31">
        <f t="shared" si="34"/>
        <v>0</v>
      </c>
      <c r="D109" s="31">
        <f t="shared" si="35"/>
        <v>0</v>
      </c>
      <c r="E109" s="36">
        <f t="shared" si="36"/>
        <v>0</v>
      </c>
      <c r="F109" s="37">
        <f t="shared" si="37"/>
        <v>0</v>
      </c>
      <c r="G109" s="37">
        <f t="shared" si="38"/>
        <v>0</v>
      </c>
      <c r="H109" s="37">
        <f t="shared" si="39"/>
        <v>0</v>
      </c>
      <c r="I109" s="38">
        <f t="shared" si="40"/>
        <v>0</v>
      </c>
      <c r="J109" s="38">
        <f t="shared" si="41"/>
        <v>0</v>
      </c>
      <c r="K109" s="36">
        <f t="shared" si="42"/>
        <v>0</v>
      </c>
    </row>
    <row r="110" spans="1:11" x14ac:dyDescent="0.2">
      <c r="A110" s="30">
        <f t="shared" si="43"/>
        <v>103</v>
      </c>
      <c r="B110" s="30">
        <f t="shared" si="33"/>
        <v>133</v>
      </c>
      <c r="C110" s="31">
        <f t="shared" si="34"/>
        <v>0</v>
      </c>
      <c r="D110" s="31">
        <f t="shared" si="35"/>
        <v>0</v>
      </c>
      <c r="E110" s="36">
        <f t="shared" si="36"/>
        <v>0</v>
      </c>
      <c r="F110" s="37">
        <f t="shared" si="37"/>
        <v>0</v>
      </c>
      <c r="G110" s="37">
        <f t="shared" si="38"/>
        <v>0</v>
      </c>
      <c r="H110" s="37">
        <f t="shared" si="39"/>
        <v>0</v>
      </c>
      <c r="I110" s="38">
        <f t="shared" si="40"/>
        <v>0</v>
      </c>
      <c r="J110" s="38">
        <f t="shared" si="41"/>
        <v>0</v>
      </c>
      <c r="K110" s="36">
        <f t="shared" si="42"/>
        <v>0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AA110"/>
  <sheetViews>
    <sheetView workbookViewId="0">
      <pane xSplit="1" ySplit="6" topLeftCell="B7" activePane="bottomRight" state="frozen"/>
      <selection pane="topRight"/>
      <selection pane="bottomLeft"/>
      <selection pane="bottomRight"/>
    </sheetView>
  </sheetViews>
  <sheetFormatPr baseColWidth="10" defaultColWidth="8.83203125" defaultRowHeight="15" x14ac:dyDescent="0.2"/>
  <cols>
    <col min="1" max="1" width="5" customWidth="1"/>
    <col min="2" max="2" width="10" customWidth="1"/>
    <col min="3" max="5" width="11" customWidth="1"/>
    <col min="6" max="6" width="10" customWidth="1"/>
    <col min="7" max="7" width="11" customWidth="1"/>
    <col min="8" max="9" width="10" customWidth="1"/>
    <col min="10" max="13" width="11" customWidth="1"/>
    <col min="14" max="17" width="12" customWidth="1"/>
    <col min="18" max="21" width="11" customWidth="1"/>
    <col min="22" max="22" width="12" customWidth="1"/>
    <col min="23" max="27" width="13" customWidth="1"/>
  </cols>
  <sheetData>
    <row r="1" spans="1:27" x14ac:dyDescent="0.2">
      <c r="A1" s="3" t="s">
        <v>333</v>
      </c>
    </row>
    <row r="2" spans="1:27" x14ac:dyDescent="0.2">
      <c r="B2" s="39" t="s">
        <v>334</v>
      </c>
      <c r="C2" s="39" t="s">
        <v>335</v>
      </c>
      <c r="D2" s="39" t="s">
        <v>336</v>
      </c>
      <c r="E2" s="39" t="s">
        <v>337</v>
      </c>
      <c r="F2" s="39" t="s">
        <v>338</v>
      </c>
      <c r="G2" s="39" t="s">
        <v>339</v>
      </c>
    </row>
    <row r="3" spans="1:27" x14ac:dyDescent="0.2">
      <c r="B3" s="7" t="s">
        <v>340</v>
      </c>
      <c r="C3" s="7"/>
      <c r="D3" s="7">
        <v>0</v>
      </c>
      <c r="E3" s="34">
        <f>IFERROR(INDEX(FactorVals,MATCH($B$3&amp;"|"&amp;$C$3&amp;"||",FactorKeys,0)),0)</f>
        <v>0</v>
      </c>
      <c r="F3" s="34">
        <f>IFERROR(INDEX(FactorVals,MATCH($B$3&amp;"|"&amp;$C$3&amp;"||limit",FactorKeys,0)),0)</f>
        <v>0</v>
      </c>
      <c r="G3" s="34">
        <f>IFERROR(INDEX(FactorVals,MATCH($B$3&amp;"|||inflation",FactorKeys,0)),0)</f>
        <v>0</v>
      </c>
    </row>
    <row r="4" spans="1:27" x14ac:dyDescent="0.2">
      <c r="B4" s="14" t="s">
        <v>334</v>
      </c>
      <c r="C4" s="14" t="s">
        <v>335</v>
      </c>
      <c r="E4" s="14" t="s">
        <v>341</v>
      </c>
    </row>
    <row r="5" spans="1:27" x14ac:dyDescent="0.2">
      <c r="A5" s="10" t="s">
        <v>185</v>
      </c>
      <c r="B5" s="10" t="s">
        <v>342</v>
      </c>
      <c r="C5" s="10" t="s">
        <v>343</v>
      </c>
      <c r="D5" s="10" t="s">
        <v>344</v>
      </c>
      <c r="E5" s="10" t="s">
        <v>345</v>
      </c>
      <c r="F5" s="10" t="s">
        <v>346</v>
      </c>
      <c r="G5" s="10" t="s">
        <v>347</v>
      </c>
      <c r="H5" s="10" t="s">
        <v>348</v>
      </c>
      <c r="I5" s="10" t="s">
        <v>349</v>
      </c>
      <c r="J5" s="10" t="s">
        <v>350</v>
      </c>
      <c r="K5" s="10" t="s">
        <v>351</v>
      </c>
      <c r="L5" s="10" t="s">
        <v>352</v>
      </c>
      <c r="M5" s="10" t="s">
        <v>353</v>
      </c>
      <c r="N5" s="10" t="s">
        <v>354</v>
      </c>
      <c r="O5" s="10" t="s">
        <v>355</v>
      </c>
      <c r="P5" s="10" t="s">
        <v>356</v>
      </c>
      <c r="Q5" s="10" t="s">
        <v>357</v>
      </c>
      <c r="R5" s="10" t="s">
        <v>358</v>
      </c>
      <c r="S5" s="10" t="s">
        <v>359</v>
      </c>
      <c r="T5" s="10" t="s">
        <v>360</v>
      </c>
      <c r="U5" s="10" t="s">
        <v>361</v>
      </c>
      <c r="V5" s="10" t="s">
        <v>362</v>
      </c>
      <c r="W5" s="10" t="s">
        <v>363</v>
      </c>
      <c r="X5" s="10" t="s">
        <v>364</v>
      </c>
      <c r="Y5" s="10" t="s">
        <v>365</v>
      </c>
      <c r="Z5" s="10" t="s">
        <v>366</v>
      </c>
      <c r="AA5" s="10" t="s">
        <v>367</v>
      </c>
    </row>
    <row r="6" spans="1:27" x14ac:dyDescent="0.2">
      <c r="A6" s="14" t="s">
        <v>185</v>
      </c>
      <c r="B6" s="14" t="s">
        <v>368</v>
      </c>
      <c r="C6" s="14" t="s">
        <v>369</v>
      </c>
      <c r="D6" s="14" t="s">
        <v>327</v>
      </c>
      <c r="E6" s="14" t="s">
        <v>370</v>
      </c>
      <c r="F6" s="14" t="s">
        <v>371</v>
      </c>
      <c r="G6" s="14" t="s">
        <v>372</v>
      </c>
      <c r="H6" s="14" t="s">
        <v>373</v>
      </c>
      <c r="I6" s="14" t="s">
        <v>374</v>
      </c>
      <c r="J6" s="14" t="s">
        <v>375</v>
      </c>
      <c r="K6" s="14" t="s">
        <v>376</v>
      </c>
      <c r="L6" s="14" t="s">
        <v>377</v>
      </c>
      <c r="M6" s="14" t="s">
        <v>378</v>
      </c>
      <c r="N6" s="14" t="s">
        <v>379</v>
      </c>
      <c r="O6" s="14" t="s">
        <v>380</v>
      </c>
      <c r="P6" s="14" t="s">
        <v>381</v>
      </c>
      <c r="Q6" s="14" t="s">
        <v>382</v>
      </c>
      <c r="R6" s="14" t="s">
        <v>383</v>
      </c>
      <c r="S6" s="14" t="s">
        <v>384</v>
      </c>
      <c r="T6" s="14" t="s">
        <v>385</v>
      </c>
      <c r="U6" s="14" t="s">
        <v>386</v>
      </c>
      <c r="V6" s="14" t="s">
        <v>387</v>
      </c>
      <c r="W6" s="14" t="s">
        <v>388</v>
      </c>
      <c r="X6" s="14" t="s">
        <v>389</v>
      </c>
      <c r="Y6" s="14" t="s">
        <v>390</v>
      </c>
      <c r="Z6" s="14" t="s">
        <v>391</v>
      </c>
      <c r="AA6" s="14" t="s">
        <v>392</v>
      </c>
    </row>
    <row r="7" spans="1:27" x14ac:dyDescent="0.2">
      <c r="A7" s="30">
        <v>0</v>
      </c>
      <c r="B7" s="40">
        <f>1</f>
        <v>1</v>
      </c>
      <c r="C7" s="31">
        <f>IF($A7&gt;LastT,0,IF(AND($D$3&lt;&gt;0,$A7&gt;=T0,Policy_Sched!$B7&lt;LastAge),1+$D$3*$E$3,1))</f>
        <v>1</v>
      </c>
      <c r="D7" s="36">
        <f>IF($A7&gt;LastT,0,IF($C$3="up",MIN(Policy_Sched!$E7*(1+IF($A7&gt;=T0,$E$3,0)),$F$3),IF($C$3="down",MAX(Policy_Sched!$E7*(1-IF($A7&gt;=T0,$E$3,0)),Policy_Sched!$E7-$F$3),Policy_Sched!$E7)))</f>
        <v>0.08</v>
      </c>
      <c r="E7" s="41">
        <f>0</f>
        <v>0</v>
      </c>
      <c r="F7" s="37">
        <f t="shared" ref="F7:F38" si="0">IF($A7&gt;LastT,0,IF($A7=PolicyTerm,E7,0))</f>
        <v>0</v>
      </c>
      <c r="G7" s="37">
        <f t="shared" ref="G7:G38" si="1">IF($A7&gt;LastT,0,E7-F7)</f>
        <v>0</v>
      </c>
      <c r="H7" s="37">
        <f t="shared" ref="H7:H38" si="2">IF($A7=0,PolicyCount,0)</f>
        <v>1</v>
      </c>
      <c r="I7" s="37">
        <f t="shared" ref="I7:I38" si="3">IF($A7&gt;LastT,0,IF(AND($C$3="mass",$A7=T0),(G7+H7)*$E$3,0))</f>
        <v>0</v>
      </c>
      <c r="J7" s="37">
        <f t="shared" ref="J7:J38" si="4">IF($A7&gt;LastT,0,G7+H7-I7)</f>
        <v>1</v>
      </c>
      <c r="K7" s="37">
        <f>IF($A7&gt;LastT,0,J7*Policy_Sched!$C7*Policy_Sched!$D7*C7)</f>
        <v>5.3899999999999998E-4</v>
      </c>
      <c r="L7" s="41">
        <f t="shared" ref="L7:L38" si="5">J7*D7</f>
        <v>0.08</v>
      </c>
      <c r="M7" s="38">
        <f t="shared" ref="M7:M38" si="6">IF($A7&gt;LastT,0,(SizeAnnPrem*ExpsMaintAnnPrem+(SumAssured*ExpsMaintSA+ExpsMaintPol)*B7)*(1+IF($B$3="exps",$E$3,0)))</f>
        <v>1035.7416990934148</v>
      </c>
      <c r="N7" s="38">
        <f t="shared" ref="N7:N38" si="7">SizePremium*J7</f>
        <v>3574.1699093414809</v>
      </c>
      <c r="O7" s="38">
        <f t="shared" ref="O7:O38" si="8">SumAssured*K7</f>
        <v>539</v>
      </c>
      <c r="P7" s="38">
        <f>Policy_Sched!$I7*(L7+I7)</f>
        <v>17.898776561204809</v>
      </c>
      <c r="Q7" s="42">
        <f t="shared" ref="Q7:Q38" si="9">O7+P7</f>
        <v>556.89877656120484</v>
      </c>
      <c r="R7" s="38">
        <f t="shared" ref="R7:R38" si="10">IF($A7=0,SizeExpsAcq0*H7,0)</f>
        <v>3357.4169909341481</v>
      </c>
      <c r="S7" s="38">
        <f t="shared" ref="S7:S38" si="11">IF($A7=0,SizeExpsCommInit0*J7,0)</f>
        <v>714.83398186829618</v>
      </c>
      <c r="T7" s="38">
        <f>Policy_Sched!$J7*J7</f>
        <v>0</v>
      </c>
      <c r="U7" s="42">
        <f t="shared" ref="U7:U38" si="12">M7*J7</f>
        <v>1035.7416990934148</v>
      </c>
      <c r="V7" s="42">
        <f t="shared" ref="V7:V38" si="13">S7+T7+R7+U7</f>
        <v>5107.9926718958595</v>
      </c>
      <c r="W7" s="38">
        <f>IF($A7&gt;LastT,0,N7+W8/(1+Policy_Sched!$K7))</f>
        <v>29328.122842484918</v>
      </c>
      <c r="X7" s="38">
        <f>IF($A7&gt;LastT,0,(-Q7+X8)/(1+Policy_Sched!$K7))</f>
        <v>-7241.3233650783741</v>
      </c>
      <c r="Y7" s="38">
        <f>IF($A7&gt;LastT,0,-V7+Y8/(1+Policy_Sched!$K7))</f>
        <v>-13132.781174244079</v>
      </c>
      <c r="Z7" s="42">
        <f t="shared" ref="Z7:Z38" si="14">W7+Y7+X7</f>
        <v>8954.0183031624656</v>
      </c>
      <c r="AA7" s="38">
        <f>IF($A7&gt;LastT,0,N7-V7-Q7/(1+Policy_Sched!$K7)+Z8/(1+Policy_Sched!$K7))</f>
        <v>8954.0183031624692</v>
      </c>
    </row>
    <row r="8" spans="1:27" x14ac:dyDescent="0.2">
      <c r="A8" s="30">
        <f t="shared" ref="A8:A39" si="15">A7+1</f>
        <v>1</v>
      </c>
      <c r="B8" s="31">
        <f t="shared" ref="B8:B39" si="16">IF($A8&gt;LastT,0,IF($B$3="exps",B7*(1+InflRate+IF($A8&gt;=T0,$G$3,0)),B7/(1+InflRate)))</f>
        <v>1</v>
      </c>
      <c r="C8" s="31">
        <f>IF($A8&gt;LastT,0,IF(AND($D$3&lt;&gt;0,$A8&gt;=T0,Policy_Sched!$B8&lt;LastAge),1+$D$3*$E$3,1))</f>
        <v>1</v>
      </c>
      <c r="D8" s="36">
        <f>IF($A8&gt;LastT,0,IF($C$3="up",MIN(Policy_Sched!$E8*(1+IF($A8&gt;=T0,$E$3,0)),$F$3),IF($C$3="down",MAX(Policy_Sched!$E8*(1-IF($A8&gt;=T0,$E$3,0)),Policy_Sched!$E8-$F$3),Policy_Sched!$E8)))</f>
        <v>0.08</v>
      </c>
      <c r="E8" s="37">
        <f t="shared" ref="E8:E39" si="17">IF($A8&gt;LastT,0,J7-K7-L7)</f>
        <v>0.91946100000000008</v>
      </c>
      <c r="F8" s="37">
        <f t="shared" si="0"/>
        <v>0</v>
      </c>
      <c r="G8" s="37">
        <f t="shared" si="1"/>
        <v>0.91946100000000008</v>
      </c>
      <c r="H8" s="37">
        <f t="shared" si="2"/>
        <v>0</v>
      </c>
      <c r="I8" s="37">
        <f t="shared" si="3"/>
        <v>0</v>
      </c>
      <c r="J8" s="37">
        <f t="shared" si="4"/>
        <v>0.91946100000000008</v>
      </c>
      <c r="K8" s="37">
        <f>IF($A8&gt;LastT,0,J8*Policy_Sched!$C8*Policy_Sched!$D8*C8)</f>
        <v>5.2777061399999993E-4</v>
      </c>
      <c r="L8" s="41">
        <f t="shared" si="5"/>
        <v>7.3556880000000005E-2</v>
      </c>
      <c r="M8" s="38">
        <f t="shared" si="6"/>
        <v>1035.7416990934148</v>
      </c>
      <c r="N8" s="38">
        <f t="shared" si="7"/>
        <v>3286.3098390130276</v>
      </c>
      <c r="O8" s="38">
        <f t="shared" si="8"/>
        <v>527.77061399999991</v>
      </c>
      <c r="P8" s="38">
        <f>Policy_Sched!$I8*(L8+I8)</f>
        <v>48.012298893801123</v>
      </c>
      <c r="Q8" s="42">
        <f t="shared" si="9"/>
        <v>575.78291289380104</v>
      </c>
      <c r="R8" s="38">
        <f t="shared" si="10"/>
        <v>0</v>
      </c>
      <c r="S8" s="38">
        <f t="shared" si="11"/>
        <v>0</v>
      </c>
      <c r="T8" s="38">
        <f>Policy_Sched!$J8*J8</f>
        <v>164.31549195065139</v>
      </c>
      <c r="U8" s="42">
        <f t="shared" si="12"/>
        <v>952.32409839013042</v>
      </c>
      <c r="V8" s="42">
        <f t="shared" si="13"/>
        <v>1116.6395903407818</v>
      </c>
      <c r="W8" s="38">
        <f>IF($A8&gt;LastT,0,N8+W9/(1+Policy_Sched!$K8))</f>
        <v>26140.262227140589</v>
      </c>
      <c r="X8" s="38">
        <f>IF($A8&gt;LastT,0,(-Q8+X9)/(1+Policy_Sched!$K8))</f>
        <v>-6793.0444389933446</v>
      </c>
      <c r="Y8" s="38">
        <f>IF($A8&gt;LastT,0,-V8+Y9/(1+Policy_Sched!$K8))</f>
        <v>-8145.1603298834425</v>
      </c>
      <c r="Z8" s="42">
        <f t="shared" si="14"/>
        <v>11202.057458263804</v>
      </c>
      <c r="AA8" s="38">
        <f>IF($A8&gt;LastT,0,N8-V8-Q8/(1+Policy_Sched!$K8)+Z9/(1+Policy_Sched!$K8))</f>
        <v>11202.0574582638</v>
      </c>
    </row>
    <row r="9" spans="1:27" x14ac:dyDescent="0.2">
      <c r="A9" s="30">
        <f t="shared" si="15"/>
        <v>2</v>
      </c>
      <c r="B9" s="31">
        <f t="shared" si="16"/>
        <v>1</v>
      </c>
      <c r="C9" s="31">
        <f>IF($A9&gt;LastT,0,IF(AND($D$3&lt;&gt;0,$A9&gt;=T0,Policy_Sched!$B9&lt;LastAge),1+$D$3*$E$3,1))</f>
        <v>1</v>
      </c>
      <c r="D9" s="36">
        <f>IF($A9&gt;LastT,0,IF($C$3="up",MIN(Policy_Sched!$E9*(1+IF($A9&gt;=T0,$E$3,0)),$F$3),IF($C$3="down",MAX(Policy_Sched!$E9*(1-IF($A9&gt;=T0,$E$3,0)),Policy_Sched!$E9-$F$3),Policy_Sched!$E9)))</f>
        <v>0.08</v>
      </c>
      <c r="E9" s="37">
        <f t="shared" si="17"/>
        <v>0.84537634938600004</v>
      </c>
      <c r="F9" s="37">
        <f t="shared" si="0"/>
        <v>0</v>
      </c>
      <c r="G9" s="37">
        <f t="shared" si="1"/>
        <v>0.84537634938600004</v>
      </c>
      <c r="H9" s="37">
        <f t="shared" si="2"/>
        <v>0</v>
      </c>
      <c r="I9" s="37">
        <f t="shared" si="3"/>
        <v>0</v>
      </c>
      <c r="J9" s="37">
        <f t="shared" si="4"/>
        <v>0.84537634938600004</v>
      </c>
      <c r="K9" s="37">
        <f>IF($A9&gt;LastT,0,J9*Policy_Sched!$C9*Policy_Sched!$D9*C9)</f>
        <v>5.2075183122177594E-4</v>
      </c>
      <c r="L9" s="41">
        <f t="shared" si="5"/>
        <v>6.7630107950880008E-2</v>
      </c>
      <c r="M9" s="38">
        <f t="shared" si="6"/>
        <v>1035.7416990934148</v>
      </c>
      <c r="N9" s="38">
        <f t="shared" si="7"/>
        <v>3021.5187100443918</v>
      </c>
      <c r="O9" s="38">
        <f t="shared" si="8"/>
        <v>520.75183122177589</v>
      </c>
      <c r="P9" s="38">
        <f>Policy_Sched!$I9*(L9+I9)</f>
        <v>70.276308665691758</v>
      </c>
      <c r="Q9" s="42">
        <f t="shared" si="9"/>
        <v>591.02813988746766</v>
      </c>
      <c r="R9" s="38">
        <f t="shared" si="10"/>
        <v>0</v>
      </c>
      <c r="S9" s="38">
        <f t="shared" si="11"/>
        <v>0</v>
      </c>
      <c r="T9" s="38">
        <f>Policy_Sched!$J9*J9</f>
        <v>151.07593550221958</v>
      </c>
      <c r="U9" s="42">
        <f t="shared" si="12"/>
        <v>875.59153648644394</v>
      </c>
      <c r="V9" s="42">
        <f t="shared" si="13"/>
        <v>1026.6674719886635</v>
      </c>
      <c r="W9" s="38">
        <f>IF($A9&gt;LastT,0,N9+W10/(1+Policy_Sched!$K9))</f>
        <v>23196.76167394947</v>
      </c>
      <c r="X9" s="38">
        <f>IF($A9&gt;LastT,0,(-Q9+X10)/(1+Policy_Sched!$K9))</f>
        <v>-6319.1571926844426</v>
      </c>
      <c r="Y9" s="38">
        <f>IF($A9&gt;LastT,0,-V9+Y10/(1+Policy_Sched!$K9))</f>
        <v>-7133.9485506357996</v>
      </c>
      <c r="Z9" s="42">
        <f t="shared" si="14"/>
        <v>9743.6559306292274</v>
      </c>
      <c r="AA9" s="38">
        <f>IF($A9&gt;LastT,0,N9-V9-Q9/(1+Policy_Sched!$K9)+Z10/(1+Policy_Sched!$K9))</f>
        <v>9743.6559306292274</v>
      </c>
    </row>
    <row r="10" spans="1:27" x14ac:dyDescent="0.2">
      <c r="A10" s="30">
        <f t="shared" si="15"/>
        <v>3</v>
      </c>
      <c r="B10" s="31">
        <f t="shared" si="16"/>
        <v>1</v>
      </c>
      <c r="C10" s="31">
        <f>IF($A10&gt;LastT,0,IF(AND($D$3&lt;&gt;0,$A10&gt;=T0,Policy_Sched!$B10&lt;LastAge),1+$D$3*$E$3,1))</f>
        <v>1</v>
      </c>
      <c r="D10" s="36">
        <f>IF($A10&gt;LastT,0,IF($C$3="up",MIN(Policy_Sched!$E10*(1+IF($A10&gt;=T0,$E$3,0)),$F$3),IF($C$3="down",MAX(Policy_Sched!$E10*(1-IF($A10&gt;=T0,$E$3,0)),Policy_Sched!$E10-$F$3),Policy_Sched!$E10)))</f>
        <v>0.08</v>
      </c>
      <c r="E10" s="37">
        <f t="shared" si="17"/>
        <v>0.77722548960389826</v>
      </c>
      <c r="F10" s="37">
        <f t="shared" si="0"/>
        <v>0</v>
      </c>
      <c r="G10" s="37">
        <f t="shared" si="1"/>
        <v>0.77722548960389826</v>
      </c>
      <c r="H10" s="37">
        <f t="shared" si="2"/>
        <v>0</v>
      </c>
      <c r="I10" s="37">
        <f t="shared" si="3"/>
        <v>0</v>
      </c>
      <c r="J10" s="37">
        <f t="shared" si="4"/>
        <v>0.77722548960389826</v>
      </c>
      <c r="K10" s="37">
        <f>IF($A10&gt;LastT,0,J10*Policy_Sched!$C10*Policy_Sched!$D10*C10)</f>
        <v>5.0053321530491046E-4</v>
      </c>
      <c r="L10" s="41">
        <f t="shared" si="5"/>
        <v>6.2178039168311862E-2</v>
      </c>
      <c r="M10" s="38">
        <f t="shared" si="6"/>
        <v>1035.7416990934148</v>
      </c>
      <c r="N10" s="38">
        <f t="shared" si="7"/>
        <v>2777.9359577154532</v>
      </c>
      <c r="O10" s="38">
        <f t="shared" si="8"/>
        <v>500.53321530491047</v>
      </c>
      <c r="P10" s="38">
        <f>Policy_Sched!$I10*(L10+I10)</f>
        <v>86.224901513695485</v>
      </c>
      <c r="Q10" s="42">
        <f t="shared" si="9"/>
        <v>586.75811681860591</v>
      </c>
      <c r="R10" s="38">
        <f t="shared" si="10"/>
        <v>0</v>
      </c>
      <c r="S10" s="38">
        <f t="shared" si="11"/>
        <v>0</v>
      </c>
      <c r="T10" s="38">
        <f>Policy_Sched!$J10*J10</f>
        <v>138.89679788577266</v>
      </c>
      <c r="U10" s="42">
        <f t="shared" si="12"/>
        <v>805.0048491810528</v>
      </c>
      <c r="V10" s="42">
        <f t="shared" si="13"/>
        <v>943.90164706682549</v>
      </c>
      <c r="W10" s="38">
        <f>IF($A10&gt;LastT,0,N10+W11/(1+Policy_Sched!$K10))</f>
        <v>20477.871608363654</v>
      </c>
      <c r="X10" s="38">
        <f>IF($A10&gt;LastT,0,(-Q10+X11)/(1+Policy_Sched!$K10))</f>
        <v>-5822.9164106872413</v>
      </c>
      <c r="Y10" s="38">
        <f>IF($A10&gt;LastT,0,-V10+Y11/(1+Policy_Sched!$K10))</f>
        <v>-6198.8902948268433</v>
      </c>
      <c r="Z10" s="42">
        <f t="shared" si="14"/>
        <v>8456.0649028495682</v>
      </c>
      <c r="AA10" s="38">
        <f>IF($A10&gt;LastT,0,N10-V10-Q10/(1+Policy_Sched!$K10)+Z11/(1+Policy_Sched!$K10))</f>
        <v>8456.0649028495664</v>
      </c>
    </row>
    <row r="11" spans="1:27" x14ac:dyDescent="0.2">
      <c r="A11" s="30">
        <f t="shared" si="15"/>
        <v>4</v>
      </c>
      <c r="B11" s="31">
        <f t="shared" si="16"/>
        <v>1</v>
      </c>
      <c r="C11" s="31">
        <f>IF($A11&gt;LastT,0,IF(AND($D$3&lt;&gt;0,$A11&gt;=T0,Policy_Sched!$B11&lt;LastAge),1+$D$3*$E$3,1))</f>
        <v>1</v>
      </c>
      <c r="D11" s="36">
        <f>IF($A11&gt;LastT,0,IF($C$3="up",MIN(Policy_Sched!$E11*(1+IF($A11&gt;=T0,$E$3,0)),$F$3),IF($C$3="down",MAX(Policy_Sched!$E11*(1-IF($A11&gt;=T0,$E$3,0)),Policy_Sched!$E11-$F$3),Policy_Sched!$E11)))</f>
        <v>0.08</v>
      </c>
      <c r="E11" s="37">
        <f t="shared" si="17"/>
        <v>0.71454691722028141</v>
      </c>
      <c r="F11" s="37">
        <f t="shared" si="0"/>
        <v>0</v>
      </c>
      <c r="G11" s="37">
        <f t="shared" si="1"/>
        <v>0.71454691722028141</v>
      </c>
      <c r="H11" s="37">
        <f t="shared" si="2"/>
        <v>0</v>
      </c>
      <c r="I11" s="37">
        <f t="shared" si="3"/>
        <v>0</v>
      </c>
      <c r="J11" s="37">
        <f t="shared" si="4"/>
        <v>0.71454691722028141</v>
      </c>
      <c r="K11" s="37">
        <f>IF($A11&gt;LastT,0,J11*Policy_Sched!$C11*Policy_Sched!$D11*C11)</f>
        <v>4.7517369995148708E-4</v>
      </c>
      <c r="L11" s="41">
        <f t="shared" si="5"/>
        <v>5.7163753377622514E-2</v>
      </c>
      <c r="M11" s="38">
        <f t="shared" si="6"/>
        <v>1035.7416990934148</v>
      </c>
      <c r="N11" s="38">
        <f t="shared" si="7"/>
        <v>2553.9120903414478</v>
      </c>
      <c r="O11" s="38">
        <f t="shared" si="8"/>
        <v>475.17369995148709</v>
      </c>
      <c r="P11" s="38">
        <f>Policy_Sched!$I11*(L11+I11)</f>
        <v>97.727912937982495</v>
      </c>
      <c r="Q11" s="42">
        <f t="shared" si="9"/>
        <v>572.90161288946956</v>
      </c>
      <c r="R11" s="38">
        <f t="shared" si="10"/>
        <v>0</v>
      </c>
      <c r="S11" s="38">
        <f t="shared" si="11"/>
        <v>0</v>
      </c>
      <c r="T11" s="38">
        <f>Policy_Sched!$J11*J11</f>
        <v>127.6956045170724</v>
      </c>
      <c r="U11" s="42">
        <f t="shared" si="12"/>
        <v>740.08603812369586</v>
      </c>
      <c r="V11" s="42">
        <f t="shared" si="13"/>
        <v>867.78164264076827</v>
      </c>
      <c r="W11" s="38">
        <f>IF($A11&gt;LastT,0,N11+W12/(1+Policy_Sched!$K11))</f>
        <v>17965.434685407919</v>
      </c>
      <c r="X11" s="38">
        <f>IF($A11&gt;LastT,0,(-Q11+X12)/(1+Policy_Sched!$K11))</f>
        <v>-5323.5020400289432</v>
      </c>
      <c r="Y11" s="38">
        <f>IF($A11&gt;LastT,0,-V11+Y12/(1+Policy_Sched!$K11))</f>
        <v>-5333.8134774764176</v>
      </c>
      <c r="Z11" s="42">
        <f t="shared" si="14"/>
        <v>7308.1191679025578</v>
      </c>
      <c r="AA11" s="38">
        <f>IF($A11&gt;LastT,0,N11-V11-Q11/(1+Policy_Sched!$K11)+Z12/(1+Policy_Sched!$K11))</f>
        <v>7308.1191679025578</v>
      </c>
    </row>
    <row r="12" spans="1:27" x14ac:dyDescent="0.2">
      <c r="A12" s="30">
        <f t="shared" si="15"/>
        <v>5</v>
      </c>
      <c r="B12" s="31">
        <f t="shared" si="16"/>
        <v>1</v>
      </c>
      <c r="C12" s="31">
        <f>IF($A12&gt;LastT,0,IF(AND($D$3&lt;&gt;0,$A12&gt;=T0,Policy_Sched!$B12&lt;LastAge),1+$D$3*$E$3,1))</f>
        <v>1</v>
      </c>
      <c r="D12" s="36">
        <f>IF($A12&gt;LastT,0,IF($C$3="up",MIN(Policy_Sched!$E12*(1+IF($A12&gt;=T0,$E$3,0)),$F$3),IF($C$3="down",MAX(Policy_Sched!$E12*(1-IF($A12&gt;=T0,$E$3,0)),Policy_Sched!$E12-$F$3),Policy_Sched!$E12)))</f>
        <v>0.08</v>
      </c>
      <c r="E12" s="37">
        <f t="shared" si="17"/>
        <v>0.6569079901427074</v>
      </c>
      <c r="F12" s="37">
        <f t="shared" si="0"/>
        <v>0</v>
      </c>
      <c r="G12" s="37">
        <f t="shared" si="1"/>
        <v>0.6569079901427074</v>
      </c>
      <c r="H12" s="37">
        <f t="shared" si="2"/>
        <v>0</v>
      </c>
      <c r="I12" s="37">
        <f t="shared" si="3"/>
        <v>0</v>
      </c>
      <c r="J12" s="37">
        <f t="shared" si="4"/>
        <v>0.6569079901427074</v>
      </c>
      <c r="K12" s="37">
        <f>IF($A12&gt;LastT,0,J12*Policy_Sched!$C12*Policy_Sched!$D12*C12)</f>
        <v>4.5523723716889622E-4</v>
      </c>
      <c r="L12" s="41">
        <f t="shared" si="5"/>
        <v>5.2552639211416591E-2</v>
      </c>
      <c r="M12" s="38">
        <f t="shared" si="6"/>
        <v>1035.7416990934148</v>
      </c>
      <c r="N12" s="38">
        <f t="shared" si="7"/>
        <v>2347.9007715740549</v>
      </c>
      <c r="O12" s="38">
        <f t="shared" si="8"/>
        <v>455.23723716889623</v>
      </c>
      <c r="P12" s="38">
        <f>Policy_Sched!$I12*(L12+I12)</f>
        <v>105.47305945861274</v>
      </c>
      <c r="Q12" s="42">
        <f t="shared" si="9"/>
        <v>560.71029662750902</v>
      </c>
      <c r="R12" s="38">
        <f t="shared" si="10"/>
        <v>0</v>
      </c>
      <c r="S12" s="38">
        <f t="shared" si="11"/>
        <v>0</v>
      </c>
      <c r="T12" s="38">
        <f>Policy_Sched!$J12*J12</f>
        <v>0</v>
      </c>
      <c r="U12" s="42">
        <f t="shared" si="12"/>
        <v>680.3869978584479</v>
      </c>
      <c r="V12" s="42">
        <f t="shared" si="13"/>
        <v>680.3869978584479</v>
      </c>
      <c r="W12" s="38">
        <f>IF($A12&gt;LastT,0,N12+W13/(1+Policy_Sched!$K12))</f>
        <v>15642.695433992467</v>
      </c>
      <c r="X12" s="38">
        <f>IF($A12&gt;LastT,0,(-Q12+X13)/(1+Policy_Sched!$K12))</f>
        <v>-4830.452957739908</v>
      </c>
      <c r="Y12" s="38">
        <f>IF($A12&gt;LastT,0,-V12+Y13/(1+Policy_Sched!$K12))</f>
        <v>-4533.0223123581836</v>
      </c>
      <c r="Z12" s="42">
        <f t="shared" si="14"/>
        <v>6279.2201638943752</v>
      </c>
      <c r="AA12" s="38">
        <f>IF($A12&gt;LastT,0,N12-V12-Q12/(1+Policy_Sched!$K12)+Z13/(1+Policy_Sched!$K12))</f>
        <v>6279.2201638943734</v>
      </c>
    </row>
    <row r="13" spans="1:27" x14ac:dyDescent="0.2">
      <c r="A13" s="30">
        <f t="shared" si="15"/>
        <v>6</v>
      </c>
      <c r="B13" s="31">
        <f t="shared" si="16"/>
        <v>1</v>
      </c>
      <c r="C13" s="31">
        <f>IF($A13&gt;LastT,0,IF(AND($D$3&lt;&gt;0,$A13&gt;=T0,Policy_Sched!$B13&lt;LastAge),1+$D$3*$E$3,1))</f>
        <v>1</v>
      </c>
      <c r="D13" s="36">
        <f>IF($A13&gt;LastT,0,IF($C$3="up",MIN(Policy_Sched!$E13*(1+IF($A13&gt;=T0,$E$3,0)),$F$3),IF($C$3="down",MAX(Policy_Sched!$E13*(1-IF($A13&gt;=T0,$E$3,0)),Policy_Sched!$E13-$F$3),Policy_Sched!$E13)))</f>
        <v>0.08</v>
      </c>
      <c r="E13" s="37">
        <f t="shared" si="17"/>
        <v>0.60390011369412189</v>
      </c>
      <c r="F13" s="37">
        <f t="shared" si="0"/>
        <v>0</v>
      </c>
      <c r="G13" s="37">
        <f t="shared" si="1"/>
        <v>0.60390011369412189</v>
      </c>
      <c r="H13" s="37">
        <f t="shared" si="2"/>
        <v>0</v>
      </c>
      <c r="I13" s="37">
        <f t="shared" si="3"/>
        <v>0</v>
      </c>
      <c r="J13" s="37">
        <f t="shared" si="4"/>
        <v>0.60390011369412189</v>
      </c>
      <c r="K13" s="37">
        <f>IF($A13&gt;LastT,0,J13*Policy_Sched!$C13*Policy_Sched!$D13*C13)</f>
        <v>4.4386658356517959E-4</v>
      </c>
      <c r="L13" s="41">
        <f t="shared" si="5"/>
        <v>4.8312009095529754E-2</v>
      </c>
      <c r="M13" s="38">
        <f t="shared" si="6"/>
        <v>1035.7416990934148</v>
      </c>
      <c r="N13" s="38">
        <f t="shared" si="7"/>
        <v>2158.4416146134295</v>
      </c>
      <c r="O13" s="38">
        <f t="shared" si="8"/>
        <v>443.86658356517961</v>
      </c>
      <c r="P13" s="38">
        <f>Policy_Sched!$I13*(L13+I13)</f>
        <v>109.32633187232365</v>
      </c>
      <c r="Q13" s="42">
        <f t="shared" si="9"/>
        <v>553.1929154375033</v>
      </c>
      <c r="R13" s="38">
        <f t="shared" si="10"/>
        <v>0</v>
      </c>
      <c r="S13" s="38">
        <f t="shared" si="11"/>
        <v>0</v>
      </c>
      <c r="T13" s="38">
        <f>Policy_Sched!$J13*J13</f>
        <v>0</v>
      </c>
      <c r="U13" s="42">
        <f t="shared" si="12"/>
        <v>625.48452984025619</v>
      </c>
      <c r="V13" s="42">
        <f t="shared" si="13"/>
        <v>625.48452984025619</v>
      </c>
      <c r="W13" s="38">
        <f>IF($A13&gt;LastT,0,N13+W14/(1+Policy_Sched!$K13))</f>
        <v>13494.216582354686</v>
      </c>
      <c r="X13" s="38">
        <f>IF($A13&gt;LastT,0,(-Q13+X14)/(1+Policy_Sched!$K13))</f>
        <v>-4342.1994554784969</v>
      </c>
      <c r="Y13" s="38">
        <f>IF($A13&gt;LastT,0,-V13+Y14/(1+Policy_Sched!$K13))</f>
        <v>-3910.4248442172311</v>
      </c>
      <c r="Z13" s="42">
        <f t="shared" si="14"/>
        <v>5241.5922826589567</v>
      </c>
      <c r="AA13" s="38">
        <f>IF($A13&gt;LastT,0,N13-V13-Q13/(1+Policy_Sched!$K13)+Z14/(1+Policy_Sched!$K13))</f>
        <v>5241.5922826589576</v>
      </c>
    </row>
    <row r="14" spans="1:27" x14ac:dyDescent="0.2">
      <c r="A14" s="30">
        <f t="shared" si="15"/>
        <v>7</v>
      </c>
      <c r="B14" s="31">
        <f t="shared" si="16"/>
        <v>1</v>
      </c>
      <c r="C14" s="31">
        <f>IF($A14&gt;LastT,0,IF(AND($D$3&lt;&gt;0,$A14&gt;=T0,Policy_Sched!$B14&lt;LastAge),1+$D$3*$E$3,1))</f>
        <v>1</v>
      </c>
      <c r="D14" s="36">
        <f>IF($A14&gt;LastT,0,IF($C$3="up",MIN(Policy_Sched!$E14*(1+IF($A14&gt;=T0,$E$3,0)),$F$3),IF($C$3="down",MAX(Policy_Sched!$E14*(1-IF($A14&gt;=T0,$E$3,0)),Policy_Sched!$E14-$F$3),Policy_Sched!$E14)))</f>
        <v>0.08</v>
      </c>
      <c r="E14" s="37">
        <f t="shared" si="17"/>
        <v>0.55514423801502688</v>
      </c>
      <c r="F14" s="37">
        <f t="shared" si="0"/>
        <v>0</v>
      </c>
      <c r="G14" s="37">
        <f t="shared" si="1"/>
        <v>0.55514423801502688</v>
      </c>
      <c r="H14" s="37">
        <f t="shared" si="2"/>
        <v>0</v>
      </c>
      <c r="I14" s="37">
        <f t="shared" si="3"/>
        <v>0</v>
      </c>
      <c r="J14" s="37">
        <f t="shared" si="4"/>
        <v>0.55514423801502688</v>
      </c>
      <c r="K14" s="37">
        <f>IF($A14&gt;LastT,0,J14*Policy_Sched!$C14*Policy_Sched!$D14*C14)</f>
        <v>4.4300510193599139E-4</v>
      </c>
      <c r="L14" s="41">
        <f t="shared" si="5"/>
        <v>4.4411539041202153E-2</v>
      </c>
      <c r="M14" s="38">
        <f t="shared" si="6"/>
        <v>1035.7416990934148</v>
      </c>
      <c r="N14" s="38">
        <f t="shared" si="7"/>
        <v>1984.1798308576142</v>
      </c>
      <c r="O14" s="38">
        <f t="shared" si="8"/>
        <v>443.00510193599138</v>
      </c>
      <c r="P14" s="38">
        <f>Policy_Sched!$I14*(L14+I14)</f>
        <v>108.84304217168557</v>
      </c>
      <c r="Q14" s="42">
        <f t="shared" si="9"/>
        <v>551.84814410767694</v>
      </c>
      <c r="R14" s="38">
        <f t="shared" si="10"/>
        <v>0</v>
      </c>
      <c r="S14" s="38">
        <f t="shared" si="11"/>
        <v>0</v>
      </c>
      <c r="T14" s="38">
        <f>Policy_Sched!$J14*J14</f>
        <v>0</v>
      </c>
      <c r="U14" s="42">
        <f t="shared" si="12"/>
        <v>574.986036323603</v>
      </c>
      <c r="V14" s="42">
        <f t="shared" si="13"/>
        <v>574.986036323603</v>
      </c>
      <c r="W14" s="38">
        <f>IF($A14&gt;LastT,0,N14+W15/(1+Policy_Sched!$K14))</f>
        <v>11505.811592257374</v>
      </c>
      <c r="X14" s="38">
        <f>IF($A14&gt;LastT,0,(-Q14+X15)/(1+Policy_Sched!$K14))</f>
        <v>-3854.1395318731711</v>
      </c>
      <c r="Y14" s="38">
        <f>IF($A14&gt;LastT,0,-V14+Y15/(1+Policy_Sched!$K14))</f>
        <v>-3334.2144190926292</v>
      </c>
      <c r="Z14" s="42">
        <f t="shared" si="14"/>
        <v>4317.457641291574</v>
      </c>
      <c r="AA14" s="38">
        <f>IF($A14&gt;LastT,0,N14-V14-Q14/(1+Policy_Sched!$K14)+Z15/(1+Policy_Sched!$K14))</f>
        <v>4317.457641291574</v>
      </c>
    </row>
    <row r="15" spans="1:27" x14ac:dyDescent="0.2">
      <c r="A15" s="30">
        <f t="shared" si="15"/>
        <v>8</v>
      </c>
      <c r="B15" s="31">
        <f t="shared" si="16"/>
        <v>1</v>
      </c>
      <c r="C15" s="31">
        <f>IF($A15&gt;LastT,0,IF(AND($D$3&lt;&gt;0,$A15&gt;=T0,Policy_Sched!$B15&lt;LastAge),1+$D$3*$E$3,1))</f>
        <v>1</v>
      </c>
      <c r="D15" s="36">
        <f>IF($A15&gt;LastT,0,IF($C$3="up",MIN(Policy_Sched!$E15*(1+IF($A15&gt;=T0,$E$3,0)),$F$3),IF($C$3="down",MAX(Policy_Sched!$E15*(1-IF($A15&gt;=T0,$E$3,0)),Policy_Sched!$E15-$F$3),Policy_Sched!$E15)))</f>
        <v>0.08</v>
      </c>
      <c r="E15" s="37">
        <f t="shared" si="17"/>
        <v>0.51028969387188883</v>
      </c>
      <c r="F15" s="37">
        <f t="shared" si="0"/>
        <v>0</v>
      </c>
      <c r="G15" s="37">
        <f t="shared" si="1"/>
        <v>0.51028969387188883</v>
      </c>
      <c r="H15" s="37">
        <f t="shared" si="2"/>
        <v>0</v>
      </c>
      <c r="I15" s="37">
        <f t="shared" si="3"/>
        <v>0</v>
      </c>
      <c r="J15" s="37">
        <f t="shared" si="4"/>
        <v>0.51028969387188883</v>
      </c>
      <c r="K15" s="37">
        <f>IF($A15&gt;LastT,0,J15*Policy_Sched!$C15*Policy_Sched!$D15*C15)</f>
        <v>4.4650348213790269E-4</v>
      </c>
      <c r="L15" s="41">
        <f t="shared" si="5"/>
        <v>4.0823175509751106E-2</v>
      </c>
      <c r="M15" s="38">
        <f t="shared" si="6"/>
        <v>1035.7416990934148</v>
      </c>
      <c r="N15" s="38">
        <f t="shared" si="7"/>
        <v>1823.862068883981</v>
      </c>
      <c r="O15" s="38">
        <f t="shared" si="8"/>
        <v>446.50348213790267</v>
      </c>
      <c r="P15" s="38">
        <f>Policy_Sched!$I15*(L15+I15)</f>
        <v>103.81919443332401</v>
      </c>
      <c r="Q15" s="42">
        <f t="shared" si="9"/>
        <v>550.32267657122668</v>
      </c>
      <c r="R15" s="38">
        <f t="shared" si="10"/>
        <v>0</v>
      </c>
      <c r="S15" s="38">
        <f t="shared" si="11"/>
        <v>0</v>
      </c>
      <c r="T15" s="38">
        <f>Policy_Sched!$J15*J15</f>
        <v>0</v>
      </c>
      <c r="U15" s="42">
        <f t="shared" si="12"/>
        <v>528.52831456072863</v>
      </c>
      <c r="V15" s="42">
        <f t="shared" si="13"/>
        <v>528.52831456072863</v>
      </c>
      <c r="W15" s="38">
        <f>IF($A15&gt;LastT,0,N15+W16/(1+Policy_Sched!$K15))</f>
        <v>9664.4562378207556</v>
      </c>
      <c r="X15" s="38">
        <f>IF($A15&gt;LastT,0,(-Q15+X16)/(1+Policy_Sched!$K15))</f>
        <v>-3360.1034807435913</v>
      </c>
      <c r="Y15" s="38">
        <f>IF($A15&gt;LastT,0,-V15+Y16/(1+Policy_Sched!$K15))</f>
        <v>-2800.6168085105614</v>
      </c>
      <c r="Z15" s="42">
        <f t="shared" si="14"/>
        <v>3503.7359485666025</v>
      </c>
      <c r="AA15" s="38">
        <f>IF($A15&gt;LastT,0,N15-V15-Q15/(1+Policy_Sched!$K15)+Z16/(1+Policy_Sched!$K15))</f>
        <v>3503.7359485666016</v>
      </c>
    </row>
    <row r="16" spans="1:27" x14ac:dyDescent="0.2">
      <c r="A16" s="30">
        <f t="shared" si="15"/>
        <v>9</v>
      </c>
      <c r="B16" s="31">
        <f t="shared" si="16"/>
        <v>1</v>
      </c>
      <c r="C16" s="31">
        <f>IF($A16&gt;LastT,0,IF(AND($D$3&lt;&gt;0,$A16&gt;=T0,Policy_Sched!$B16&lt;LastAge),1+$D$3*$E$3,1))</f>
        <v>1</v>
      </c>
      <c r="D16" s="36">
        <f>IF($A16&gt;LastT,0,IF($C$3="up",MIN(Policy_Sched!$E16*(1+IF($A16&gt;=T0,$E$3,0)),$F$3),IF($C$3="down",MAX(Policy_Sched!$E16*(1-IF($A16&gt;=T0,$E$3,0)),Policy_Sched!$E16-$F$3),Policy_Sched!$E16)))</f>
        <v>0.08</v>
      </c>
      <c r="E16" s="37">
        <f t="shared" si="17"/>
        <v>0.46902001487999978</v>
      </c>
      <c r="F16" s="37">
        <f t="shared" si="0"/>
        <v>0</v>
      </c>
      <c r="G16" s="37">
        <f t="shared" si="1"/>
        <v>0.46902001487999978</v>
      </c>
      <c r="H16" s="37">
        <f t="shared" si="2"/>
        <v>0</v>
      </c>
      <c r="I16" s="37">
        <f t="shared" si="3"/>
        <v>0</v>
      </c>
      <c r="J16" s="37">
        <f t="shared" si="4"/>
        <v>0.46902001487999978</v>
      </c>
      <c r="K16" s="37">
        <f>IF($A16&gt;LastT,0,J16*Policy_Sched!$C16*Policy_Sched!$D16*C16)</f>
        <v>4.4650705416575984E-4</v>
      </c>
      <c r="L16" s="41">
        <f t="shared" si="5"/>
        <v>3.7521601190399982E-2</v>
      </c>
      <c r="M16" s="38">
        <f t="shared" si="6"/>
        <v>1035.7416990934148</v>
      </c>
      <c r="N16" s="38">
        <f t="shared" si="7"/>
        <v>1676.3572240629887</v>
      </c>
      <c r="O16" s="38">
        <f t="shared" si="8"/>
        <v>446.50705416575983</v>
      </c>
      <c r="P16" s="38">
        <f>Policy_Sched!$I16*(L16+I16)</f>
        <v>94.813057336543238</v>
      </c>
      <c r="Q16" s="42">
        <f t="shared" si="9"/>
        <v>541.32011150230301</v>
      </c>
      <c r="R16" s="38">
        <f t="shared" si="10"/>
        <v>0</v>
      </c>
      <c r="S16" s="38">
        <f t="shared" si="11"/>
        <v>0</v>
      </c>
      <c r="T16" s="38">
        <f>Policy_Sched!$J16*J16</f>
        <v>0</v>
      </c>
      <c r="U16" s="42">
        <f t="shared" si="12"/>
        <v>485.78358712062965</v>
      </c>
      <c r="V16" s="42">
        <f t="shared" si="13"/>
        <v>485.78358712062965</v>
      </c>
      <c r="W16" s="38">
        <f>IF($A16&gt;LastT,0,N16+W17/(1+Policy_Sched!$K16))</f>
        <v>7958.2030814708251</v>
      </c>
      <c r="X16" s="38">
        <f>IF($A16&gt;LastT,0,(-Q16+X17)/(1+Policy_Sched!$K16))</f>
        <v>-2860.1823563835183</v>
      </c>
      <c r="Y16" s="38">
        <f>IF($A16&gt;LastT,0,-V16+Y17/(1+Policy_Sched!$K16))</f>
        <v>-2306.1698213590803</v>
      </c>
      <c r="Z16" s="42">
        <f t="shared" si="14"/>
        <v>2791.8509037282261</v>
      </c>
      <c r="AA16" s="38">
        <f>IF($A16&gt;LastT,0,N16-V16-Q16/(1+Policy_Sched!$K16)+Z17/(1+Policy_Sched!$K16))</f>
        <v>2791.8509037282261</v>
      </c>
    </row>
    <row r="17" spans="1:27" x14ac:dyDescent="0.2">
      <c r="A17" s="30">
        <f t="shared" si="15"/>
        <v>10</v>
      </c>
      <c r="B17" s="31">
        <f t="shared" si="16"/>
        <v>1</v>
      </c>
      <c r="C17" s="31">
        <f>IF($A17&gt;LastT,0,IF(AND($D$3&lt;&gt;0,$A17&gt;=T0,Policy_Sched!$B17&lt;LastAge),1+$D$3*$E$3,1))</f>
        <v>1</v>
      </c>
      <c r="D17" s="36">
        <f>IF($A17&gt;LastT,0,IF($C$3="up",MIN(Policy_Sched!$E17*(1+IF($A17&gt;=T0,$E$3,0)),$F$3),IF($C$3="down",MAX(Policy_Sched!$E17*(1-IF($A17&gt;=T0,$E$3,0)),Policy_Sched!$E17-$F$3),Policy_Sched!$E17)))</f>
        <v>0.08</v>
      </c>
      <c r="E17" s="37">
        <f t="shared" si="17"/>
        <v>0.43105190663543402</v>
      </c>
      <c r="F17" s="37">
        <f t="shared" si="0"/>
        <v>0</v>
      </c>
      <c r="G17" s="37">
        <f t="shared" si="1"/>
        <v>0.43105190663543402</v>
      </c>
      <c r="H17" s="37">
        <f t="shared" si="2"/>
        <v>0</v>
      </c>
      <c r="I17" s="37">
        <f t="shared" si="3"/>
        <v>0</v>
      </c>
      <c r="J17" s="37">
        <f t="shared" si="4"/>
        <v>0.43105190663543402</v>
      </c>
      <c r="K17" s="37">
        <f>IF($A17&gt;LastT,0,J17*Policy_Sched!$C17*Policy_Sched!$D17*C17)</f>
        <v>4.4355241192786161E-4</v>
      </c>
      <c r="L17" s="41">
        <f t="shared" si="5"/>
        <v>3.448415253083472E-2</v>
      </c>
      <c r="M17" s="38">
        <f t="shared" si="6"/>
        <v>1035.7416990934148</v>
      </c>
      <c r="N17" s="38">
        <f t="shared" si="7"/>
        <v>1540.6527540606417</v>
      </c>
      <c r="O17" s="38">
        <f t="shared" si="8"/>
        <v>443.55241192786161</v>
      </c>
      <c r="P17" s="38">
        <f>Policy_Sched!$I17*(L17+I17)</f>
        <v>82.714022797032527</v>
      </c>
      <c r="Q17" s="42">
        <f t="shared" si="9"/>
        <v>526.26643472489411</v>
      </c>
      <c r="R17" s="38">
        <f t="shared" si="10"/>
        <v>0</v>
      </c>
      <c r="S17" s="38">
        <f t="shared" si="11"/>
        <v>0</v>
      </c>
      <c r="T17" s="38">
        <f>Policy_Sched!$J17*J17</f>
        <v>0</v>
      </c>
      <c r="U17" s="42">
        <f t="shared" si="12"/>
        <v>446.45843417604044</v>
      </c>
      <c r="V17" s="42">
        <f t="shared" si="13"/>
        <v>446.45843417604044</v>
      </c>
      <c r="W17" s="38">
        <f>IF($A17&gt;LastT,0,N17+W18/(1+Policy_Sched!$K17))</f>
        <v>6376.0735452689532</v>
      </c>
      <c r="X17" s="38">
        <f>IF($A17&gt;LastT,0,(-Q17+X18)/(1+Policy_Sched!$K17))</f>
        <v>-2361.764980226968</v>
      </c>
      <c r="Y17" s="38">
        <f>IF($A17&gt;LastT,0,-V17+Y18/(1+Policy_Sched!$K17))</f>
        <v>-1847.6920277520271</v>
      </c>
      <c r="Z17" s="42">
        <f t="shared" si="14"/>
        <v>2166.6165372899577</v>
      </c>
      <c r="AA17" s="38">
        <f>IF($A17&gt;LastT,0,N17-V17-Q17/(1+Policy_Sched!$K17)+Z18/(1+Policy_Sched!$K17))</f>
        <v>2166.6165372899577</v>
      </c>
    </row>
    <row r="18" spans="1:27" x14ac:dyDescent="0.2">
      <c r="A18" s="30">
        <f t="shared" si="15"/>
        <v>11</v>
      </c>
      <c r="B18" s="31">
        <f t="shared" si="16"/>
        <v>1</v>
      </c>
      <c r="C18" s="31">
        <f>IF($A18&gt;LastT,0,IF(AND($D$3&lt;&gt;0,$A18&gt;=T0,Policy_Sched!$B18&lt;LastAge),1+$D$3*$E$3,1))</f>
        <v>1</v>
      </c>
      <c r="D18" s="36">
        <f>IF($A18&gt;LastT,0,IF($C$3="up",MIN(Policy_Sched!$E18*(1+IF($A18&gt;=T0,$E$3,0)),$F$3),IF($C$3="down",MAX(Policy_Sched!$E18*(1-IF($A18&gt;=T0,$E$3,0)),Policy_Sched!$E18-$F$3),Policy_Sched!$E18)))</f>
        <v>0.08</v>
      </c>
      <c r="E18" s="37">
        <f t="shared" si="17"/>
        <v>0.39612420169267148</v>
      </c>
      <c r="F18" s="37">
        <f t="shared" si="0"/>
        <v>0</v>
      </c>
      <c r="G18" s="37">
        <f t="shared" si="1"/>
        <v>0.39612420169267148</v>
      </c>
      <c r="H18" s="37">
        <f t="shared" si="2"/>
        <v>0</v>
      </c>
      <c r="I18" s="37">
        <f t="shared" si="3"/>
        <v>0</v>
      </c>
      <c r="J18" s="37">
        <f t="shared" si="4"/>
        <v>0.39612420169267148</v>
      </c>
      <c r="K18" s="37">
        <f>IF($A18&gt;LastT,0,J18*Policy_Sched!$C18*Policy_Sched!$D18*C18)</f>
        <v>4.4088623648394336E-4</v>
      </c>
      <c r="L18" s="41">
        <f t="shared" si="5"/>
        <v>3.1689936135413717E-2</v>
      </c>
      <c r="M18" s="38">
        <f t="shared" si="6"/>
        <v>1035.7416990934148</v>
      </c>
      <c r="N18" s="38">
        <f t="shared" si="7"/>
        <v>1415.8152020518621</v>
      </c>
      <c r="O18" s="38">
        <f t="shared" si="8"/>
        <v>440.88623648394338</v>
      </c>
      <c r="P18" s="38">
        <f>Policy_Sched!$I18*(L18+I18)</f>
        <v>68.122483173062975</v>
      </c>
      <c r="Q18" s="42">
        <f t="shared" si="9"/>
        <v>509.00871965700634</v>
      </c>
      <c r="R18" s="38">
        <f t="shared" si="10"/>
        <v>0</v>
      </c>
      <c r="S18" s="38">
        <f t="shared" si="11"/>
        <v>0</v>
      </c>
      <c r="T18" s="38">
        <f>Policy_Sched!$J18*J18</f>
        <v>0</v>
      </c>
      <c r="U18" s="42">
        <f t="shared" si="12"/>
        <v>410.2823537131901</v>
      </c>
      <c r="V18" s="42">
        <f t="shared" si="13"/>
        <v>410.2823537131901</v>
      </c>
      <c r="W18" s="38">
        <f>IF($A18&gt;LastT,0,N18+W19/(1+Policy_Sched!$K18))</f>
        <v>4907.9521030764354</v>
      </c>
      <c r="X18" s="38">
        <f>IF($A18&gt;LastT,0,(-Q18+X19)/(1+Policy_Sched!$K18))</f>
        <v>-1870.9250202054782</v>
      </c>
      <c r="Y18" s="38">
        <f>IF($A18&gt;LastT,0,-V18+Y19/(1+Policy_Sched!$K18))</f>
        <v>-1422.2520974796262</v>
      </c>
      <c r="Z18" s="42">
        <f t="shared" si="14"/>
        <v>1614.774985391331</v>
      </c>
      <c r="AA18" s="38">
        <f>IF($A18&gt;LastT,0,N18-V18-Q18/(1+Policy_Sched!$K18)+Z19/(1+Policy_Sched!$K18))</f>
        <v>1614.7749853913315</v>
      </c>
    </row>
    <row r="19" spans="1:27" x14ac:dyDescent="0.2">
      <c r="A19" s="30">
        <f t="shared" si="15"/>
        <v>12</v>
      </c>
      <c r="B19" s="31">
        <f t="shared" si="16"/>
        <v>1</v>
      </c>
      <c r="C19" s="31">
        <f>IF($A19&gt;LastT,0,IF(AND($D$3&lt;&gt;0,$A19&gt;=T0,Policy_Sched!$B19&lt;LastAge),1+$D$3*$E$3,1))</f>
        <v>1</v>
      </c>
      <c r="D19" s="36">
        <f>IF($A19&gt;LastT,0,IF($C$3="up",MIN(Policy_Sched!$E19*(1+IF($A19&gt;=T0,$E$3,0)),$F$3),IF($C$3="down",MAX(Policy_Sched!$E19*(1-IF($A19&gt;=T0,$E$3,0)),Policy_Sched!$E19-$F$3),Policy_Sched!$E19)))</f>
        <v>0.08</v>
      </c>
      <c r="E19" s="37">
        <f t="shared" si="17"/>
        <v>0.36399337932077386</v>
      </c>
      <c r="F19" s="37">
        <f t="shared" si="0"/>
        <v>0</v>
      </c>
      <c r="G19" s="37">
        <f t="shared" si="1"/>
        <v>0.36399337932077386</v>
      </c>
      <c r="H19" s="37">
        <f t="shared" si="2"/>
        <v>0</v>
      </c>
      <c r="I19" s="37">
        <f t="shared" si="3"/>
        <v>0</v>
      </c>
      <c r="J19" s="37">
        <f t="shared" si="4"/>
        <v>0.36399337932077386</v>
      </c>
      <c r="K19" s="37">
        <f>IF($A19&gt;LastT,0,J19*Policy_Sched!$C19*Policy_Sched!$D19*C19)</f>
        <v>4.4079598235745711E-4</v>
      </c>
      <c r="L19" s="41">
        <f t="shared" si="5"/>
        <v>2.911947034566191E-2</v>
      </c>
      <c r="M19" s="38">
        <f t="shared" si="6"/>
        <v>1035.7416990934148</v>
      </c>
      <c r="N19" s="38">
        <f t="shared" si="7"/>
        <v>1300.9741835678296</v>
      </c>
      <c r="O19" s="38">
        <f t="shared" si="8"/>
        <v>440.79598235745709</v>
      </c>
      <c r="P19" s="38">
        <f>Policy_Sched!$I19*(L19+I19)</f>
        <v>51.277255021224853</v>
      </c>
      <c r="Q19" s="42">
        <f t="shared" si="9"/>
        <v>492.07323737868194</v>
      </c>
      <c r="R19" s="38">
        <f t="shared" si="10"/>
        <v>0</v>
      </c>
      <c r="S19" s="38">
        <f t="shared" si="11"/>
        <v>0</v>
      </c>
      <c r="T19" s="38">
        <f>Policy_Sched!$J19*J19</f>
        <v>0</v>
      </c>
      <c r="U19" s="42">
        <f t="shared" si="12"/>
        <v>377.00312115645215</v>
      </c>
      <c r="V19" s="42">
        <f t="shared" si="13"/>
        <v>377.00312115645215</v>
      </c>
      <c r="W19" s="38">
        <f>IF($A19&gt;LastT,0,N19+W20/(1+Policy_Sched!$K19))</f>
        <v>3544.5189545399417</v>
      </c>
      <c r="X19" s="38">
        <f>IF($A19&gt;LastT,0,(-Q19+X20)/(1+Policy_Sched!$K19))</f>
        <v>-1389.9801758515537</v>
      </c>
      <c r="Y19" s="38">
        <f>IF($A19&gt;LastT,0,-V19+Y20/(1+Policy_Sched!$K19))</f>
        <v>-1027.1492899229324</v>
      </c>
      <c r="Z19" s="42">
        <f t="shared" si="14"/>
        <v>1127.3894887654556</v>
      </c>
      <c r="AA19" s="38">
        <f>IF($A19&gt;LastT,0,N19-V19-Q19/(1+Policy_Sched!$K19)+Z20/(1+Policy_Sched!$K19))</f>
        <v>1127.3894887654558</v>
      </c>
    </row>
    <row r="20" spans="1:27" x14ac:dyDescent="0.2">
      <c r="A20" s="30">
        <f t="shared" si="15"/>
        <v>13</v>
      </c>
      <c r="B20" s="31">
        <f t="shared" si="16"/>
        <v>1</v>
      </c>
      <c r="C20" s="31">
        <f>IF($A20&gt;LastT,0,IF(AND($D$3&lt;&gt;0,$A20&gt;=T0,Policy_Sched!$B20&lt;LastAge),1+$D$3*$E$3,1))</f>
        <v>1</v>
      </c>
      <c r="D20" s="36">
        <f>IF($A20&gt;LastT,0,IF($C$3="up",MIN(Policy_Sched!$E20*(1+IF($A20&gt;=T0,$E$3,0)),$F$3),IF($C$3="down",MAX(Policy_Sched!$E20*(1-IF($A20&gt;=T0,$E$3,0)),Policy_Sched!$E20-$F$3),Policy_Sched!$E20)))</f>
        <v>0.08</v>
      </c>
      <c r="E20" s="37">
        <f t="shared" si="17"/>
        <v>0.33443311299275447</v>
      </c>
      <c r="F20" s="37">
        <f t="shared" si="0"/>
        <v>0</v>
      </c>
      <c r="G20" s="37">
        <f t="shared" si="1"/>
        <v>0.33443311299275447</v>
      </c>
      <c r="H20" s="37">
        <f t="shared" si="2"/>
        <v>0</v>
      </c>
      <c r="I20" s="37">
        <f t="shared" si="3"/>
        <v>0</v>
      </c>
      <c r="J20" s="37">
        <f t="shared" si="4"/>
        <v>0.33443311299275447</v>
      </c>
      <c r="K20" s="37">
        <f>IF($A20&gt;LastT,0,J20*Policy_Sched!$C20*Policy_Sched!$D20*C20)</f>
        <v>4.4479604028036342E-4</v>
      </c>
      <c r="L20" s="41">
        <f t="shared" si="5"/>
        <v>2.6754649039420358E-2</v>
      </c>
      <c r="M20" s="38">
        <f t="shared" si="6"/>
        <v>1035.7416990934148</v>
      </c>
      <c r="N20" s="38">
        <f t="shared" si="7"/>
        <v>1195.3207691461025</v>
      </c>
      <c r="O20" s="38">
        <f t="shared" si="8"/>
        <v>444.7960402803634</v>
      </c>
      <c r="P20" s="38">
        <f>Policy_Sched!$I20*(L20+I20)</f>
        <v>32.171797874225504</v>
      </c>
      <c r="Q20" s="42">
        <f t="shared" si="9"/>
        <v>476.96783815458889</v>
      </c>
      <c r="R20" s="38">
        <f t="shared" si="10"/>
        <v>0</v>
      </c>
      <c r="S20" s="38">
        <f t="shared" si="11"/>
        <v>0</v>
      </c>
      <c r="T20" s="38">
        <f>Policy_Sched!$J20*J20</f>
        <v>0</v>
      </c>
      <c r="U20" s="42">
        <f t="shared" si="12"/>
        <v>346.38632068421549</v>
      </c>
      <c r="V20" s="42">
        <f t="shared" si="13"/>
        <v>346.38632068421549</v>
      </c>
      <c r="W20" s="38">
        <f>IF($A20&gt;LastT,0,N20+W21/(1+Policy_Sched!$K20))</f>
        <v>2277.1979425366935</v>
      </c>
      <c r="X20" s="38">
        <f>IF($A20&gt;LastT,0,(-Q20+X21)/(1+Policy_Sched!$K20))</f>
        <v>-918.75664111064486</v>
      </c>
      <c r="Y20" s="38">
        <f>IF($A20&gt;LastT,0,-V20+Y21/(1+Policy_Sched!$K20))</f>
        <v>-659.89836129797732</v>
      </c>
      <c r="Z20" s="42">
        <f t="shared" si="14"/>
        <v>698.54294012807134</v>
      </c>
      <c r="AA20" s="38">
        <f>IF($A20&gt;LastT,0,N20-V20-Q20/(1+Policy_Sched!$K20)+Z21/(1+Policy_Sched!$K20))</f>
        <v>698.54294012807145</v>
      </c>
    </row>
    <row r="21" spans="1:27" x14ac:dyDescent="0.2">
      <c r="A21" s="30">
        <f t="shared" si="15"/>
        <v>14</v>
      </c>
      <c r="B21" s="31">
        <f t="shared" si="16"/>
        <v>1</v>
      </c>
      <c r="C21" s="31">
        <f>IF($A21&gt;LastT,0,IF(AND($D$3&lt;&gt;0,$A21&gt;=T0,Policy_Sched!$B21&lt;LastAge),1+$D$3*$E$3,1))</f>
        <v>1</v>
      </c>
      <c r="D21" s="36">
        <f>IF($A21&gt;LastT,0,IF($C$3="up",MIN(Policy_Sched!$E21*(1+IF($A21&gt;=T0,$E$3,0)),$F$3),IF($C$3="down",MAX(Policy_Sched!$E21*(1-IF($A21&gt;=T0,$E$3,0)),Policy_Sched!$E21-$F$3),Policy_Sched!$E21)))</f>
        <v>0.08</v>
      </c>
      <c r="E21" s="37">
        <f t="shared" si="17"/>
        <v>0.30723366791305373</v>
      </c>
      <c r="F21" s="37">
        <f t="shared" si="0"/>
        <v>0</v>
      </c>
      <c r="G21" s="37">
        <f t="shared" si="1"/>
        <v>0.30723366791305373</v>
      </c>
      <c r="H21" s="37">
        <f t="shared" si="2"/>
        <v>0</v>
      </c>
      <c r="I21" s="37">
        <f t="shared" si="3"/>
        <v>0</v>
      </c>
      <c r="J21" s="37">
        <f t="shared" si="4"/>
        <v>0.30723366791305373</v>
      </c>
      <c r="K21" s="37">
        <f>IF($A21&gt;LastT,0,J21*Policy_Sched!$C21*Policy_Sched!$D21*C21)</f>
        <v>4.5163349183218897E-4</v>
      </c>
      <c r="L21" s="41">
        <f t="shared" si="5"/>
        <v>2.45786934330443E-2</v>
      </c>
      <c r="M21" s="38">
        <f t="shared" si="6"/>
        <v>1035.7416990934148</v>
      </c>
      <c r="N21" s="38">
        <f t="shared" si="7"/>
        <v>1098.1053309914498</v>
      </c>
      <c r="O21" s="38">
        <f t="shared" si="8"/>
        <v>451.63349183218895</v>
      </c>
      <c r="P21" s="38">
        <f>Policy_Sched!$I21*(L21+I21)</f>
        <v>10.770213029117286</v>
      </c>
      <c r="Q21" s="42">
        <f t="shared" si="9"/>
        <v>462.40370486130621</v>
      </c>
      <c r="R21" s="38">
        <f t="shared" si="10"/>
        <v>0</v>
      </c>
      <c r="S21" s="38">
        <f t="shared" si="11"/>
        <v>0</v>
      </c>
      <c r="T21" s="38">
        <f>Policy_Sched!$J21*J21</f>
        <v>0</v>
      </c>
      <c r="U21" s="42">
        <f t="shared" si="12"/>
        <v>318.21472122296825</v>
      </c>
      <c r="V21" s="42">
        <f t="shared" si="13"/>
        <v>318.21472122296825</v>
      </c>
      <c r="W21" s="38">
        <f>IF($A21&gt;LastT,0,N21+W22/(1+Policy_Sched!$K21))</f>
        <v>1098.1053309914498</v>
      </c>
      <c r="X21" s="38">
        <f>IF($A21&gt;LastT,0,(-Q21+X22)/(1+Policy_Sched!$K21))</f>
        <v>-455.57015257271553</v>
      </c>
      <c r="Y21" s="38">
        <f>IF($A21&gt;LastT,0,-V21+Y22/(1+Policy_Sched!$K21))</f>
        <v>-318.21472122296825</v>
      </c>
      <c r="Z21" s="42">
        <f t="shared" si="14"/>
        <v>324.32045719576604</v>
      </c>
      <c r="AA21" s="38">
        <f>IF($A21&gt;LastT,0,N21-V21-Q21/(1+Policy_Sched!$K21)+Z22/(1+Policy_Sched!$K21))</f>
        <v>324.32045719576604</v>
      </c>
    </row>
    <row r="22" spans="1:27" x14ac:dyDescent="0.2">
      <c r="A22" s="30">
        <f t="shared" si="15"/>
        <v>15</v>
      </c>
      <c r="B22" s="31">
        <f t="shared" si="16"/>
        <v>1</v>
      </c>
      <c r="C22" s="31">
        <f>IF($A22&gt;LastT,0,IF(AND($D$3&lt;&gt;0,$A22&gt;=T0,Policy_Sched!$B22&lt;LastAge),1+$D$3*$E$3,1))</f>
        <v>1</v>
      </c>
      <c r="D22" s="36">
        <f>IF($A22&gt;LastT,0,IF($C$3="up",MIN(Policy_Sched!$E22*(1+IF($A22&gt;=T0,$E$3,0)),$F$3),IF($C$3="down",MAX(Policy_Sched!$E22*(1-IF($A22&gt;=T0,$E$3,0)),Policy_Sched!$E22-$F$3),Policy_Sched!$E22)))</f>
        <v>0.08</v>
      </c>
      <c r="E22" s="37">
        <f t="shared" si="17"/>
        <v>0.28220334098817723</v>
      </c>
      <c r="F22" s="37">
        <f t="shared" si="0"/>
        <v>0.28220334098817723</v>
      </c>
      <c r="G22" s="37">
        <f t="shared" si="1"/>
        <v>0</v>
      </c>
      <c r="H22" s="37">
        <f t="shared" si="2"/>
        <v>0</v>
      </c>
      <c r="I22" s="37">
        <f t="shared" si="3"/>
        <v>0</v>
      </c>
      <c r="J22" s="37">
        <f t="shared" si="4"/>
        <v>0</v>
      </c>
      <c r="K22" s="37">
        <f>IF($A22&gt;LastT,0,J22*Policy_Sched!$C22*Policy_Sched!$D22*C22)</f>
        <v>0</v>
      </c>
      <c r="L22" s="41">
        <f t="shared" si="5"/>
        <v>0</v>
      </c>
      <c r="M22" s="38">
        <f t="shared" si="6"/>
        <v>1035.7416990934148</v>
      </c>
      <c r="N22" s="38">
        <f t="shared" si="7"/>
        <v>0</v>
      </c>
      <c r="O22" s="38">
        <f t="shared" si="8"/>
        <v>0</v>
      </c>
      <c r="P22" s="38">
        <f>Policy_Sched!$I22*(L22+I22)</f>
        <v>0</v>
      </c>
      <c r="Q22" s="42">
        <f t="shared" si="9"/>
        <v>0</v>
      </c>
      <c r="R22" s="38">
        <f t="shared" si="10"/>
        <v>0</v>
      </c>
      <c r="S22" s="38">
        <f t="shared" si="11"/>
        <v>0</v>
      </c>
      <c r="T22" s="38">
        <f>Policy_Sched!$J22*J22</f>
        <v>0</v>
      </c>
      <c r="U22" s="42">
        <f t="shared" si="12"/>
        <v>0</v>
      </c>
      <c r="V22" s="42">
        <f t="shared" si="13"/>
        <v>0</v>
      </c>
      <c r="W22" s="38">
        <f>IF($A22&gt;LastT,0,N22+W23/(1+Policy_Sched!$K22))</f>
        <v>0</v>
      </c>
      <c r="X22" s="38">
        <f>IF($A22&gt;LastT,0,(-Q22+X23)/(1+Policy_Sched!$K22))</f>
        <v>0</v>
      </c>
      <c r="Y22" s="38">
        <f>IF($A22&gt;LastT,0,-V22+Y23/(1+Policy_Sched!$K22))</f>
        <v>0</v>
      </c>
      <c r="Z22" s="42">
        <f t="shared" si="14"/>
        <v>0</v>
      </c>
      <c r="AA22" s="38">
        <f>IF($A22&gt;LastT,0,N22-V22-Q22/(1+Policy_Sched!$K22)+Z23/(1+Policy_Sched!$K22))</f>
        <v>0</v>
      </c>
    </row>
    <row r="23" spans="1:27" x14ac:dyDescent="0.2">
      <c r="A23" s="30">
        <f t="shared" si="15"/>
        <v>16</v>
      </c>
      <c r="B23" s="31">
        <f t="shared" si="16"/>
        <v>0</v>
      </c>
      <c r="C23" s="31">
        <f>IF($A23&gt;LastT,0,IF(AND($D$3&lt;&gt;0,$A23&gt;=T0,Policy_Sched!$B23&lt;LastAge),1+$D$3*$E$3,1))</f>
        <v>0</v>
      </c>
      <c r="D23" s="36">
        <f>IF($A23&gt;LastT,0,IF($C$3="up",MIN(Policy_Sched!$E23*(1+IF($A23&gt;=T0,$E$3,0)),$F$3),IF($C$3="down",MAX(Policy_Sched!$E23*(1-IF($A23&gt;=T0,$E$3,0)),Policy_Sched!$E23-$F$3),Policy_Sched!$E23)))</f>
        <v>0</v>
      </c>
      <c r="E23" s="37">
        <f t="shared" si="17"/>
        <v>0</v>
      </c>
      <c r="F23" s="37">
        <f t="shared" si="0"/>
        <v>0</v>
      </c>
      <c r="G23" s="37">
        <f t="shared" si="1"/>
        <v>0</v>
      </c>
      <c r="H23" s="37">
        <f t="shared" si="2"/>
        <v>0</v>
      </c>
      <c r="I23" s="37">
        <f t="shared" si="3"/>
        <v>0</v>
      </c>
      <c r="J23" s="37">
        <f t="shared" si="4"/>
        <v>0</v>
      </c>
      <c r="K23" s="37">
        <f>IF($A23&gt;LastT,0,J23*Policy_Sched!$C23*Policy_Sched!$D23*C23)</f>
        <v>0</v>
      </c>
      <c r="L23" s="41">
        <f t="shared" si="5"/>
        <v>0</v>
      </c>
      <c r="M23" s="38">
        <f t="shared" si="6"/>
        <v>0</v>
      </c>
      <c r="N23" s="38">
        <f t="shared" si="7"/>
        <v>0</v>
      </c>
      <c r="O23" s="38">
        <f t="shared" si="8"/>
        <v>0</v>
      </c>
      <c r="P23" s="38">
        <f>Policy_Sched!$I23*(L23+I23)</f>
        <v>0</v>
      </c>
      <c r="Q23" s="42">
        <f t="shared" si="9"/>
        <v>0</v>
      </c>
      <c r="R23" s="38">
        <f t="shared" si="10"/>
        <v>0</v>
      </c>
      <c r="S23" s="38">
        <f t="shared" si="11"/>
        <v>0</v>
      </c>
      <c r="T23" s="38">
        <f>Policy_Sched!$J23*J23</f>
        <v>0</v>
      </c>
      <c r="U23" s="42">
        <f t="shared" si="12"/>
        <v>0</v>
      </c>
      <c r="V23" s="42">
        <f t="shared" si="13"/>
        <v>0</v>
      </c>
      <c r="W23" s="38">
        <f>IF($A23&gt;LastT,0,N23+W24/(1+Policy_Sched!$K23))</f>
        <v>0</v>
      </c>
      <c r="X23" s="38">
        <f>IF($A23&gt;LastT,0,(-Q23+X24)/(1+Policy_Sched!$K23))</f>
        <v>0</v>
      </c>
      <c r="Y23" s="38">
        <f>IF($A23&gt;LastT,0,-V23+Y24/(1+Policy_Sched!$K23))</f>
        <v>0</v>
      </c>
      <c r="Z23" s="42">
        <f t="shared" si="14"/>
        <v>0</v>
      </c>
      <c r="AA23" s="38">
        <f>IF($A23&gt;LastT,0,N23-V23-Q23/(1+Policy_Sched!$K23)+Z24/(1+Policy_Sched!$K23))</f>
        <v>0</v>
      </c>
    </row>
    <row r="24" spans="1:27" x14ac:dyDescent="0.2">
      <c r="A24" s="30">
        <f t="shared" si="15"/>
        <v>17</v>
      </c>
      <c r="B24" s="31">
        <f t="shared" si="16"/>
        <v>0</v>
      </c>
      <c r="C24" s="31">
        <f>IF($A24&gt;LastT,0,IF(AND($D$3&lt;&gt;0,$A24&gt;=T0,Policy_Sched!$B24&lt;LastAge),1+$D$3*$E$3,1))</f>
        <v>0</v>
      </c>
      <c r="D24" s="36">
        <f>IF($A24&gt;LastT,0,IF($C$3="up",MIN(Policy_Sched!$E24*(1+IF($A24&gt;=T0,$E$3,0)),$F$3),IF($C$3="down",MAX(Policy_Sched!$E24*(1-IF($A24&gt;=T0,$E$3,0)),Policy_Sched!$E24-$F$3),Policy_Sched!$E24)))</f>
        <v>0</v>
      </c>
      <c r="E24" s="37">
        <f t="shared" si="17"/>
        <v>0</v>
      </c>
      <c r="F24" s="37">
        <f t="shared" si="0"/>
        <v>0</v>
      </c>
      <c r="G24" s="37">
        <f t="shared" si="1"/>
        <v>0</v>
      </c>
      <c r="H24" s="37">
        <f t="shared" si="2"/>
        <v>0</v>
      </c>
      <c r="I24" s="37">
        <f t="shared" si="3"/>
        <v>0</v>
      </c>
      <c r="J24" s="37">
        <f t="shared" si="4"/>
        <v>0</v>
      </c>
      <c r="K24" s="37">
        <f>IF($A24&gt;LastT,0,J24*Policy_Sched!$C24*Policy_Sched!$D24*C24)</f>
        <v>0</v>
      </c>
      <c r="L24" s="41">
        <f t="shared" si="5"/>
        <v>0</v>
      </c>
      <c r="M24" s="38">
        <f t="shared" si="6"/>
        <v>0</v>
      </c>
      <c r="N24" s="38">
        <f t="shared" si="7"/>
        <v>0</v>
      </c>
      <c r="O24" s="38">
        <f t="shared" si="8"/>
        <v>0</v>
      </c>
      <c r="P24" s="38">
        <f>Policy_Sched!$I24*(L24+I24)</f>
        <v>0</v>
      </c>
      <c r="Q24" s="42">
        <f t="shared" si="9"/>
        <v>0</v>
      </c>
      <c r="R24" s="38">
        <f t="shared" si="10"/>
        <v>0</v>
      </c>
      <c r="S24" s="38">
        <f t="shared" si="11"/>
        <v>0</v>
      </c>
      <c r="T24" s="38">
        <f>Policy_Sched!$J24*J24</f>
        <v>0</v>
      </c>
      <c r="U24" s="42">
        <f t="shared" si="12"/>
        <v>0</v>
      </c>
      <c r="V24" s="42">
        <f t="shared" si="13"/>
        <v>0</v>
      </c>
      <c r="W24" s="38">
        <f>IF($A24&gt;LastT,0,N24+W25/(1+Policy_Sched!$K24))</f>
        <v>0</v>
      </c>
      <c r="X24" s="38">
        <f>IF($A24&gt;LastT,0,(-Q24+X25)/(1+Policy_Sched!$K24))</f>
        <v>0</v>
      </c>
      <c r="Y24" s="38">
        <f>IF($A24&gt;LastT,0,-V24+Y25/(1+Policy_Sched!$K24))</f>
        <v>0</v>
      </c>
      <c r="Z24" s="42">
        <f t="shared" si="14"/>
        <v>0</v>
      </c>
      <c r="AA24" s="38">
        <f>IF($A24&gt;LastT,0,N24-V24-Q24/(1+Policy_Sched!$K24)+Z25/(1+Policy_Sched!$K24))</f>
        <v>0</v>
      </c>
    </row>
    <row r="25" spans="1:27" x14ac:dyDescent="0.2">
      <c r="A25" s="30">
        <f t="shared" si="15"/>
        <v>18</v>
      </c>
      <c r="B25" s="31">
        <f t="shared" si="16"/>
        <v>0</v>
      </c>
      <c r="C25" s="31">
        <f>IF($A25&gt;LastT,0,IF(AND($D$3&lt;&gt;0,$A25&gt;=T0,Policy_Sched!$B25&lt;LastAge),1+$D$3*$E$3,1))</f>
        <v>0</v>
      </c>
      <c r="D25" s="36">
        <f>IF($A25&gt;LastT,0,IF($C$3="up",MIN(Policy_Sched!$E25*(1+IF($A25&gt;=T0,$E$3,0)),$F$3),IF($C$3="down",MAX(Policy_Sched!$E25*(1-IF($A25&gt;=T0,$E$3,0)),Policy_Sched!$E25-$F$3),Policy_Sched!$E25)))</f>
        <v>0</v>
      </c>
      <c r="E25" s="37">
        <f t="shared" si="17"/>
        <v>0</v>
      </c>
      <c r="F25" s="37">
        <f t="shared" si="0"/>
        <v>0</v>
      </c>
      <c r="G25" s="37">
        <f t="shared" si="1"/>
        <v>0</v>
      </c>
      <c r="H25" s="37">
        <f t="shared" si="2"/>
        <v>0</v>
      </c>
      <c r="I25" s="37">
        <f t="shared" si="3"/>
        <v>0</v>
      </c>
      <c r="J25" s="37">
        <f t="shared" si="4"/>
        <v>0</v>
      </c>
      <c r="K25" s="37">
        <f>IF($A25&gt;LastT,0,J25*Policy_Sched!$C25*Policy_Sched!$D25*C25)</f>
        <v>0</v>
      </c>
      <c r="L25" s="41">
        <f t="shared" si="5"/>
        <v>0</v>
      </c>
      <c r="M25" s="38">
        <f t="shared" si="6"/>
        <v>0</v>
      </c>
      <c r="N25" s="38">
        <f t="shared" si="7"/>
        <v>0</v>
      </c>
      <c r="O25" s="38">
        <f t="shared" si="8"/>
        <v>0</v>
      </c>
      <c r="P25" s="38">
        <f>Policy_Sched!$I25*(L25+I25)</f>
        <v>0</v>
      </c>
      <c r="Q25" s="42">
        <f t="shared" si="9"/>
        <v>0</v>
      </c>
      <c r="R25" s="38">
        <f t="shared" si="10"/>
        <v>0</v>
      </c>
      <c r="S25" s="38">
        <f t="shared" si="11"/>
        <v>0</v>
      </c>
      <c r="T25" s="38">
        <f>Policy_Sched!$J25*J25</f>
        <v>0</v>
      </c>
      <c r="U25" s="42">
        <f t="shared" si="12"/>
        <v>0</v>
      </c>
      <c r="V25" s="42">
        <f t="shared" si="13"/>
        <v>0</v>
      </c>
      <c r="W25" s="38">
        <f>IF($A25&gt;LastT,0,N25+W26/(1+Policy_Sched!$K25))</f>
        <v>0</v>
      </c>
      <c r="X25" s="38">
        <f>IF($A25&gt;LastT,0,(-Q25+X26)/(1+Policy_Sched!$K25))</f>
        <v>0</v>
      </c>
      <c r="Y25" s="38">
        <f>IF($A25&gt;LastT,0,-V25+Y26/(1+Policy_Sched!$K25))</f>
        <v>0</v>
      </c>
      <c r="Z25" s="42">
        <f t="shared" si="14"/>
        <v>0</v>
      </c>
      <c r="AA25" s="38">
        <f>IF($A25&gt;LastT,0,N25-V25-Q25/(1+Policy_Sched!$K25)+Z26/(1+Policy_Sched!$K25))</f>
        <v>0</v>
      </c>
    </row>
    <row r="26" spans="1:27" x14ac:dyDescent="0.2">
      <c r="A26" s="30">
        <f t="shared" si="15"/>
        <v>19</v>
      </c>
      <c r="B26" s="31">
        <f t="shared" si="16"/>
        <v>0</v>
      </c>
      <c r="C26" s="31">
        <f>IF($A26&gt;LastT,0,IF(AND($D$3&lt;&gt;0,$A26&gt;=T0,Policy_Sched!$B26&lt;LastAge),1+$D$3*$E$3,1))</f>
        <v>0</v>
      </c>
      <c r="D26" s="36">
        <f>IF($A26&gt;LastT,0,IF($C$3="up",MIN(Policy_Sched!$E26*(1+IF($A26&gt;=T0,$E$3,0)),$F$3),IF($C$3="down",MAX(Policy_Sched!$E26*(1-IF($A26&gt;=T0,$E$3,0)),Policy_Sched!$E26-$F$3),Policy_Sched!$E26)))</f>
        <v>0</v>
      </c>
      <c r="E26" s="37">
        <f t="shared" si="17"/>
        <v>0</v>
      </c>
      <c r="F26" s="37">
        <f t="shared" si="0"/>
        <v>0</v>
      </c>
      <c r="G26" s="37">
        <f t="shared" si="1"/>
        <v>0</v>
      </c>
      <c r="H26" s="37">
        <f t="shared" si="2"/>
        <v>0</v>
      </c>
      <c r="I26" s="37">
        <f t="shared" si="3"/>
        <v>0</v>
      </c>
      <c r="J26" s="37">
        <f t="shared" si="4"/>
        <v>0</v>
      </c>
      <c r="K26" s="37">
        <f>IF($A26&gt;LastT,0,J26*Policy_Sched!$C26*Policy_Sched!$D26*C26)</f>
        <v>0</v>
      </c>
      <c r="L26" s="41">
        <f t="shared" si="5"/>
        <v>0</v>
      </c>
      <c r="M26" s="38">
        <f t="shared" si="6"/>
        <v>0</v>
      </c>
      <c r="N26" s="38">
        <f t="shared" si="7"/>
        <v>0</v>
      </c>
      <c r="O26" s="38">
        <f t="shared" si="8"/>
        <v>0</v>
      </c>
      <c r="P26" s="38">
        <f>Policy_Sched!$I26*(L26+I26)</f>
        <v>0</v>
      </c>
      <c r="Q26" s="42">
        <f t="shared" si="9"/>
        <v>0</v>
      </c>
      <c r="R26" s="38">
        <f t="shared" si="10"/>
        <v>0</v>
      </c>
      <c r="S26" s="38">
        <f t="shared" si="11"/>
        <v>0</v>
      </c>
      <c r="T26" s="38">
        <f>Policy_Sched!$J26*J26</f>
        <v>0</v>
      </c>
      <c r="U26" s="42">
        <f t="shared" si="12"/>
        <v>0</v>
      </c>
      <c r="V26" s="42">
        <f t="shared" si="13"/>
        <v>0</v>
      </c>
      <c r="W26" s="38">
        <f>IF($A26&gt;LastT,0,N26+W27/(1+Policy_Sched!$K26))</f>
        <v>0</v>
      </c>
      <c r="X26" s="38">
        <f>IF($A26&gt;LastT,0,(-Q26+X27)/(1+Policy_Sched!$K26))</f>
        <v>0</v>
      </c>
      <c r="Y26" s="38">
        <f>IF($A26&gt;LastT,0,-V26+Y27/(1+Policy_Sched!$K26))</f>
        <v>0</v>
      </c>
      <c r="Z26" s="42">
        <f t="shared" si="14"/>
        <v>0</v>
      </c>
      <c r="AA26" s="38">
        <f>IF($A26&gt;LastT,0,N26-V26-Q26/(1+Policy_Sched!$K26)+Z27/(1+Policy_Sched!$K26))</f>
        <v>0</v>
      </c>
    </row>
    <row r="27" spans="1:27" x14ac:dyDescent="0.2">
      <c r="A27" s="30">
        <f t="shared" si="15"/>
        <v>20</v>
      </c>
      <c r="B27" s="31">
        <f t="shared" si="16"/>
        <v>0</v>
      </c>
      <c r="C27" s="31">
        <f>IF($A27&gt;LastT,0,IF(AND($D$3&lt;&gt;0,$A27&gt;=T0,Policy_Sched!$B27&lt;LastAge),1+$D$3*$E$3,1))</f>
        <v>0</v>
      </c>
      <c r="D27" s="36">
        <f>IF($A27&gt;LastT,0,IF($C$3="up",MIN(Policy_Sched!$E27*(1+IF($A27&gt;=T0,$E$3,0)),$F$3),IF($C$3="down",MAX(Policy_Sched!$E27*(1-IF($A27&gt;=T0,$E$3,0)),Policy_Sched!$E27-$F$3),Policy_Sched!$E27)))</f>
        <v>0</v>
      </c>
      <c r="E27" s="37">
        <f t="shared" si="17"/>
        <v>0</v>
      </c>
      <c r="F27" s="37">
        <f t="shared" si="0"/>
        <v>0</v>
      </c>
      <c r="G27" s="37">
        <f t="shared" si="1"/>
        <v>0</v>
      </c>
      <c r="H27" s="37">
        <f t="shared" si="2"/>
        <v>0</v>
      </c>
      <c r="I27" s="37">
        <f t="shared" si="3"/>
        <v>0</v>
      </c>
      <c r="J27" s="37">
        <f t="shared" si="4"/>
        <v>0</v>
      </c>
      <c r="K27" s="37">
        <f>IF($A27&gt;LastT,0,J27*Policy_Sched!$C27*Policy_Sched!$D27*C27)</f>
        <v>0</v>
      </c>
      <c r="L27" s="41">
        <f t="shared" si="5"/>
        <v>0</v>
      </c>
      <c r="M27" s="38">
        <f t="shared" si="6"/>
        <v>0</v>
      </c>
      <c r="N27" s="38">
        <f t="shared" si="7"/>
        <v>0</v>
      </c>
      <c r="O27" s="38">
        <f t="shared" si="8"/>
        <v>0</v>
      </c>
      <c r="P27" s="38">
        <f>Policy_Sched!$I27*(L27+I27)</f>
        <v>0</v>
      </c>
      <c r="Q27" s="42">
        <f t="shared" si="9"/>
        <v>0</v>
      </c>
      <c r="R27" s="38">
        <f t="shared" si="10"/>
        <v>0</v>
      </c>
      <c r="S27" s="38">
        <f t="shared" si="11"/>
        <v>0</v>
      </c>
      <c r="T27" s="38">
        <f>Policy_Sched!$J27*J27</f>
        <v>0</v>
      </c>
      <c r="U27" s="42">
        <f t="shared" si="12"/>
        <v>0</v>
      </c>
      <c r="V27" s="42">
        <f t="shared" si="13"/>
        <v>0</v>
      </c>
      <c r="W27" s="38">
        <f>IF($A27&gt;LastT,0,N27+W28/(1+Policy_Sched!$K27))</f>
        <v>0</v>
      </c>
      <c r="X27" s="38">
        <f>IF($A27&gt;LastT,0,(-Q27+X28)/(1+Policy_Sched!$K27))</f>
        <v>0</v>
      </c>
      <c r="Y27" s="38">
        <f>IF($A27&gt;LastT,0,-V27+Y28/(1+Policy_Sched!$K27))</f>
        <v>0</v>
      </c>
      <c r="Z27" s="42">
        <f t="shared" si="14"/>
        <v>0</v>
      </c>
      <c r="AA27" s="38">
        <f>IF($A27&gt;LastT,0,N27-V27-Q27/(1+Policy_Sched!$K27)+Z28/(1+Policy_Sched!$K27))</f>
        <v>0</v>
      </c>
    </row>
    <row r="28" spans="1:27" x14ac:dyDescent="0.2">
      <c r="A28" s="30">
        <f t="shared" si="15"/>
        <v>21</v>
      </c>
      <c r="B28" s="31">
        <f t="shared" si="16"/>
        <v>0</v>
      </c>
      <c r="C28" s="31">
        <f>IF($A28&gt;LastT,0,IF(AND($D$3&lt;&gt;0,$A28&gt;=T0,Policy_Sched!$B28&lt;LastAge),1+$D$3*$E$3,1))</f>
        <v>0</v>
      </c>
      <c r="D28" s="36">
        <f>IF($A28&gt;LastT,0,IF($C$3="up",MIN(Policy_Sched!$E28*(1+IF($A28&gt;=T0,$E$3,0)),$F$3),IF($C$3="down",MAX(Policy_Sched!$E28*(1-IF($A28&gt;=T0,$E$3,0)),Policy_Sched!$E28-$F$3),Policy_Sched!$E28)))</f>
        <v>0</v>
      </c>
      <c r="E28" s="37">
        <f t="shared" si="17"/>
        <v>0</v>
      </c>
      <c r="F28" s="37">
        <f t="shared" si="0"/>
        <v>0</v>
      </c>
      <c r="G28" s="37">
        <f t="shared" si="1"/>
        <v>0</v>
      </c>
      <c r="H28" s="37">
        <f t="shared" si="2"/>
        <v>0</v>
      </c>
      <c r="I28" s="37">
        <f t="shared" si="3"/>
        <v>0</v>
      </c>
      <c r="J28" s="37">
        <f t="shared" si="4"/>
        <v>0</v>
      </c>
      <c r="K28" s="37">
        <f>IF($A28&gt;LastT,0,J28*Policy_Sched!$C28*Policy_Sched!$D28*C28)</f>
        <v>0</v>
      </c>
      <c r="L28" s="41">
        <f t="shared" si="5"/>
        <v>0</v>
      </c>
      <c r="M28" s="38">
        <f t="shared" si="6"/>
        <v>0</v>
      </c>
      <c r="N28" s="38">
        <f t="shared" si="7"/>
        <v>0</v>
      </c>
      <c r="O28" s="38">
        <f t="shared" si="8"/>
        <v>0</v>
      </c>
      <c r="P28" s="38">
        <f>Policy_Sched!$I28*(L28+I28)</f>
        <v>0</v>
      </c>
      <c r="Q28" s="42">
        <f t="shared" si="9"/>
        <v>0</v>
      </c>
      <c r="R28" s="38">
        <f t="shared" si="10"/>
        <v>0</v>
      </c>
      <c r="S28" s="38">
        <f t="shared" si="11"/>
        <v>0</v>
      </c>
      <c r="T28" s="38">
        <f>Policy_Sched!$J28*J28</f>
        <v>0</v>
      </c>
      <c r="U28" s="42">
        <f t="shared" si="12"/>
        <v>0</v>
      </c>
      <c r="V28" s="42">
        <f t="shared" si="13"/>
        <v>0</v>
      </c>
      <c r="W28" s="38">
        <f>IF($A28&gt;LastT,0,N28+W29/(1+Policy_Sched!$K28))</f>
        <v>0</v>
      </c>
      <c r="X28" s="38">
        <f>IF($A28&gt;LastT,0,(-Q28+X29)/(1+Policy_Sched!$K28))</f>
        <v>0</v>
      </c>
      <c r="Y28" s="38">
        <f>IF($A28&gt;LastT,0,-V28+Y29/(1+Policy_Sched!$K28))</f>
        <v>0</v>
      </c>
      <c r="Z28" s="42">
        <f t="shared" si="14"/>
        <v>0</v>
      </c>
      <c r="AA28" s="38">
        <f>IF($A28&gt;LastT,0,N28-V28-Q28/(1+Policy_Sched!$K28)+Z29/(1+Policy_Sched!$K28))</f>
        <v>0</v>
      </c>
    </row>
    <row r="29" spans="1:27" x14ac:dyDescent="0.2">
      <c r="A29" s="30">
        <f t="shared" si="15"/>
        <v>22</v>
      </c>
      <c r="B29" s="31">
        <f t="shared" si="16"/>
        <v>0</v>
      </c>
      <c r="C29" s="31">
        <f>IF($A29&gt;LastT,0,IF(AND($D$3&lt;&gt;0,$A29&gt;=T0,Policy_Sched!$B29&lt;LastAge),1+$D$3*$E$3,1))</f>
        <v>0</v>
      </c>
      <c r="D29" s="36">
        <f>IF($A29&gt;LastT,0,IF($C$3="up",MIN(Policy_Sched!$E29*(1+IF($A29&gt;=T0,$E$3,0)),$F$3),IF($C$3="down",MAX(Policy_Sched!$E29*(1-IF($A29&gt;=T0,$E$3,0)),Policy_Sched!$E29-$F$3),Policy_Sched!$E29)))</f>
        <v>0</v>
      </c>
      <c r="E29" s="37">
        <f t="shared" si="17"/>
        <v>0</v>
      </c>
      <c r="F29" s="37">
        <f t="shared" si="0"/>
        <v>0</v>
      </c>
      <c r="G29" s="37">
        <f t="shared" si="1"/>
        <v>0</v>
      </c>
      <c r="H29" s="37">
        <f t="shared" si="2"/>
        <v>0</v>
      </c>
      <c r="I29" s="37">
        <f t="shared" si="3"/>
        <v>0</v>
      </c>
      <c r="J29" s="37">
        <f t="shared" si="4"/>
        <v>0</v>
      </c>
      <c r="K29" s="37">
        <f>IF($A29&gt;LastT,0,J29*Policy_Sched!$C29*Policy_Sched!$D29*C29)</f>
        <v>0</v>
      </c>
      <c r="L29" s="41">
        <f t="shared" si="5"/>
        <v>0</v>
      </c>
      <c r="M29" s="38">
        <f t="shared" si="6"/>
        <v>0</v>
      </c>
      <c r="N29" s="38">
        <f t="shared" si="7"/>
        <v>0</v>
      </c>
      <c r="O29" s="38">
        <f t="shared" si="8"/>
        <v>0</v>
      </c>
      <c r="P29" s="38">
        <f>Policy_Sched!$I29*(L29+I29)</f>
        <v>0</v>
      </c>
      <c r="Q29" s="42">
        <f t="shared" si="9"/>
        <v>0</v>
      </c>
      <c r="R29" s="38">
        <f t="shared" si="10"/>
        <v>0</v>
      </c>
      <c r="S29" s="38">
        <f t="shared" si="11"/>
        <v>0</v>
      </c>
      <c r="T29" s="38">
        <f>Policy_Sched!$J29*J29</f>
        <v>0</v>
      </c>
      <c r="U29" s="42">
        <f t="shared" si="12"/>
        <v>0</v>
      </c>
      <c r="V29" s="42">
        <f t="shared" si="13"/>
        <v>0</v>
      </c>
      <c r="W29" s="38">
        <f>IF($A29&gt;LastT,0,N29+W30/(1+Policy_Sched!$K29))</f>
        <v>0</v>
      </c>
      <c r="X29" s="38">
        <f>IF($A29&gt;LastT,0,(-Q29+X30)/(1+Policy_Sched!$K29))</f>
        <v>0</v>
      </c>
      <c r="Y29" s="38">
        <f>IF($A29&gt;LastT,0,-V29+Y30/(1+Policy_Sched!$K29))</f>
        <v>0</v>
      </c>
      <c r="Z29" s="42">
        <f t="shared" si="14"/>
        <v>0</v>
      </c>
      <c r="AA29" s="38">
        <f>IF($A29&gt;LastT,0,N29-V29-Q29/(1+Policy_Sched!$K29)+Z30/(1+Policy_Sched!$K29))</f>
        <v>0</v>
      </c>
    </row>
    <row r="30" spans="1:27" x14ac:dyDescent="0.2">
      <c r="A30" s="30">
        <f t="shared" si="15"/>
        <v>23</v>
      </c>
      <c r="B30" s="31">
        <f t="shared" si="16"/>
        <v>0</v>
      </c>
      <c r="C30" s="31">
        <f>IF($A30&gt;LastT,0,IF(AND($D$3&lt;&gt;0,$A30&gt;=T0,Policy_Sched!$B30&lt;LastAge),1+$D$3*$E$3,1))</f>
        <v>0</v>
      </c>
      <c r="D30" s="36">
        <f>IF($A30&gt;LastT,0,IF($C$3="up",MIN(Policy_Sched!$E30*(1+IF($A30&gt;=T0,$E$3,0)),$F$3),IF($C$3="down",MAX(Policy_Sched!$E30*(1-IF($A30&gt;=T0,$E$3,0)),Policy_Sched!$E30-$F$3),Policy_Sched!$E30)))</f>
        <v>0</v>
      </c>
      <c r="E30" s="37">
        <f t="shared" si="17"/>
        <v>0</v>
      </c>
      <c r="F30" s="37">
        <f t="shared" si="0"/>
        <v>0</v>
      </c>
      <c r="G30" s="37">
        <f t="shared" si="1"/>
        <v>0</v>
      </c>
      <c r="H30" s="37">
        <f t="shared" si="2"/>
        <v>0</v>
      </c>
      <c r="I30" s="37">
        <f t="shared" si="3"/>
        <v>0</v>
      </c>
      <c r="J30" s="37">
        <f t="shared" si="4"/>
        <v>0</v>
      </c>
      <c r="K30" s="37">
        <f>IF($A30&gt;LastT,0,J30*Policy_Sched!$C30*Policy_Sched!$D30*C30)</f>
        <v>0</v>
      </c>
      <c r="L30" s="41">
        <f t="shared" si="5"/>
        <v>0</v>
      </c>
      <c r="M30" s="38">
        <f t="shared" si="6"/>
        <v>0</v>
      </c>
      <c r="N30" s="38">
        <f t="shared" si="7"/>
        <v>0</v>
      </c>
      <c r="O30" s="38">
        <f t="shared" si="8"/>
        <v>0</v>
      </c>
      <c r="P30" s="38">
        <f>Policy_Sched!$I30*(L30+I30)</f>
        <v>0</v>
      </c>
      <c r="Q30" s="42">
        <f t="shared" si="9"/>
        <v>0</v>
      </c>
      <c r="R30" s="38">
        <f t="shared" si="10"/>
        <v>0</v>
      </c>
      <c r="S30" s="38">
        <f t="shared" si="11"/>
        <v>0</v>
      </c>
      <c r="T30" s="38">
        <f>Policy_Sched!$J30*J30</f>
        <v>0</v>
      </c>
      <c r="U30" s="42">
        <f t="shared" si="12"/>
        <v>0</v>
      </c>
      <c r="V30" s="42">
        <f t="shared" si="13"/>
        <v>0</v>
      </c>
      <c r="W30" s="38">
        <f>IF($A30&gt;LastT,0,N30+W31/(1+Policy_Sched!$K30))</f>
        <v>0</v>
      </c>
      <c r="X30" s="38">
        <f>IF($A30&gt;LastT,0,(-Q30+X31)/(1+Policy_Sched!$K30))</f>
        <v>0</v>
      </c>
      <c r="Y30" s="38">
        <f>IF($A30&gt;LastT,0,-V30+Y31/(1+Policy_Sched!$K30))</f>
        <v>0</v>
      </c>
      <c r="Z30" s="42">
        <f t="shared" si="14"/>
        <v>0</v>
      </c>
      <c r="AA30" s="38">
        <f>IF($A30&gt;LastT,0,N30-V30-Q30/(1+Policy_Sched!$K30)+Z31/(1+Policy_Sched!$K30))</f>
        <v>0</v>
      </c>
    </row>
    <row r="31" spans="1:27" x14ac:dyDescent="0.2">
      <c r="A31" s="30">
        <f t="shared" si="15"/>
        <v>24</v>
      </c>
      <c r="B31" s="31">
        <f t="shared" si="16"/>
        <v>0</v>
      </c>
      <c r="C31" s="31">
        <f>IF($A31&gt;LastT,0,IF(AND($D$3&lt;&gt;0,$A31&gt;=T0,Policy_Sched!$B31&lt;LastAge),1+$D$3*$E$3,1))</f>
        <v>0</v>
      </c>
      <c r="D31" s="36">
        <f>IF($A31&gt;LastT,0,IF($C$3="up",MIN(Policy_Sched!$E31*(1+IF($A31&gt;=T0,$E$3,0)),$F$3),IF($C$3="down",MAX(Policy_Sched!$E31*(1-IF($A31&gt;=T0,$E$3,0)),Policy_Sched!$E31-$F$3),Policy_Sched!$E31)))</f>
        <v>0</v>
      </c>
      <c r="E31" s="37">
        <f t="shared" si="17"/>
        <v>0</v>
      </c>
      <c r="F31" s="37">
        <f t="shared" si="0"/>
        <v>0</v>
      </c>
      <c r="G31" s="37">
        <f t="shared" si="1"/>
        <v>0</v>
      </c>
      <c r="H31" s="37">
        <f t="shared" si="2"/>
        <v>0</v>
      </c>
      <c r="I31" s="37">
        <f t="shared" si="3"/>
        <v>0</v>
      </c>
      <c r="J31" s="37">
        <f t="shared" si="4"/>
        <v>0</v>
      </c>
      <c r="K31" s="37">
        <f>IF($A31&gt;LastT,0,J31*Policy_Sched!$C31*Policy_Sched!$D31*C31)</f>
        <v>0</v>
      </c>
      <c r="L31" s="41">
        <f t="shared" si="5"/>
        <v>0</v>
      </c>
      <c r="M31" s="38">
        <f t="shared" si="6"/>
        <v>0</v>
      </c>
      <c r="N31" s="38">
        <f t="shared" si="7"/>
        <v>0</v>
      </c>
      <c r="O31" s="38">
        <f t="shared" si="8"/>
        <v>0</v>
      </c>
      <c r="P31" s="38">
        <f>Policy_Sched!$I31*(L31+I31)</f>
        <v>0</v>
      </c>
      <c r="Q31" s="42">
        <f t="shared" si="9"/>
        <v>0</v>
      </c>
      <c r="R31" s="38">
        <f t="shared" si="10"/>
        <v>0</v>
      </c>
      <c r="S31" s="38">
        <f t="shared" si="11"/>
        <v>0</v>
      </c>
      <c r="T31" s="38">
        <f>Policy_Sched!$J31*J31</f>
        <v>0</v>
      </c>
      <c r="U31" s="42">
        <f t="shared" si="12"/>
        <v>0</v>
      </c>
      <c r="V31" s="42">
        <f t="shared" si="13"/>
        <v>0</v>
      </c>
      <c r="W31" s="38">
        <f>IF($A31&gt;LastT,0,N31+W32/(1+Policy_Sched!$K31))</f>
        <v>0</v>
      </c>
      <c r="X31" s="38">
        <f>IF($A31&gt;LastT,0,(-Q31+X32)/(1+Policy_Sched!$K31))</f>
        <v>0</v>
      </c>
      <c r="Y31" s="38">
        <f>IF($A31&gt;LastT,0,-V31+Y32/(1+Policy_Sched!$K31))</f>
        <v>0</v>
      </c>
      <c r="Z31" s="42">
        <f t="shared" si="14"/>
        <v>0</v>
      </c>
      <c r="AA31" s="38">
        <f>IF($A31&gt;LastT,0,N31-V31-Q31/(1+Policy_Sched!$K31)+Z32/(1+Policy_Sched!$K31))</f>
        <v>0</v>
      </c>
    </row>
    <row r="32" spans="1:27" x14ac:dyDescent="0.2">
      <c r="A32" s="30">
        <f t="shared" si="15"/>
        <v>25</v>
      </c>
      <c r="B32" s="31">
        <f t="shared" si="16"/>
        <v>0</v>
      </c>
      <c r="C32" s="31">
        <f>IF($A32&gt;LastT,0,IF(AND($D$3&lt;&gt;0,$A32&gt;=T0,Policy_Sched!$B32&lt;LastAge),1+$D$3*$E$3,1))</f>
        <v>0</v>
      </c>
      <c r="D32" s="36">
        <f>IF($A32&gt;LastT,0,IF($C$3="up",MIN(Policy_Sched!$E32*(1+IF($A32&gt;=T0,$E$3,0)),$F$3),IF($C$3="down",MAX(Policy_Sched!$E32*(1-IF($A32&gt;=T0,$E$3,0)),Policy_Sched!$E32-$F$3),Policy_Sched!$E32)))</f>
        <v>0</v>
      </c>
      <c r="E32" s="37">
        <f t="shared" si="17"/>
        <v>0</v>
      </c>
      <c r="F32" s="37">
        <f t="shared" si="0"/>
        <v>0</v>
      </c>
      <c r="G32" s="37">
        <f t="shared" si="1"/>
        <v>0</v>
      </c>
      <c r="H32" s="37">
        <f t="shared" si="2"/>
        <v>0</v>
      </c>
      <c r="I32" s="37">
        <f t="shared" si="3"/>
        <v>0</v>
      </c>
      <c r="J32" s="37">
        <f t="shared" si="4"/>
        <v>0</v>
      </c>
      <c r="K32" s="37">
        <f>IF($A32&gt;LastT,0,J32*Policy_Sched!$C32*Policy_Sched!$D32*C32)</f>
        <v>0</v>
      </c>
      <c r="L32" s="41">
        <f t="shared" si="5"/>
        <v>0</v>
      </c>
      <c r="M32" s="38">
        <f t="shared" si="6"/>
        <v>0</v>
      </c>
      <c r="N32" s="38">
        <f t="shared" si="7"/>
        <v>0</v>
      </c>
      <c r="O32" s="38">
        <f t="shared" si="8"/>
        <v>0</v>
      </c>
      <c r="P32" s="38">
        <f>Policy_Sched!$I32*(L32+I32)</f>
        <v>0</v>
      </c>
      <c r="Q32" s="42">
        <f t="shared" si="9"/>
        <v>0</v>
      </c>
      <c r="R32" s="38">
        <f t="shared" si="10"/>
        <v>0</v>
      </c>
      <c r="S32" s="38">
        <f t="shared" si="11"/>
        <v>0</v>
      </c>
      <c r="T32" s="38">
        <f>Policy_Sched!$J32*J32</f>
        <v>0</v>
      </c>
      <c r="U32" s="42">
        <f t="shared" si="12"/>
        <v>0</v>
      </c>
      <c r="V32" s="42">
        <f t="shared" si="13"/>
        <v>0</v>
      </c>
      <c r="W32" s="38">
        <f>IF($A32&gt;LastT,0,N32+W33/(1+Policy_Sched!$K32))</f>
        <v>0</v>
      </c>
      <c r="X32" s="38">
        <f>IF($A32&gt;LastT,0,(-Q32+X33)/(1+Policy_Sched!$K32))</f>
        <v>0</v>
      </c>
      <c r="Y32" s="38">
        <f>IF($A32&gt;LastT,0,-V32+Y33/(1+Policy_Sched!$K32))</f>
        <v>0</v>
      </c>
      <c r="Z32" s="42">
        <f t="shared" si="14"/>
        <v>0</v>
      </c>
      <c r="AA32" s="38">
        <f>IF($A32&gt;LastT,0,N32-V32-Q32/(1+Policy_Sched!$K32)+Z33/(1+Policy_Sched!$K32))</f>
        <v>0</v>
      </c>
    </row>
    <row r="33" spans="1:27" x14ac:dyDescent="0.2">
      <c r="A33" s="30">
        <f t="shared" si="15"/>
        <v>26</v>
      </c>
      <c r="B33" s="31">
        <f t="shared" si="16"/>
        <v>0</v>
      </c>
      <c r="C33" s="31">
        <f>IF($A33&gt;LastT,0,IF(AND($D$3&lt;&gt;0,$A33&gt;=T0,Policy_Sched!$B33&lt;LastAge),1+$D$3*$E$3,1))</f>
        <v>0</v>
      </c>
      <c r="D33" s="36">
        <f>IF($A33&gt;LastT,0,IF($C$3="up",MIN(Policy_Sched!$E33*(1+IF($A33&gt;=T0,$E$3,0)),$F$3),IF($C$3="down",MAX(Policy_Sched!$E33*(1-IF($A33&gt;=T0,$E$3,0)),Policy_Sched!$E33-$F$3),Policy_Sched!$E33)))</f>
        <v>0</v>
      </c>
      <c r="E33" s="37">
        <f t="shared" si="17"/>
        <v>0</v>
      </c>
      <c r="F33" s="37">
        <f t="shared" si="0"/>
        <v>0</v>
      </c>
      <c r="G33" s="37">
        <f t="shared" si="1"/>
        <v>0</v>
      </c>
      <c r="H33" s="37">
        <f t="shared" si="2"/>
        <v>0</v>
      </c>
      <c r="I33" s="37">
        <f t="shared" si="3"/>
        <v>0</v>
      </c>
      <c r="J33" s="37">
        <f t="shared" si="4"/>
        <v>0</v>
      </c>
      <c r="K33" s="37">
        <f>IF($A33&gt;LastT,0,J33*Policy_Sched!$C33*Policy_Sched!$D33*C33)</f>
        <v>0</v>
      </c>
      <c r="L33" s="41">
        <f t="shared" si="5"/>
        <v>0</v>
      </c>
      <c r="M33" s="38">
        <f t="shared" si="6"/>
        <v>0</v>
      </c>
      <c r="N33" s="38">
        <f t="shared" si="7"/>
        <v>0</v>
      </c>
      <c r="O33" s="38">
        <f t="shared" si="8"/>
        <v>0</v>
      </c>
      <c r="P33" s="38">
        <f>Policy_Sched!$I33*(L33+I33)</f>
        <v>0</v>
      </c>
      <c r="Q33" s="42">
        <f t="shared" si="9"/>
        <v>0</v>
      </c>
      <c r="R33" s="38">
        <f t="shared" si="10"/>
        <v>0</v>
      </c>
      <c r="S33" s="38">
        <f t="shared" si="11"/>
        <v>0</v>
      </c>
      <c r="T33" s="38">
        <f>Policy_Sched!$J33*J33</f>
        <v>0</v>
      </c>
      <c r="U33" s="42">
        <f t="shared" si="12"/>
        <v>0</v>
      </c>
      <c r="V33" s="42">
        <f t="shared" si="13"/>
        <v>0</v>
      </c>
      <c r="W33" s="38">
        <f>IF($A33&gt;LastT,0,N33+W34/(1+Policy_Sched!$K33))</f>
        <v>0</v>
      </c>
      <c r="X33" s="38">
        <f>IF($A33&gt;LastT,0,(-Q33+X34)/(1+Policy_Sched!$K33))</f>
        <v>0</v>
      </c>
      <c r="Y33" s="38">
        <f>IF($A33&gt;LastT,0,-V33+Y34/(1+Policy_Sched!$K33))</f>
        <v>0</v>
      </c>
      <c r="Z33" s="42">
        <f t="shared" si="14"/>
        <v>0</v>
      </c>
      <c r="AA33" s="38">
        <f>IF($A33&gt;LastT,0,N33-V33-Q33/(1+Policy_Sched!$K33)+Z34/(1+Policy_Sched!$K33))</f>
        <v>0</v>
      </c>
    </row>
    <row r="34" spans="1:27" x14ac:dyDescent="0.2">
      <c r="A34" s="30">
        <f t="shared" si="15"/>
        <v>27</v>
      </c>
      <c r="B34" s="31">
        <f t="shared" si="16"/>
        <v>0</v>
      </c>
      <c r="C34" s="31">
        <f>IF($A34&gt;LastT,0,IF(AND($D$3&lt;&gt;0,$A34&gt;=T0,Policy_Sched!$B34&lt;LastAge),1+$D$3*$E$3,1))</f>
        <v>0</v>
      </c>
      <c r="D34" s="36">
        <f>IF($A34&gt;LastT,0,IF($C$3="up",MIN(Policy_Sched!$E34*(1+IF($A34&gt;=T0,$E$3,0)),$F$3),IF($C$3="down",MAX(Policy_Sched!$E34*(1-IF($A34&gt;=T0,$E$3,0)),Policy_Sched!$E34-$F$3),Policy_Sched!$E34)))</f>
        <v>0</v>
      </c>
      <c r="E34" s="37">
        <f t="shared" si="17"/>
        <v>0</v>
      </c>
      <c r="F34" s="37">
        <f t="shared" si="0"/>
        <v>0</v>
      </c>
      <c r="G34" s="37">
        <f t="shared" si="1"/>
        <v>0</v>
      </c>
      <c r="H34" s="37">
        <f t="shared" si="2"/>
        <v>0</v>
      </c>
      <c r="I34" s="37">
        <f t="shared" si="3"/>
        <v>0</v>
      </c>
      <c r="J34" s="37">
        <f t="shared" si="4"/>
        <v>0</v>
      </c>
      <c r="K34" s="37">
        <f>IF($A34&gt;LastT,0,J34*Policy_Sched!$C34*Policy_Sched!$D34*C34)</f>
        <v>0</v>
      </c>
      <c r="L34" s="41">
        <f t="shared" si="5"/>
        <v>0</v>
      </c>
      <c r="M34" s="38">
        <f t="shared" si="6"/>
        <v>0</v>
      </c>
      <c r="N34" s="38">
        <f t="shared" si="7"/>
        <v>0</v>
      </c>
      <c r="O34" s="38">
        <f t="shared" si="8"/>
        <v>0</v>
      </c>
      <c r="P34" s="38">
        <f>Policy_Sched!$I34*(L34+I34)</f>
        <v>0</v>
      </c>
      <c r="Q34" s="42">
        <f t="shared" si="9"/>
        <v>0</v>
      </c>
      <c r="R34" s="38">
        <f t="shared" si="10"/>
        <v>0</v>
      </c>
      <c r="S34" s="38">
        <f t="shared" si="11"/>
        <v>0</v>
      </c>
      <c r="T34" s="38">
        <f>Policy_Sched!$J34*J34</f>
        <v>0</v>
      </c>
      <c r="U34" s="42">
        <f t="shared" si="12"/>
        <v>0</v>
      </c>
      <c r="V34" s="42">
        <f t="shared" si="13"/>
        <v>0</v>
      </c>
      <c r="W34" s="38">
        <f>IF($A34&gt;LastT,0,N34+W35/(1+Policy_Sched!$K34))</f>
        <v>0</v>
      </c>
      <c r="X34" s="38">
        <f>IF($A34&gt;LastT,0,(-Q34+X35)/(1+Policy_Sched!$K34))</f>
        <v>0</v>
      </c>
      <c r="Y34" s="38">
        <f>IF($A34&gt;LastT,0,-V34+Y35/(1+Policy_Sched!$K34))</f>
        <v>0</v>
      </c>
      <c r="Z34" s="42">
        <f t="shared" si="14"/>
        <v>0</v>
      </c>
      <c r="AA34" s="38">
        <f>IF($A34&gt;LastT,0,N34-V34-Q34/(1+Policy_Sched!$K34)+Z35/(1+Policy_Sched!$K34))</f>
        <v>0</v>
      </c>
    </row>
    <row r="35" spans="1:27" x14ac:dyDescent="0.2">
      <c r="A35" s="30">
        <f t="shared" si="15"/>
        <v>28</v>
      </c>
      <c r="B35" s="31">
        <f t="shared" si="16"/>
        <v>0</v>
      </c>
      <c r="C35" s="31">
        <f>IF($A35&gt;LastT,0,IF(AND($D$3&lt;&gt;0,$A35&gt;=T0,Policy_Sched!$B35&lt;LastAge),1+$D$3*$E$3,1))</f>
        <v>0</v>
      </c>
      <c r="D35" s="36">
        <f>IF($A35&gt;LastT,0,IF($C$3="up",MIN(Policy_Sched!$E35*(1+IF($A35&gt;=T0,$E$3,0)),$F$3),IF($C$3="down",MAX(Policy_Sched!$E35*(1-IF($A35&gt;=T0,$E$3,0)),Policy_Sched!$E35-$F$3),Policy_Sched!$E35)))</f>
        <v>0</v>
      </c>
      <c r="E35" s="37">
        <f t="shared" si="17"/>
        <v>0</v>
      </c>
      <c r="F35" s="37">
        <f t="shared" si="0"/>
        <v>0</v>
      </c>
      <c r="G35" s="37">
        <f t="shared" si="1"/>
        <v>0</v>
      </c>
      <c r="H35" s="37">
        <f t="shared" si="2"/>
        <v>0</v>
      </c>
      <c r="I35" s="37">
        <f t="shared" si="3"/>
        <v>0</v>
      </c>
      <c r="J35" s="37">
        <f t="shared" si="4"/>
        <v>0</v>
      </c>
      <c r="K35" s="37">
        <f>IF($A35&gt;LastT,0,J35*Policy_Sched!$C35*Policy_Sched!$D35*C35)</f>
        <v>0</v>
      </c>
      <c r="L35" s="41">
        <f t="shared" si="5"/>
        <v>0</v>
      </c>
      <c r="M35" s="38">
        <f t="shared" si="6"/>
        <v>0</v>
      </c>
      <c r="N35" s="38">
        <f t="shared" si="7"/>
        <v>0</v>
      </c>
      <c r="O35" s="38">
        <f t="shared" si="8"/>
        <v>0</v>
      </c>
      <c r="P35" s="38">
        <f>Policy_Sched!$I35*(L35+I35)</f>
        <v>0</v>
      </c>
      <c r="Q35" s="42">
        <f t="shared" si="9"/>
        <v>0</v>
      </c>
      <c r="R35" s="38">
        <f t="shared" si="10"/>
        <v>0</v>
      </c>
      <c r="S35" s="38">
        <f t="shared" si="11"/>
        <v>0</v>
      </c>
      <c r="T35" s="38">
        <f>Policy_Sched!$J35*J35</f>
        <v>0</v>
      </c>
      <c r="U35" s="42">
        <f t="shared" si="12"/>
        <v>0</v>
      </c>
      <c r="V35" s="42">
        <f t="shared" si="13"/>
        <v>0</v>
      </c>
      <c r="W35" s="38">
        <f>IF($A35&gt;LastT,0,N35+W36/(1+Policy_Sched!$K35))</f>
        <v>0</v>
      </c>
      <c r="X35" s="38">
        <f>IF($A35&gt;LastT,0,(-Q35+X36)/(1+Policy_Sched!$K35))</f>
        <v>0</v>
      </c>
      <c r="Y35" s="38">
        <f>IF($A35&gt;LastT,0,-V35+Y36/(1+Policy_Sched!$K35))</f>
        <v>0</v>
      </c>
      <c r="Z35" s="42">
        <f t="shared" si="14"/>
        <v>0</v>
      </c>
      <c r="AA35" s="38">
        <f>IF($A35&gt;LastT,0,N35-V35-Q35/(1+Policy_Sched!$K35)+Z36/(1+Policy_Sched!$K35))</f>
        <v>0</v>
      </c>
    </row>
    <row r="36" spans="1:27" x14ac:dyDescent="0.2">
      <c r="A36" s="30">
        <f t="shared" si="15"/>
        <v>29</v>
      </c>
      <c r="B36" s="31">
        <f t="shared" si="16"/>
        <v>0</v>
      </c>
      <c r="C36" s="31">
        <f>IF($A36&gt;LastT,0,IF(AND($D$3&lt;&gt;0,$A36&gt;=T0,Policy_Sched!$B36&lt;LastAge),1+$D$3*$E$3,1))</f>
        <v>0</v>
      </c>
      <c r="D36" s="36">
        <f>IF($A36&gt;LastT,0,IF($C$3="up",MIN(Policy_Sched!$E36*(1+IF($A36&gt;=T0,$E$3,0)),$F$3),IF($C$3="down",MAX(Policy_Sched!$E36*(1-IF($A36&gt;=T0,$E$3,0)),Policy_Sched!$E36-$F$3),Policy_Sched!$E36)))</f>
        <v>0</v>
      </c>
      <c r="E36" s="37">
        <f t="shared" si="17"/>
        <v>0</v>
      </c>
      <c r="F36" s="37">
        <f t="shared" si="0"/>
        <v>0</v>
      </c>
      <c r="G36" s="37">
        <f t="shared" si="1"/>
        <v>0</v>
      </c>
      <c r="H36" s="37">
        <f t="shared" si="2"/>
        <v>0</v>
      </c>
      <c r="I36" s="37">
        <f t="shared" si="3"/>
        <v>0</v>
      </c>
      <c r="J36" s="37">
        <f t="shared" si="4"/>
        <v>0</v>
      </c>
      <c r="K36" s="37">
        <f>IF($A36&gt;LastT,0,J36*Policy_Sched!$C36*Policy_Sched!$D36*C36)</f>
        <v>0</v>
      </c>
      <c r="L36" s="41">
        <f t="shared" si="5"/>
        <v>0</v>
      </c>
      <c r="M36" s="38">
        <f t="shared" si="6"/>
        <v>0</v>
      </c>
      <c r="N36" s="38">
        <f t="shared" si="7"/>
        <v>0</v>
      </c>
      <c r="O36" s="38">
        <f t="shared" si="8"/>
        <v>0</v>
      </c>
      <c r="P36" s="38">
        <f>Policy_Sched!$I36*(L36+I36)</f>
        <v>0</v>
      </c>
      <c r="Q36" s="42">
        <f t="shared" si="9"/>
        <v>0</v>
      </c>
      <c r="R36" s="38">
        <f t="shared" si="10"/>
        <v>0</v>
      </c>
      <c r="S36" s="38">
        <f t="shared" si="11"/>
        <v>0</v>
      </c>
      <c r="T36" s="38">
        <f>Policy_Sched!$J36*J36</f>
        <v>0</v>
      </c>
      <c r="U36" s="42">
        <f t="shared" si="12"/>
        <v>0</v>
      </c>
      <c r="V36" s="42">
        <f t="shared" si="13"/>
        <v>0</v>
      </c>
      <c r="W36" s="38">
        <f>IF($A36&gt;LastT,0,N36+W37/(1+Policy_Sched!$K36))</f>
        <v>0</v>
      </c>
      <c r="X36" s="38">
        <f>IF($A36&gt;LastT,0,(-Q36+X37)/(1+Policy_Sched!$K36))</f>
        <v>0</v>
      </c>
      <c r="Y36" s="38">
        <f>IF($A36&gt;LastT,0,-V36+Y37/(1+Policy_Sched!$K36))</f>
        <v>0</v>
      </c>
      <c r="Z36" s="42">
        <f t="shared" si="14"/>
        <v>0</v>
      </c>
      <c r="AA36" s="38">
        <f>IF($A36&gt;LastT,0,N36-V36-Q36/(1+Policy_Sched!$K36)+Z37/(1+Policy_Sched!$K36))</f>
        <v>0</v>
      </c>
    </row>
    <row r="37" spans="1:27" x14ac:dyDescent="0.2">
      <c r="A37" s="30">
        <f t="shared" si="15"/>
        <v>30</v>
      </c>
      <c r="B37" s="31">
        <f t="shared" si="16"/>
        <v>0</v>
      </c>
      <c r="C37" s="31">
        <f>IF($A37&gt;LastT,0,IF(AND($D$3&lt;&gt;0,$A37&gt;=T0,Policy_Sched!$B37&lt;LastAge),1+$D$3*$E$3,1))</f>
        <v>0</v>
      </c>
      <c r="D37" s="36">
        <f>IF($A37&gt;LastT,0,IF($C$3="up",MIN(Policy_Sched!$E37*(1+IF($A37&gt;=T0,$E$3,0)),$F$3),IF($C$3="down",MAX(Policy_Sched!$E37*(1-IF($A37&gt;=T0,$E$3,0)),Policy_Sched!$E37-$F$3),Policy_Sched!$E37)))</f>
        <v>0</v>
      </c>
      <c r="E37" s="37">
        <f t="shared" si="17"/>
        <v>0</v>
      </c>
      <c r="F37" s="37">
        <f t="shared" si="0"/>
        <v>0</v>
      </c>
      <c r="G37" s="37">
        <f t="shared" si="1"/>
        <v>0</v>
      </c>
      <c r="H37" s="37">
        <f t="shared" si="2"/>
        <v>0</v>
      </c>
      <c r="I37" s="37">
        <f t="shared" si="3"/>
        <v>0</v>
      </c>
      <c r="J37" s="37">
        <f t="shared" si="4"/>
        <v>0</v>
      </c>
      <c r="K37" s="37">
        <f>IF($A37&gt;LastT,0,J37*Policy_Sched!$C37*Policy_Sched!$D37*C37)</f>
        <v>0</v>
      </c>
      <c r="L37" s="41">
        <f t="shared" si="5"/>
        <v>0</v>
      </c>
      <c r="M37" s="38">
        <f t="shared" si="6"/>
        <v>0</v>
      </c>
      <c r="N37" s="38">
        <f t="shared" si="7"/>
        <v>0</v>
      </c>
      <c r="O37" s="38">
        <f t="shared" si="8"/>
        <v>0</v>
      </c>
      <c r="P37" s="38">
        <f>Policy_Sched!$I37*(L37+I37)</f>
        <v>0</v>
      </c>
      <c r="Q37" s="42">
        <f t="shared" si="9"/>
        <v>0</v>
      </c>
      <c r="R37" s="38">
        <f t="shared" si="10"/>
        <v>0</v>
      </c>
      <c r="S37" s="38">
        <f t="shared" si="11"/>
        <v>0</v>
      </c>
      <c r="T37" s="38">
        <f>Policy_Sched!$J37*J37</f>
        <v>0</v>
      </c>
      <c r="U37" s="42">
        <f t="shared" si="12"/>
        <v>0</v>
      </c>
      <c r="V37" s="42">
        <f t="shared" si="13"/>
        <v>0</v>
      </c>
      <c r="W37" s="38">
        <f>IF($A37&gt;LastT,0,N37+W38/(1+Policy_Sched!$K37))</f>
        <v>0</v>
      </c>
      <c r="X37" s="38">
        <f>IF($A37&gt;LastT,0,(-Q37+X38)/(1+Policy_Sched!$K37))</f>
        <v>0</v>
      </c>
      <c r="Y37" s="38">
        <f>IF($A37&gt;LastT,0,-V37+Y38/(1+Policy_Sched!$K37))</f>
        <v>0</v>
      </c>
      <c r="Z37" s="42">
        <f t="shared" si="14"/>
        <v>0</v>
      </c>
      <c r="AA37" s="38">
        <f>IF($A37&gt;LastT,0,N37-V37-Q37/(1+Policy_Sched!$K37)+Z38/(1+Policy_Sched!$K37))</f>
        <v>0</v>
      </c>
    </row>
    <row r="38" spans="1:27" x14ac:dyDescent="0.2">
      <c r="A38" s="30">
        <f t="shared" si="15"/>
        <v>31</v>
      </c>
      <c r="B38" s="31">
        <f t="shared" si="16"/>
        <v>0</v>
      </c>
      <c r="C38" s="31">
        <f>IF($A38&gt;LastT,0,IF(AND($D$3&lt;&gt;0,$A38&gt;=T0,Policy_Sched!$B38&lt;LastAge),1+$D$3*$E$3,1))</f>
        <v>0</v>
      </c>
      <c r="D38" s="36">
        <f>IF($A38&gt;LastT,0,IF($C$3="up",MIN(Policy_Sched!$E38*(1+IF($A38&gt;=T0,$E$3,0)),$F$3),IF($C$3="down",MAX(Policy_Sched!$E38*(1-IF($A38&gt;=T0,$E$3,0)),Policy_Sched!$E38-$F$3),Policy_Sched!$E38)))</f>
        <v>0</v>
      </c>
      <c r="E38" s="37">
        <f t="shared" si="17"/>
        <v>0</v>
      </c>
      <c r="F38" s="37">
        <f t="shared" si="0"/>
        <v>0</v>
      </c>
      <c r="G38" s="37">
        <f t="shared" si="1"/>
        <v>0</v>
      </c>
      <c r="H38" s="37">
        <f t="shared" si="2"/>
        <v>0</v>
      </c>
      <c r="I38" s="37">
        <f t="shared" si="3"/>
        <v>0</v>
      </c>
      <c r="J38" s="37">
        <f t="shared" si="4"/>
        <v>0</v>
      </c>
      <c r="K38" s="37">
        <f>IF($A38&gt;LastT,0,J38*Policy_Sched!$C38*Policy_Sched!$D38*C38)</f>
        <v>0</v>
      </c>
      <c r="L38" s="41">
        <f t="shared" si="5"/>
        <v>0</v>
      </c>
      <c r="M38" s="38">
        <f t="shared" si="6"/>
        <v>0</v>
      </c>
      <c r="N38" s="38">
        <f t="shared" si="7"/>
        <v>0</v>
      </c>
      <c r="O38" s="38">
        <f t="shared" si="8"/>
        <v>0</v>
      </c>
      <c r="P38" s="38">
        <f>Policy_Sched!$I38*(L38+I38)</f>
        <v>0</v>
      </c>
      <c r="Q38" s="42">
        <f t="shared" si="9"/>
        <v>0</v>
      </c>
      <c r="R38" s="38">
        <f t="shared" si="10"/>
        <v>0</v>
      </c>
      <c r="S38" s="38">
        <f t="shared" si="11"/>
        <v>0</v>
      </c>
      <c r="T38" s="38">
        <f>Policy_Sched!$J38*J38</f>
        <v>0</v>
      </c>
      <c r="U38" s="42">
        <f t="shared" si="12"/>
        <v>0</v>
      </c>
      <c r="V38" s="42">
        <f t="shared" si="13"/>
        <v>0</v>
      </c>
      <c r="W38" s="38">
        <f>IF($A38&gt;LastT,0,N38+W39/(1+Policy_Sched!$K38))</f>
        <v>0</v>
      </c>
      <c r="X38" s="38">
        <f>IF($A38&gt;LastT,0,(-Q38+X39)/(1+Policy_Sched!$K38))</f>
        <v>0</v>
      </c>
      <c r="Y38" s="38">
        <f>IF($A38&gt;LastT,0,-V38+Y39/(1+Policy_Sched!$K38))</f>
        <v>0</v>
      </c>
      <c r="Z38" s="42">
        <f t="shared" si="14"/>
        <v>0</v>
      </c>
      <c r="AA38" s="38">
        <f>IF($A38&gt;LastT,0,N38-V38-Q38/(1+Policy_Sched!$K38)+Z39/(1+Policy_Sched!$K38))</f>
        <v>0</v>
      </c>
    </row>
    <row r="39" spans="1:27" x14ac:dyDescent="0.2">
      <c r="A39" s="30">
        <f t="shared" si="15"/>
        <v>32</v>
      </c>
      <c r="B39" s="31">
        <f t="shared" si="16"/>
        <v>0</v>
      </c>
      <c r="C39" s="31">
        <f>IF($A39&gt;LastT,0,IF(AND($D$3&lt;&gt;0,$A39&gt;=T0,Policy_Sched!$B39&lt;LastAge),1+$D$3*$E$3,1))</f>
        <v>0</v>
      </c>
      <c r="D39" s="36">
        <f>IF($A39&gt;LastT,0,IF($C$3="up",MIN(Policy_Sched!$E39*(1+IF($A39&gt;=T0,$E$3,0)),$F$3),IF($C$3="down",MAX(Policy_Sched!$E39*(1-IF($A39&gt;=T0,$E$3,0)),Policy_Sched!$E39-$F$3),Policy_Sched!$E39)))</f>
        <v>0</v>
      </c>
      <c r="E39" s="37">
        <f t="shared" si="17"/>
        <v>0</v>
      </c>
      <c r="F39" s="37">
        <f t="shared" ref="F39:F70" si="18">IF($A39&gt;LastT,0,IF($A39=PolicyTerm,E39,0))</f>
        <v>0</v>
      </c>
      <c r="G39" s="37">
        <f t="shared" ref="G39:G70" si="19">IF($A39&gt;LastT,0,E39-F39)</f>
        <v>0</v>
      </c>
      <c r="H39" s="37">
        <f t="shared" ref="H39:H70" si="20">IF($A39=0,PolicyCount,0)</f>
        <v>0</v>
      </c>
      <c r="I39" s="37">
        <f t="shared" ref="I39:I70" si="21">IF($A39&gt;LastT,0,IF(AND($C$3="mass",$A39=T0),(G39+H39)*$E$3,0))</f>
        <v>0</v>
      </c>
      <c r="J39" s="37">
        <f t="shared" ref="J39:J70" si="22">IF($A39&gt;LastT,0,G39+H39-I39)</f>
        <v>0</v>
      </c>
      <c r="K39" s="37">
        <f>IF($A39&gt;LastT,0,J39*Policy_Sched!$C39*Policy_Sched!$D39*C39)</f>
        <v>0</v>
      </c>
      <c r="L39" s="41">
        <f t="shared" ref="L39:L70" si="23">J39*D39</f>
        <v>0</v>
      </c>
      <c r="M39" s="38">
        <f t="shared" ref="M39:M70" si="24">IF($A39&gt;LastT,0,(SizeAnnPrem*ExpsMaintAnnPrem+(SumAssured*ExpsMaintSA+ExpsMaintPol)*B39)*(1+IF($B$3="exps",$E$3,0)))</f>
        <v>0</v>
      </c>
      <c r="N39" s="38">
        <f t="shared" ref="N39:N70" si="25">SizePremium*J39</f>
        <v>0</v>
      </c>
      <c r="O39" s="38">
        <f t="shared" ref="O39:O70" si="26">SumAssured*K39</f>
        <v>0</v>
      </c>
      <c r="P39" s="38">
        <f>Policy_Sched!$I39*(L39+I39)</f>
        <v>0</v>
      </c>
      <c r="Q39" s="42">
        <f t="shared" ref="Q39:Q70" si="27">O39+P39</f>
        <v>0</v>
      </c>
      <c r="R39" s="38">
        <f t="shared" ref="R39:R70" si="28">IF($A39=0,SizeExpsAcq0*H39,0)</f>
        <v>0</v>
      </c>
      <c r="S39" s="38">
        <f t="shared" ref="S39:S70" si="29">IF($A39=0,SizeExpsCommInit0*J39,0)</f>
        <v>0</v>
      </c>
      <c r="T39" s="38">
        <f>Policy_Sched!$J39*J39</f>
        <v>0</v>
      </c>
      <c r="U39" s="42">
        <f t="shared" ref="U39:U70" si="30">M39*J39</f>
        <v>0</v>
      </c>
      <c r="V39" s="42">
        <f t="shared" ref="V39:V70" si="31">S39+T39+R39+U39</f>
        <v>0</v>
      </c>
      <c r="W39" s="38">
        <f>IF($A39&gt;LastT,0,N39+W40/(1+Policy_Sched!$K39))</f>
        <v>0</v>
      </c>
      <c r="X39" s="38">
        <f>IF($A39&gt;LastT,0,(-Q39+X40)/(1+Policy_Sched!$K39))</f>
        <v>0</v>
      </c>
      <c r="Y39" s="38">
        <f>IF($A39&gt;LastT,0,-V39+Y40/(1+Policy_Sched!$K39))</f>
        <v>0</v>
      </c>
      <c r="Z39" s="42">
        <f t="shared" ref="Z39:Z70" si="32">W39+Y39+X39</f>
        <v>0</v>
      </c>
      <c r="AA39" s="38">
        <f>IF($A39&gt;LastT,0,N39-V39-Q39/(1+Policy_Sched!$K39)+Z40/(1+Policy_Sched!$K39))</f>
        <v>0</v>
      </c>
    </row>
    <row r="40" spans="1:27" x14ac:dyDescent="0.2">
      <c r="A40" s="30">
        <f t="shared" ref="A40:A71" si="33">A39+1</f>
        <v>33</v>
      </c>
      <c r="B40" s="31">
        <f t="shared" ref="B40:B71" si="34">IF($A40&gt;LastT,0,IF($B$3="exps",B39*(1+InflRate+IF($A40&gt;=T0,$G$3,0)),B39/(1+InflRate)))</f>
        <v>0</v>
      </c>
      <c r="C40" s="31">
        <f>IF($A40&gt;LastT,0,IF(AND($D$3&lt;&gt;0,$A40&gt;=T0,Policy_Sched!$B40&lt;LastAge),1+$D$3*$E$3,1))</f>
        <v>0</v>
      </c>
      <c r="D40" s="36">
        <f>IF($A40&gt;LastT,0,IF($C$3="up",MIN(Policy_Sched!$E40*(1+IF($A40&gt;=T0,$E$3,0)),$F$3),IF($C$3="down",MAX(Policy_Sched!$E40*(1-IF($A40&gt;=T0,$E$3,0)),Policy_Sched!$E40-$F$3),Policy_Sched!$E40)))</f>
        <v>0</v>
      </c>
      <c r="E40" s="37">
        <f t="shared" ref="E40:E71" si="35">IF($A40&gt;LastT,0,J39-K39-L39)</f>
        <v>0</v>
      </c>
      <c r="F40" s="37">
        <f t="shared" si="18"/>
        <v>0</v>
      </c>
      <c r="G40" s="37">
        <f t="shared" si="19"/>
        <v>0</v>
      </c>
      <c r="H40" s="37">
        <f t="shared" si="20"/>
        <v>0</v>
      </c>
      <c r="I40" s="37">
        <f t="shared" si="21"/>
        <v>0</v>
      </c>
      <c r="J40" s="37">
        <f t="shared" si="22"/>
        <v>0</v>
      </c>
      <c r="K40" s="37">
        <f>IF($A40&gt;LastT,0,J40*Policy_Sched!$C40*Policy_Sched!$D40*C40)</f>
        <v>0</v>
      </c>
      <c r="L40" s="41">
        <f t="shared" si="23"/>
        <v>0</v>
      </c>
      <c r="M40" s="38">
        <f t="shared" si="24"/>
        <v>0</v>
      </c>
      <c r="N40" s="38">
        <f t="shared" si="25"/>
        <v>0</v>
      </c>
      <c r="O40" s="38">
        <f t="shared" si="26"/>
        <v>0</v>
      </c>
      <c r="P40" s="38">
        <f>Policy_Sched!$I40*(L40+I40)</f>
        <v>0</v>
      </c>
      <c r="Q40" s="42">
        <f t="shared" si="27"/>
        <v>0</v>
      </c>
      <c r="R40" s="38">
        <f t="shared" si="28"/>
        <v>0</v>
      </c>
      <c r="S40" s="38">
        <f t="shared" si="29"/>
        <v>0</v>
      </c>
      <c r="T40" s="38">
        <f>Policy_Sched!$J40*J40</f>
        <v>0</v>
      </c>
      <c r="U40" s="42">
        <f t="shared" si="30"/>
        <v>0</v>
      </c>
      <c r="V40" s="42">
        <f t="shared" si="31"/>
        <v>0</v>
      </c>
      <c r="W40" s="38">
        <f>IF($A40&gt;LastT,0,N40+W41/(1+Policy_Sched!$K40))</f>
        <v>0</v>
      </c>
      <c r="X40" s="38">
        <f>IF($A40&gt;LastT,0,(-Q40+X41)/(1+Policy_Sched!$K40))</f>
        <v>0</v>
      </c>
      <c r="Y40" s="38">
        <f>IF($A40&gt;LastT,0,-V40+Y41/(1+Policy_Sched!$K40))</f>
        <v>0</v>
      </c>
      <c r="Z40" s="42">
        <f t="shared" si="32"/>
        <v>0</v>
      </c>
      <c r="AA40" s="38">
        <f>IF($A40&gt;LastT,0,N40-V40-Q40/(1+Policy_Sched!$K40)+Z41/(1+Policy_Sched!$K40))</f>
        <v>0</v>
      </c>
    </row>
    <row r="41" spans="1:27" x14ac:dyDescent="0.2">
      <c r="A41" s="30">
        <f t="shared" si="33"/>
        <v>34</v>
      </c>
      <c r="B41" s="31">
        <f t="shared" si="34"/>
        <v>0</v>
      </c>
      <c r="C41" s="31">
        <f>IF($A41&gt;LastT,0,IF(AND($D$3&lt;&gt;0,$A41&gt;=T0,Policy_Sched!$B41&lt;LastAge),1+$D$3*$E$3,1))</f>
        <v>0</v>
      </c>
      <c r="D41" s="36">
        <f>IF($A41&gt;LastT,0,IF($C$3="up",MIN(Policy_Sched!$E41*(1+IF($A41&gt;=T0,$E$3,0)),$F$3),IF($C$3="down",MAX(Policy_Sched!$E41*(1-IF($A41&gt;=T0,$E$3,0)),Policy_Sched!$E41-$F$3),Policy_Sched!$E41)))</f>
        <v>0</v>
      </c>
      <c r="E41" s="37">
        <f t="shared" si="35"/>
        <v>0</v>
      </c>
      <c r="F41" s="37">
        <f t="shared" si="18"/>
        <v>0</v>
      </c>
      <c r="G41" s="37">
        <f t="shared" si="19"/>
        <v>0</v>
      </c>
      <c r="H41" s="37">
        <f t="shared" si="20"/>
        <v>0</v>
      </c>
      <c r="I41" s="37">
        <f t="shared" si="21"/>
        <v>0</v>
      </c>
      <c r="J41" s="37">
        <f t="shared" si="22"/>
        <v>0</v>
      </c>
      <c r="K41" s="37">
        <f>IF($A41&gt;LastT,0,J41*Policy_Sched!$C41*Policy_Sched!$D41*C41)</f>
        <v>0</v>
      </c>
      <c r="L41" s="41">
        <f t="shared" si="23"/>
        <v>0</v>
      </c>
      <c r="M41" s="38">
        <f t="shared" si="24"/>
        <v>0</v>
      </c>
      <c r="N41" s="38">
        <f t="shared" si="25"/>
        <v>0</v>
      </c>
      <c r="O41" s="38">
        <f t="shared" si="26"/>
        <v>0</v>
      </c>
      <c r="P41" s="38">
        <f>Policy_Sched!$I41*(L41+I41)</f>
        <v>0</v>
      </c>
      <c r="Q41" s="42">
        <f t="shared" si="27"/>
        <v>0</v>
      </c>
      <c r="R41" s="38">
        <f t="shared" si="28"/>
        <v>0</v>
      </c>
      <c r="S41" s="38">
        <f t="shared" si="29"/>
        <v>0</v>
      </c>
      <c r="T41" s="38">
        <f>Policy_Sched!$J41*J41</f>
        <v>0</v>
      </c>
      <c r="U41" s="42">
        <f t="shared" si="30"/>
        <v>0</v>
      </c>
      <c r="V41" s="42">
        <f t="shared" si="31"/>
        <v>0</v>
      </c>
      <c r="W41" s="38">
        <f>IF($A41&gt;LastT,0,N41+W42/(1+Policy_Sched!$K41))</f>
        <v>0</v>
      </c>
      <c r="X41" s="38">
        <f>IF($A41&gt;LastT,0,(-Q41+X42)/(1+Policy_Sched!$K41))</f>
        <v>0</v>
      </c>
      <c r="Y41" s="38">
        <f>IF($A41&gt;LastT,0,-V41+Y42/(1+Policy_Sched!$K41))</f>
        <v>0</v>
      </c>
      <c r="Z41" s="42">
        <f t="shared" si="32"/>
        <v>0</v>
      </c>
      <c r="AA41" s="38">
        <f>IF($A41&gt;LastT,0,N41-V41-Q41/(1+Policy_Sched!$K41)+Z42/(1+Policy_Sched!$K41))</f>
        <v>0</v>
      </c>
    </row>
    <row r="42" spans="1:27" x14ac:dyDescent="0.2">
      <c r="A42" s="30">
        <f t="shared" si="33"/>
        <v>35</v>
      </c>
      <c r="B42" s="31">
        <f t="shared" si="34"/>
        <v>0</v>
      </c>
      <c r="C42" s="31">
        <f>IF($A42&gt;LastT,0,IF(AND($D$3&lt;&gt;0,$A42&gt;=T0,Policy_Sched!$B42&lt;LastAge),1+$D$3*$E$3,1))</f>
        <v>0</v>
      </c>
      <c r="D42" s="36">
        <f>IF($A42&gt;LastT,0,IF($C$3="up",MIN(Policy_Sched!$E42*(1+IF($A42&gt;=T0,$E$3,0)),$F$3),IF($C$3="down",MAX(Policy_Sched!$E42*(1-IF($A42&gt;=T0,$E$3,0)),Policy_Sched!$E42-$F$3),Policy_Sched!$E42)))</f>
        <v>0</v>
      </c>
      <c r="E42" s="37">
        <f t="shared" si="35"/>
        <v>0</v>
      </c>
      <c r="F42" s="37">
        <f t="shared" si="18"/>
        <v>0</v>
      </c>
      <c r="G42" s="37">
        <f t="shared" si="19"/>
        <v>0</v>
      </c>
      <c r="H42" s="37">
        <f t="shared" si="20"/>
        <v>0</v>
      </c>
      <c r="I42" s="37">
        <f t="shared" si="21"/>
        <v>0</v>
      </c>
      <c r="J42" s="37">
        <f t="shared" si="22"/>
        <v>0</v>
      </c>
      <c r="K42" s="37">
        <f>IF($A42&gt;LastT,0,J42*Policy_Sched!$C42*Policy_Sched!$D42*C42)</f>
        <v>0</v>
      </c>
      <c r="L42" s="41">
        <f t="shared" si="23"/>
        <v>0</v>
      </c>
      <c r="M42" s="38">
        <f t="shared" si="24"/>
        <v>0</v>
      </c>
      <c r="N42" s="38">
        <f t="shared" si="25"/>
        <v>0</v>
      </c>
      <c r="O42" s="38">
        <f t="shared" si="26"/>
        <v>0</v>
      </c>
      <c r="P42" s="38">
        <f>Policy_Sched!$I42*(L42+I42)</f>
        <v>0</v>
      </c>
      <c r="Q42" s="42">
        <f t="shared" si="27"/>
        <v>0</v>
      </c>
      <c r="R42" s="38">
        <f t="shared" si="28"/>
        <v>0</v>
      </c>
      <c r="S42" s="38">
        <f t="shared" si="29"/>
        <v>0</v>
      </c>
      <c r="T42" s="38">
        <f>Policy_Sched!$J42*J42</f>
        <v>0</v>
      </c>
      <c r="U42" s="42">
        <f t="shared" si="30"/>
        <v>0</v>
      </c>
      <c r="V42" s="42">
        <f t="shared" si="31"/>
        <v>0</v>
      </c>
      <c r="W42" s="38">
        <f>IF($A42&gt;LastT,0,N42+W43/(1+Policy_Sched!$K42))</f>
        <v>0</v>
      </c>
      <c r="X42" s="38">
        <f>IF($A42&gt;LastT,0,(-Q42+X43)/(1+Policy_Sched!$K42))</f>
        <v>0</v>
      </c>
      <c r="Y42" s="38">
        <f>IF($A42&gt;LastT,0,-V42+Y43/(1+Policy_Sched!$K42))</f>
        <v>0</v>
      </c>
      <c r="Z42" s="42">
        <f t="shared" si="32"/>
        <v>0</v>
      </c>
      <c r="AA42" s="38">
        <f>IF($A42&gt;LastT,0,N42-V42-Q42/(1+Policy_Sched!$K42)+Z43/(1+Policy_Sched!$K42))</f>
        <v>0</v>
      </c>
    </row>
    <row r="43" spans="1:27" x14ac:dyDescent="0.2">
      <c r="A43" s="30">
        <f t="shared" si="33"/>
        <v>36</v>
      </c>
      <c r="B43" s="31">
        <f t="shared" si="34"/>
        <v>0</v>
      </c>
      <c r="C43" s="31">
        <f>IF($A43&gt;LastT,0,IF(AND($D$3&lt;&gt;0,$A43&gt;=T0,Policy_Sched!$B43&lt;LastAge),1+$D$3*$E$3,1))</f>
        <v>0</v>
      </c>
      <c r="D43" s="36">
        <f>IF($A43&gt;LastT,0,IF($C$3="up",MIN(Policy_Sched!$E43*(1+IF($A43&gt;=T0,$E$3,0)),$F$3),IF($C$3="down",MAX(Policy_Sched!$E43*(1-IF($A43&gt;=T0,$E$3,0)),Policy_Sched!$E43-$F$3),Policy_Sched!$E43)))</f>
        <v>0</v>
      </c>
      <c r="E43" s="37">
        <f t="shared" si="35"/>
        <v>0</v>
      </c>
      <c r="F43" s="37">
        <f t="shared" si="18"/>
        <v>0</v>
      </c>
      <c r="G43" s="37">
        <f t="shared" si="19"/>
        <v>0</v>
      </c>
      <c r="H43" s="37">
        <f t="shared" si="20"/>
        <v>0</v>
      </c>
      <c r="I43" s="37">
        <f t="shared" si="21"/>
        <v>0</v>
      </c>
      <c r="J43" s="37">
        <f t="shared" si="22"/>
        <v>0</v>
      </c>
      <c r="K43" s="37">
        <f>IF($A43&gt;LastT,0,J43*Policy_Sched!$C43*Policy_Sched!$D43*C43)</f>
        <v>0</v>
      </c>
      <c r="L43" s="41">
        <f t="shared" si="23"/>
        <v>0</v>
      </c>
      <c r="M43" s="38">
        <f t="shared" si="24"/>
        <v>0</v>
      </c>
      <c r="N43" s="38">
        <f t="shared" si="25"/>
        <v>0</v>
      </c>
      <c r="O43" s="38">
        <f t="shared" si="26"/>
        <v>0</v>
      </c>
      <c r="P43" s="38">
        <f>Policy_Sched!$I43*(L43+I43)</f>
        <v>0</v>
      </c>
      <c r="Q43" s="42">
        <f t="shared" si="27"/>
        <v>0</v>
      </c>
      <c r="R43" s="38">
        <f t="shared" si="28"/>
        <v>0</v>
      </c>
      <c r="S43" s="38">
        <f t="shared" si="29"/>
        <v>0</v>
      </c>
      <c r="T43" s="38">
        <f>Policy_Sched!$J43*J43</f>
        <v>0</v>
      </c>
      <c r="U43" s="42">
        <f t="shared" si="30"/>
        <v>0</v>
      </c>
      <c r="V43" s="42">
        <f t="shared" si="31"/>
        <v>0</v>
      </c>
      <c r="W43" s="38">
        <f>IF($A43&gt;LastT,0,N43+W44/(1+Policy_Sched!$K43))</f>
        <v>0</v>
      </c>
      <c r="X43" s="38">
        <f>IF($A43&gt;LastT,0,(-Q43+X44)/(1+Policy_Sched!$K43))</f>
        <v>0</v>
      </c>
      <c r="Y43" s="38">
        <f>IF($A43&gt;LastT,0,-V43+Y44/(1+Policy_Sched!$K43))</f>
        <v>0</v>
      </c>
      <c r="Z43" s="42">
        <f t="shared" si="32"/>
        <v>0</v>
      </c>
      <c r="AA43" s="38">
        <f>IF($A43&gt;LastT,0,N43-V43-Q43/(1+Policy_Sched!$K43)+Z44/(1+Policy_Sched!$K43))</f>
        <v>0</v>
      </c>
    </row>
    <row r="44" spans="1:27" x14ac:dyDescent="0.2">
      <c r="A44" s="30">
        <f t="shared" si="33"/>
        <v>37</v>
      </c>
      <c r="B44" s="31">
        <f t="shared" si="34"/>
        <v>0</v>
      </c>
      <c r="C44" s="31">
        <f>IF($A44&gt;LastT,0,IF(AND($D$3&lt;&gt;0,$A44&gt;=T0,Policy_Sched!$B44&lt;LastAge),1+$D$3*$E$3,1))</f>
        <v>0</v>
      </c>
      <c r="D44" s="36">
        <f>IF($A44&gt;LastT,0,IF($C$3="up",MIN(Policy_Sched!$E44*(1+IF($A44&gt;=T0,$E$3,0)),$F$3),IF($C$3="down",MAX(Policy_Sched!$E44*(1-IF($A44&gt;=T0,$E$3,0)),Policy_Sched!$E44-$F$3),Policy_Sched!$E44)))</f>
        <v>0</v>
      </c>
      <c r="E44" s="37">
        <f t="shared" si="35"/>
        <v>0</v>
      </c>
      <c r="F44" s="37">
        <f t="shared" si="18"/>
        <v>0</v>
      </c>
      <c r="G44" s="37">
        <f t="shared" si="19"/>
        <v>0</v>
      </c>
      <c r="H44" s="37">
        <f t="shared" si="20"/>
        <v>0</v>
      </c>
      <c r="I44" s="37">
        <f t="shared" si="21"/>
        <v>0</v>
      </c>
      <c r="J44" s="37">
        <f t="shared" si="22"/>
        <v>0</v>
      </c>
      <c r="K44" s="37">
        <f>IF($A44&gt;LastT,0,J44*Policy_Sched!$C44*Policy_Sched!$D44*C44)</f>
        <v>0</v>
      </c>
      <c r="L44" s="41">
        <f t="shared" si="23"/>
        <v>0</v>
      </c>
      <c r="M44" s="38">
        <f t="shared" si="24"/>
        <v>0</v>
      </c>
      <c r="N44" s="38">
        <f t="shared" si="25"/>
        <v>0</v>
      </c>
      <c r="O44" s="38">
        <f t="shared" si="26"/>
        <v>0</v>
      </c>
      <c r="P44" s="38">
        <f>Policy_Sched!$I44*(L44+I44)</f>
        <v>0</v>
      </c>
      <c r="Q44" s="42">
        <f t="shared" si="27"/>
        <v>0</v>
      </c>
      <c r="R44" s="38">
        <f t="shared" si="28"/>
        <v>0</v>
      </c>
      <c r="S44" s="38">
        <f t="shared" si="29"/>
        <v>0</v>
      </c>
      <c r="T44" s="38">
        <f>Policy_Sched!$J44*J44</f>
        <v>0</v>
      </c>
      <c r="U44" s="42">
        <f t="shared" si="30"/>
        <v>0</v>
      </c>
      <c r="V44" s="42">
        <f t="shared" si="31"/>
        <v>0</v>
      </c>
      <c r="W44" s="38">
        <f>IF($A44&gt;LastT,0,N44+W45/(1+Policy_Sched!$K44))</f>
        <v>0</v>
      </c>
      <c r="X44" s="38">
        <f>IF($A44&gt;LastT,0,(-Q44+X45)/(1+Policy_Sched!$K44))</f>
        <v>0</v>
      </c>
      <c r="Y44" s="38">
        <f>IF($A44&gt;LastT,0,-V44+Y45/(1+Policy_Sched!$K44))</f>
        <v>0</v>
      </c>
      <c r="Z44" s="42">
        <f t="shared" si="32"/>
        <v>0</v>
      </c>
      <c r="AA44" s="38">
        <f>IF($A44&gt;LastT,0,N44-V44-Q44/(1+Policy_Sched!$K44)+Z45/(1+Policy_Sched!$K44))</f>
        <v>0</v>
      </c>
    </row>
    <row r="45" spans="1:27" x14ac:dyDescent="0.2">
      <c r="A45" s="30">
        <f t="shared" si="33"/>
        <v>38</v>
      </c>
      <c r="B45" s="31">
        <f t="shared" si="34"/>
        <v>0</v>
      </c>
      <c r="C45" s="31">
        <f>IF($A45&gt;LastT,0,IF(AND($D$3&lt;&gt;0,$A45&gt;=T0,Policy_Sched!$B45&lt;LastAge),1+$D$3*$E$3,1))</f>
        <v>0</v>
      </c>
      <c r="D45" s="36">
        <f>IF($A45&gt;LastT,0,IF($C$3="up",MIN(Policy_Sched!$E45*(1+IF($A45&gt;=T0,$E$3,0)),$F$3),IF($C$3="down",MAX(Policy_Sched!$E45*(1-IF($A45&gt;=T0,$E$3,0)),Policy_Sched!$E45-$F$3),Policy_Sched!$E45)))</f>
        <v>0</v>
      </c>
      <c r="E45" s="37">
        <f t="shared" si="35"/>
        <v>0</v>
      </c>
      <c r="F45" s="37">
        <f t="shared" si="18"/>
        <v>0</v>
      </c>
      <c r="G45" s="37">
        <f t="shared" si="19"/>
        <v>0</v>
      </c>
      <c r="H45" s="37">
        <f t="shared" si="20"/>
        <v>0</v>
      </c>
      <c r="I45" s="37">
        <f t="shared" si="21"/>
        <v>0</v>
      </c>
      <c r="J45" s="37">
        <f t="shared" si="22"/>
        <v>0</v>
      </c>
      <c r="K45" s="37">
        <f>IF($A45&gt;LastT,0,J45*Policy_Sched!$C45*Policy_Sched!$D45*C45)</f>
        <v>0</v>
      </c>
      <c r="L45" s="41">
        <f t="shared" si="23"/>
        <v>0</v>
      </c>
      <c r="M45" s="38">
        <f t="shared" si="24"/>
        <v>0</v>
      </c>
      <c r="N45" s="38">
        <f t="shared" si="25"/>
        <v>0</v>
      </c>
      <c r="O45" s="38">
        <f t="shared" si="26"/>
        <v>0</v>
      </c>
      <c r="P45" s="38">
        <f>Policy_Sched!$I45*(L45+I45)</f>
        <v>0</v>
      </c>
      <c r="Q45" s="42">
        <f t="shared" si="27"/>
        <v>0</v>
      </c>
      <c r="R45" s="38">
        <f t="shared" si="28"/>
        <v>0</v>
      </c>
      <c r="S45" s="38">
        <f t="shared" si="29"/>
        <v>0</v>
      </c>
      <c r="T45" s="38">
        <f>Policy_Sched!$J45*J45</f>
        <v>0</v>
      </c>
      <c r="U45" s="42">
        <f t="shared" si="30"/>
        <v>0</v>
      </c>
      <c r="V45" s="42">
        <f t="shared" si="31"/>
        <v>0</v>
      </c>
      <c r="W45" s="38">
        <f>IF($A45&gt;LastT,0,N45+W46/(1+Policy_Sched!$K45))</f>
        <v>0</v>
      </c>
      <c r="X45" s="38">
        <f>IF($A45&gt;LastT,0,(-Q45+X46)/(1+Policy_Sched!$K45))</f>
        <v>0</v>
      </c>
      <c r="Y45" s="38">
        <f>IF($A45&gt;LastT,0,-V45+Y46/(1+Policy_Sched!$K45))</f>
        <v>0</v>
      </c>
      <c r="Z45" s="42">
        <f t="shared" si="32"/>
        <v>0</v>
      </c>
      <c r="AA45" s="38">
        <f>IF($A45&gt;LastT,0,N45-V45-Q45/(1+Policy_Sched!$K45)+Z46/(1+Policy_Sched!$K45))</f>
        <v>0</v>
      </c>
    </row>
    <row r="46" spans="1:27" x14ac:dyDescent="0.2">
      <c r="A46" s="30">
        <f t="shared" si="33"/>
        <v>39</v>
      </c>
      <c r="B46" s="31">
        <f t="shared" si="34"/>
        <v>0</v>
      </c>
      <c r="C46" s="31">
        <f>IF($A46&gt;LastT,0,IF(AND($D$3&lt;&gt;0,$A46&gt;=T0,Policy_Sched!$B46&lt;LastAge),1+$D$3*$E$3,1))</f>
        <v>0</v>
      </c>
      <c r="D46" s="36">
        <f>IF($A46&gt;LastT,0,IF($C$3="up",MIN(Policy_Sched!$E46*(1+IF($A46&gt;=T0,$E$3,0)),$F$3),IF($C$3="down",MAX(Policy_Sched!$E46*(1-IF($A46&gt;=T0,$E$3,0)),Policy_Sched!$E46-$F$3),Policy_Sched!$E46)))</f>
        <v>0</v>
      </c>
      <c r="E46" s="37">
        <f t="shared" si="35"/>
        <v>0</v>
      </c>
      <c r="F46" s="37">
        <f t="shared" si="18"/>
        <v>0</v>
      </c>
      <c r="G46" s="37">
        <f t="shared" si="19"/>
        <v>0</v>
      </c>
      <c r="H46" s="37">
        <f t="shared" si="20"/>
        <v>0</v>
      </c>
      <c r="I46" s="37">
        <f t="shared" si="21"/>
        <v>0</v>
      </c>
      <c r="J46" s="37">
        <f t="shared" si="22"/>
        <v>0</v>
      </c>
      <c r="K46" s="37">
        <f>IF($A46&gt;LastT,0,J46*Policy_Sched!$C46*Policy_Sched!$D46*C46)</f>
        <v>0</v>
      </c>
      <c r="L46" s="41">
        <f t="shared" si="23"/>
        <v>0</v>
      </c>
      <c r="M46" s="38">
        <f t="shared" si="24"/>
        <v>0</v>
      </c>
      <c r="N46" s="38">
        <f t="shared" si="25"/>
        <v>0</v>
      </c>
      <c r="O46" s="38">
        <f t="shared" si="26"/>
        <v>0</v>
      </c>
      <c r="P46" s="38">
        <f>Policy_Sched!$I46*(L46+I46)</f>
        <v>0</v>
      </c>
      <c r="Q46" s="42">
        <f t="shared" si="27"/>
        <v>0</v>
      </c>
      <c r="R46" s="38">
        <f t="shared" si="28"/>
        <v>0</v>
      </c>
      <c r="S46" s="38">
        <f t="shared" si="29"/>
        <v>0</v>
      </c>
      <c r="T46" s="38">
        <f>Policy_Sched!$J46*J46</f>
        <v>0</v>
      </c>
      <c r="U46" s="42">
        <f t="shared" si="30"/>
        <v>0</v>
      </c>
      <c r="V46" s="42">
        <f t="shared" si="31"/>
        <v>0</v>
      </c>
      <c r="W46" s="38">
        <f>IF($A46&gt;LastT,0,N46+W47/(1+Policy_Sched!$K46))</f>
        <v>0</v>
      </c>
      <c r="X46" s="38">
        <f>IF($A46&gt;LastT,0,(-Q46+X47)/(1+Policy_Sched!$K46))</f>
        <v>0</v>
      </c>
      <c r="Y46" s="38">
        <f>IF($A46&gt;LastT,0,-V46+Y47/(1+Policy_Sched!$K46))</f>
        <v>0</v>
      </c>
      <c r="Z46" s="42">
        <f t="shared" si="32"/>
        <v>0</v>
      </c>
      <c r="AA46" s="38">
        <f>IF($A46&gt;LastT,0,N46-V46-Q46/(1+Policy_Sched!$K46)+Z47/(1+Policy_Sched!$K46))</f>
        <v>0</v>
      </c>
    </row>
    <row r="47" spans="1:27" x14ac:dyDescent="0.2">
      <c r="A47" s="30">
        <f t="shared" si="33"/>
        <v>40</v>
      </c>
      <c r="B47" s="31">
        <f t="shared" si="34"/>
        <v>0</v>
      </c>
      <c r="C47" s="31">
        <f>IF($A47&gt;LastT,0,IF(AND($D$3&lt;&gt;0,$A47&gt;=T0,Policy_Sched!$B47&lt;LastAge),1+$D$3*$E$3,1))</f>
        <v>0</v>
      </c>
      <c r="D47" s="36">
        <f>IF($A47&gt;LastT,0,IF($C$3="up",MIN(Policy_Sched!$E47*(1+IF($A47&gt;=T0,$E$3,0)),$F$3),IF($C$3="down",MAX(Policy_Sched!$E47*(1-IF($A47&gt;=T0,$E$3,0)),Policy_Sched!$E47-$F$3),Policy_Sched!$E47)))</f>
        <v>0</v>
      </c>
      <c r="E47" s="37">
        <f t="shared" si="35"/>
        <v>0</v>
      </c>
      <c r="F47" s="37">
        <f t="shared" si="18"/>
        <v>0</v>
      </c>
      <c r="G47" s="37">
        <f t="shared" si="19"/>
        <v>0</v>
      </c>
      <c r="H47" s="37">
        <f t="shared" si="20"/>
        <v>0</v>
      </c>
      <c r="I47" s="37">
        <f t="shared" si="21"/>
        <v>0</v>
      </c>
      <c r="J47" s="37">
        <f t="shared" si="22"/>
        <v>0</v>
      </c>
      <c r="K47" s="37">
        <f>IF($A47&gt;LastT,0,J47*Policy_Sched!$C47*Policy_Sched!$D47*C47)</f>
        <v>0</v>
      </c>
      <c r="L47" s="41">
        <f t="shared" si="23"/>
        <v>0</v>
      </c>
      <c r="M47" s="38">
        <f t="shared" si="24"/>
        <v>0</v>
      </c>
      <c r="N47" s="38">
        <f t="shared" si="25"/>
        <v>0</v>
      </c>
      <c r="O47" s="38">
        <f t="shared" si="26"/>
        <v>0</v>
      </c>
      <c r="P47" s="38">
        <f>Policy_Sched!$I47*(L47+I47)</f>
        <v>0</v>
      </c>
      <c r="Q47" s="42">
        <f t="shared" si="27"/>
        <v>0</v>
      </c>
      <c r="R47" s="38">
        <f t="shared" si="28"/>
        <v>0</v>
      </c>
      <c r="S47" s="38">
        <f t="shared" si="29"/>
        <v>0</v>
      </c>
      <c r="T47" s="38">
        <f>Policy_Sched!$J47*J47</f>
        <v>0</v>
      </c>
      <c r="U47" s="42">
        <f t="shared" si="30"/>
        <v>0</v>
      </c>
      <c r="V47" s="42">
        <f t="shared" si="31"/>
        <v>0</v>
      </c>
      <c r="W47" s="38">
        <f>IF($A47&gt;LastT,0,N47+W48/(1+Policy_Sched!$K47))</f>
        <v>0</v>
      </c>
      <c r="X47" s="38">
        <f>IF($A47&gt;LastT,0,(-Q47+X48)/(1+Policy_Sched!$K47))</f>
        <v>0</v>
      </c>
      <c r="Y47" s="38">
        <f>IF($A47&gt;LastT,0,-V47+Y48/(1+Policy_Sched!$K47))</f>
        <v>0</v>
      </c>
      <c r="Z47" s="42">
        <f t="shared" si="32"/>
        <v>0</v>
      </c>
      <c r="AA47" s="38">
        <f>IF($A47&gt;LastT,0,N47-V47-Q47/(1+Policy_Sched!$K47)+Z48/(1+Policy_Sched!$K47))</f>
        <v>0</v>
      </c>
    </row>
    <row r="48" spans="1:27" x14ac:dyDescent="0.2">
      <c r="A48" s="30">
        <f t="shared" si="33"/>
        <v>41</v>
      </c>
      <c r="B48" s="31">
        <f t="shared" si="34"/>
        <v>0</v>
      </c>
      <c r="C48" s="31">
        <f>IF($A48&gt;LastT,0,IF(AND($D$3&lt;&gt;0,$A48&gt;=T0,Policy_Sched!$B48&lt;LastAge),1+$D$3*$E$3,1))</f>
        <v>0</v>
      </c>
      <c r="D48" s="36">
        <f>IF($A48&gt;LastT,0,IF($C$3="up",MIN(Policy_Sched!$E48*(1+IF($A48&gt;=T0,$E$3,0)),$F$3),IF($C$3="down",MAX(Policy_Sched!$E48*(1-IF($A48&gt;=T0,$E$3,0)),Policy_Sched!$E48-$F$3),Policy_Sched!$E48)))</f>
        <v>0</v>
      </c>
      <c r="E48" s="37">
        <f t="shared" si="35"/>
        <v>0</v>
      </c>
      <c r="F48" s="37">
        <f t="shared" si="18"/>
        <v>0</v>
      </c>
      <c r="G48" s="37">
        <f t="shared" si="19"/>
        <v>0</v>
      </c>
      <c r="H48" s="37">
        <f t="shared" si="20"/>
        <v>0</v>
      </c>
      <c r="I48" s="37">
        <f t="shared" si="21"/>
        <v>0</v>
      </c>
      <c r="J48" s="37">
        <f t="shared" si="22"/>
        <v>0</v>
      </c>
      <c r="K48" s="37">
        <f>IF($A48&gt;LastT,0,J48*Policy_Sched!$C48*Policy_Sched!$D48*C48)</f>
        <v>0</v>
      </c>
      <c r="L48" s="41">
        <f t="shared" si="23"/>
        <v>0</v>
      </c>
      <c r="M48" s="38">
        <f t="shared" si="24"/>
        <v>0</v>
      </c>
      <c r="N48" s="38">
        <f t="shared" si="25"/>
        <v>0</v>
      </c>
      <c r="O48" s="38">
        <f t="shared" si="26"/>
        <v>0</v>
      </c>
      <c r="P48" s="38">
        <f>Policy_Sched!$I48*(L48+I48)</f>
        <v>0</v>
      </c>
      <c r="Q48" s="42">
        <f t="shared" si="27"/>
        <v>0</v>
      </c>
      <c r="R48" s="38">
        <f t="shared" si="28"/>
        <v>0</v>
      </c>
      <c r="S48" s="38">
        <f t="shared" si="29"/>
        <v>0</v>
      </c>
      <c r="T48" s="38">
        <f>Policy_Sched!$J48*J48</f>
        <v>0</v>
      </c>
      <c r="U48" s="42">
        <f t="shared" si="30"/>
        <v>0</v>
      </c>
      <c r="V48" s="42">
        <f t="shared" si="31"/>
        <v>0</v>
      </c>
      <c r="W48" s="38">
        <f>IF($A48&gt;LastT,0,N48+W49/(1+Policy_Sched!$K48))</f>
        <v>0</v>
      </c>
      <c r="X48" s="38">
        <f>IF($A48&gt;LastT,0,(-Q48+X49)/(1+Policy_Sched!$K48))</f>
        <v>0</v>
      </c>
      <c r="Y48" s="38">
        <f>IF($A48&gt;LastT,0,-V48+Y49/(1+Policy_Sched!$K48))</f>
        <v>0</v>
      </c>
      <c r="Z48" s="42">
        <f t="shared" si="32"/>
        <v>0</v>
      </c>
      <c r="AA48" s="38">
        <f>IF($A48&gt;LastT,0,N48-V48-Q48/(1+Policy_Sched!$K48)+Z49/(1+Policy_Sched!$K48))</f>
        <v>0</v>
      </c>
    </row>
    <row r="49" spans="1:27" x14ac:dyDescent="0.2">
      <c r="A49" s="30">
        <f t="shared" si="33"/>
        <v>42</v>
      </c>
      <c r="B49" s="31">
        <f t="shared" si="34"/>
        <v>0</v>
      </c>
      <c r="C49" s="31">
        <f>IF($A49&gt;LastT,0,IF(AND($D$3&lt;&gt;0,$A49&gt;=T0,Policy_Sched!$B49&lt;LastAge),1+$D$3*$E$3,1))</f>
        <v>0</v>
      </c>
      <c r="D49" s="36">
        <f>IF($A49&gt;LastT,0,IF($C$3="up",MIN(Policy_Sched!$E49*(1+IF($A49&gt;=T0,$E$3,0)),$F$3),IF($C$3="down",MAX(Policy_Sched!$E49*(1-IF($A49&gt;=T0,$E$3,0)),Policy_Sched!$E49-$F$3),Policy_Sched!$E49)))</f>
        <v>0</v>
      </c>
      <c r="E49" s="37">
        <f t="shared" si="35"/>
        <v>0</v>
      </c>
      <c r="F49" s="37">
        <f t="shared" si="18"/>
        <v>0</v>
      </c>
      <c r="G49" s="37">
        <f t="shared" si="19"/>
        <v>0</v>
      </c>
      <c r="H49" s="37">
        <f t="shared" si="20"/>
        <v>0</v>
      </c>
      <c r="I49" s="37">
        <f t="shared" si="21"/>
        <v>0</v>
      </c>
      <c r="J49" s="37">
        <f t="shared" si="22"/>
        <v>0</v>
      </c>
      <c r="K49" s="37">
        <f>IF($A49&gt;LastT,0,J49*Policy_Sched!$C49*Policy_Sched!$D49*C49)</f>
        <v>0</v>
      </c>
      <c r="L49" s="41">
        <f t="shared" si="23"/>
        <v>0</v>
      </c>
      <c r="M49" s="38">
        <f t="shared" si="24"/>
        <v>0</v>
      </c>
      <c r="N49" s="38">
        <f t="shared" si="25"/>
        <v>0</v>
      </c>
      <c r="O49" s="38">
        <f t="shared" si="26"/>
        <v>0</v>
      </c>
      <c r="P49" s="38">
        <f>Policy_Sched!$I49*(L49+I49)</f>
        <v>0</v>
      </c>
      <c r="Q49" s="42">
        <f t="shared" si="27"/>
        <v>0</v>
      </c>
      <c r="R49" s="38">
        <f t="shared" si="28"/>
        <v>0</v>
      </c>
      <c r="S49" s="38">
        <f t="shared" si="29"/>
        <v>0</v>
      </c>
      <c r="T49" s="38">
        <f>Policy_Sched!$J49*J49</f>
        <v>0</v>
      </c>
      <c r="U49" s="42">
        <f t="shared" si="30"/>
        <v>0</v>
      </c>
      <c r="V49" s="42">
        <f t="shared" si="31"/>
        <v>0</v>
      </c>
      <c r="W49" s="38">
        <f>IF($A49&gt;LastT,0,N49+W50/(1+Policy_Sched!$K49))</f>
        <v>0</v>
      </c>
      <c r="X49" s="38">
        <f>IF($A49&gt;LastT,0,(-Q49+X50)/(1+Policy_Sched!$K49))</f>
        <v>0</v>
      </c>
      <c r="Y49" s="38">
        <f>IF($A49&gt;LastT,0,-V49+Y50/(1+Policy_Sched!$K49))</f>
        <v>0</v>
      </c>
      <c r="Z49" s="42">
        <f t="shared" si="32"/>
        <v>0</v>
      </c>
      <c r="AA49" s="38">
        <f>IF($A49&gt;LastT,0,N49-V49-Q49/(1+Policy_Sched!$K49)+Z50/(1+Policy_Sched!$K49))</f>
        <v>0</v>
      </c>
    </row>
    <row r="50" spans="1:27" x14ac:dyDescent="0.2">
      <c r="A50" s="30">
        <f t="shared" si="33"/>
        <v>43</v>
      </c>
      <c r="B50" s="31">
        <f t="shared" si="34"/>
        <v>0</v>
      </c>
      <c r="C50" s="31">
        <f>IF($A50&gt;LastT,0,IF(AND($D$3&lt;&gt;0,$A50&gt;=T0,Policy_Sched!$B50&lt;LastAge),1+$D$3*$E$3,1))</f>
        <v>0</v>
      </c>
      <c r="D50" s="36">
        <f>IF($A50&gt;LastT,0,IF($C$3="up",MIN(Policy_Sched!$E50*(1+IF($A50&gt;=T0,$E$3,0)),$F$3),IF($C$3="down",MAX(Policy_Sched!$E50*(1-IF($A50&gt;=T0,$E$3,0)),Policy_Sched!$E50-$F$3),Policy_Sched!$E50)))</f>
        <v>0</v>
      </c>
      <c r="E50" s="37">
        <f t="shared" si="35"/>
        <v>0</v>
      </c>
      <c r="F50" s="37">
        <f t="shared" si="18"/>
        <v>0</v>
      </c>
      <c r="G50" s="37">
        <f t="shared" si="19"/>
        <v>0</v>
      </c>
      <c r="H50" s="37">
        <f t="shared" si="20"/>
        <v>0</v>
      </c>
      <c r="I50" s="37">
        <f t="shared" si="21"/>
        <v>0</v>
      </c>
      <c r="J50" s="37">
        <f t="shared" si="22"/>
        <v>0</v>
      </c>
      <c r="K50" s="37">
        <f>IF($A50&gt;LastT,0,J50*Policy_Sched!$C50*Policy_Sched!$D50*C50)</f>
        <v>0</v>
      </c>
      <c r="L50" s="41">
        <f t="shared" si="23"/>
        <v>0</v>
      </c>
      <c r="M50" s="38">
        <f t="shared" si="24"/>
        <v>0</v>
      </c>
      <c r="N50" s="38">
        <f t="shared" si="25"/>
        <v>0</v>
      </c>
      <c r="O50" s="38">
        <f t="shared" si="26"/>
        <v>0</v>
      </c>
      <c r="P50" s="38">
        <f>Policy_Sched!$I50*(L50+I50)</f>
        <v>0</v>
      </c>
      <c r="Q50" s="42">
        <f t="shared" si="27"/>
        <v>0</v>
      </c>
      <c r="R50" s="38">
        <f t="shared" si="28"/>
        <v>0</v>
      </c>
      <c r="S50" s="38">
        <f t="shared" si="29"/>
        <v>0</v>
      </c>
      <c r="T50" s="38">
        <f>Policy_Sched!$J50*J50</f>
        <v>0</v>
      </c>
      <c r="U50" s="42">
        <f t="shared" si="30"/>
        <v>0</v>
      </c>
      <c r="V50" s="42">
        <f t="shared" si="31"/>
        <v>0</v>
      </c>
      <c r="W50" s="38">
        <f>IF($A50&gt;LastT,0,N50+W51/(1+Policy_Sched!$K50))</f>
        <v>0</v>
      </c>
      <c r="X50" s="38">
        <f>IF($A50&gt;LastT,0,(-Q50+X51)/(1+Policy_Sched!$K50))</f>
        <v>0</v>
      </c>
      <c r="Y50" s="38">
        <f>IF($A50&gt;LastT,0,-V50+Y51/(1+Policy_Sched!$K50))</f>
        <v>0</v>
      </c>
      <c r="Z50" s="42">
        <f t="shared" si="32"/>
        <v>0</v>
      </c>
      <c r="AA50" s="38">
        <f>IF($A50&gt;LastT,0,N50-V50-Q50/(1+Policy_Sched!$K50)+Z51/(1+Policy_Sched!$K50))</f>
        <v>0</v>
      </c>
    </row>
    <row r="51" spans="1:27" x14ac:dyDescent="0.2">
      <c r="A51" s="30">
        <f t="shared" si="33"/>
        <v>44</v>
      </c>
      <c r="B51" s="31">
        <f t="shared" si="34"/>
        <v>0</v>
      </c>
      <c r="C51" s="31">
        <f>IF($A51&gt;LastT,0,IF(AND($D$3&lt;&gt;0,$A51&gt;=T0,Policy_Sched!$B51&lt;LastAge),1+$D$3*$E$3,1))</f>
        <v>0</v>
      </c>
      <c r="D51" s="36">
        <f>IF($A51&gt;LastT,0,IF($C$3="up",MIN(Policy_Sched!$E51*(1+IF($A51&gt;=T0,$E$3,0)),$F$3),IF($C$3="down",MAX(Policy_Sched!$E51*(1-IF($A51&gt;=T0,$E$3,0)),Policy_Sched!$E51-$F$3),Policy_Sched!$E51)))</f>
        <v>0</v>
      </c>
      <c r="E51" s="37">
        <f t="shared" si="35"/>
        <v>0</v>
      </c>
      <c r="F51" s="37">
        <f t="shared" si="18"/>
        <v>0</v>
      </c>
      <c r="G51" s="37">
        <f t="shared" si="19"/>
        <v>0</v>
      </c>
      <c r="H51" s="37">
        <f t="shared" si="20"/>
        <v>0</v>
      </c>
      <c r="I51" s="37">
        <f t="shared" si="21"/>
        <v>0</v>
      </c>
      <c r="J51" s="37">
        <f t="shared" si="22"/>
        <v>0</v>
      </c>
      <c r="K51" s="37">
        <f>IF($A51&gt;LastT,0,J51*Policy_Sched!$C51*Policy_Sched!$D51*C51)</f>
        <v>0</v>
      </c>
      <c r="L51" s="41">
        <f t="shared" si="23"/>
        <v>0</v>
      </c>
      <c r="M51" s="38">
        <f t="shared" si="24"/>
        <v>0</v>
      </c>
      <c r="N51" s="38">
        <f t="shared" si="25"/>
        <v>0</v>
      </c>
      <c r="O51" s="38">
        <f t="shared" si="26"/>
        <v>0</v>
      </c>
      <c r="P51" s="38">
        <f>Policy_Sched!$I51*(L51+I51)</f>
        <v>0</v>
      </c>
      <c r="Q51" s="42">
        <f t="shared" si="27"/>
        <v>0</v>
      </c>
      <c r="R51" s="38">
        <f t="shared" si="28"/>
        <v>0</v>
      </c>
      <c r="S51" s="38">
        <f t="shared" si="29"/>
        <v>0</v>
      </c>
      <c r="T51" s="38">
        <f>Policy_Sched!$J51*J51</f>
        <v>0</v>
      </c>
      <c r="U51" s="42">
        <f t="shared" si="30"/>
        <v>0</v>
      </c>
      <c r="V51" s="42">
        <f t="shared" si="31"/>
        <v>0</v>
      </c>
      <c r="W51" s="38">
        <f>IF($A51&gt;LastT,0,N51+W52/(1+Policy_Sched!$K51))</f>
        <v>0</v>
      </c>
      <c r="X51" s="38">
        <f>IF($A51&gt;LastT,0,(-Q51+X52)/(1+Policy_Sched!$K51))</f>
        <v>0</v>
      </c>
      <c r="Y51" s="38">
        <f>IF($A51&gt;LastT,0,-V51+Y52/(1+Policy_Sched!$K51))</f>
        <v>0</v>
      </c>
      <c r="Z51" s="42">
        <f t="shared" si="32"/>
        <v>0</v>
      </c>
      <c r="AA51" s="38">
        <f>IF($A51&gt;LastT,0,N51-V51-Q51/(1+Policy_Sched!$K51)+Z52/(1+Policy_Sched!$K51))</f>
        <v>0</v>
      </c>
    </row>
    <row r="52" spans="1:27" x14ac:dyDescent="0.2">
      <c r="A52" s="30">
        <f t="shared" si="33"/>
        <v>45</v>
      </c>
      <c r="B52" s="31">
        <f t="shared" si="34"/>
        <v>0</v>
      </c>
      <c r="C52" s="31">
        <f>IF($A52&gt;LastT,0,IF(AND($D$3&lt;&gt;0,$A52&gt;=T0,Policy_Sched!$B52&lt;LastAge),1+$D$3*$E$3,1))</f>
        <v>0</v>
      </c>
      <c r="D52" s="36">
        <f>IF($A52&gt;LastT,0,IF($C$3="up",MIN(Policy_Sched!$E52*(1+IF($A52&gt;=T0,$E$3,0)),$F$3),IF($C$3="down",MAX(Policy_Sched!$E52*(1-IF($A52&gt;=T0,$E$3,0)),Policy_Sched!$E52-$F$3),Policy_Sched!$E52)))</f>
        <v>0</v>
      </c>
      <c r="E52" s="37">
        <f t="shared" si="35"/>
        <v>0</v>
      </c>
      <c r="F52" s="37">
        <f t="shared" si="18"/>
        <v>0</v>
      </c>
      <c r="G52" s="37">
        <f t="shared" si="19"/>
        <v>0</v>
      </c>
      <c r="H52" s="37">
        <f t="shared" si="20"/>
        <v>0</v>
      </c>
      <c r="I52" s="37">
        <f t="shared" si="21"/>
        <v>0</v>
      </c>
      <c r="J52" s="37">
        <f t="shared" si="22"/>
        <v>0</v>
      </c>
      <c r="K52" s="37">
        <f>IF($A52&gt;LastT,0,J52*Policy_Sched!$C52*Policy_Sched!$D52*C52)</f>
        <v>0</v>
      </c>
      <c r="L52" s="41">
        <f t="shared" si="23"/>
        <v>0</v>
      </c>
      <c r="M52" s="38">
        <f t="shared" si="24"/>
        <v>0</v>
      </c>
      <c r="N52" s="38">
        <f t="shared" si="25"/>
        <v>0</v>
      </c>
      <c r="O52" s="38">
        <f t="shared" si="26"/>
        <v>0</v>
      </c>
      <c r="P52" s="38">
        <f>Policy_Sched!$I52*(L52+I52)</f>
        <v>0</v>
      </c>
      <c r="Q52" s="42">
        <f t="shared" si="27"/>
        <v>0</v>
      </c>
      <c r="R52" s="38">
        <f t="shared" si="28"/>
        <v>0</v>
      </c>
      <c r="S52" s="38">
        <f t="shared" si="29"/>
        <v>0</v>
      </c>
      <c r="T52" s="38">
        <f>Policy_Sched!$J52*J52</f>
        <v>0</v>
      </c>
      <c r="U52" s="42">
        <f t="shared" si="30"/>
        <v>0</v>
      </c>
      <c r="V52" s="42">
        <f t="shared" si="31"/>
        <v>0</v>
      </c>
      <c r="W52" s="38">
        <f>IF($A52&gt;LastT,0,N52+W53/(1+Policy_Sched!$K52))</f>
        <v>0</v>
      </c>
      <c r="X52" s="38">
        <f>IF($A52&gt;LastT,0,(-Q52+X53)/(1+Policy_Sched!$K52))</f>
        <v>0</v>
      </c>
      <c r="Y52" s="38">
        <f>IF($A52&gt;LastT,0,-V52+Y53/(1+Policy_Sched!$K52))</f>
        <v>0</v>
      </c>
      <c r="Z52" s="42">
        <f t="shared" si="32"/>
        <v>0</v>
      </c>
      <c r="AA52" s="38">
        <f>IF($A52&gt;LastT,0,N52-V52-Q52/(1+Policy_Sched!$K52)+Z53/(1+Policy_Sched!$K52))</f>
        <v>0</v>
      </c>
    </row>
    <row r="53" spans="1:27" x14ac:dyDescent="0.2">
      <c r="A53" s="30">
        <f t="shared" si="33"/>
        <v>46</v>
      </c>
      <c r="B53" s="31">
        <f t="shared" si="34"/>
        <v>0</v>
      </c>
      <c r="C53" s="31">
        <f>IF($A53&gt;LastT,0,IF(AND($D$3&lt;&gt;0,$A53&gt;=T0,Policy_Sched!$B53&lt;LastAge),1+$D$3*$E$3,1))</f>
        <v>0</v>
      </c>
      <c r="D53" s="36">
        <f>IF($A53&gt;LastT,0,IF($C$3="up",MIN(Policy_Sched!$E53*(1+IF($A53&gt;=T0,$E$3,0)),$F$3),IF($C$3="down",MAX(Policy_Sched!$E53*(1-IF($A53&gt;=T0,$E$3,0)),Policy_Sched!$E53-$F$3),Policy_Sched!$E53)))</f>
        <v>0</v>
      </c>
      <c r="E53" s="37">
        <f t="shared" si="35"/>
        <v>0</v>
      </c>
      <c r="F53" s="37">
        <f t="shared" si="18"/>
        <v>0</v>
      </c>
      <c r="G53" s="37">
        <f t="shared" si="19"/>
        <v>0</v>
      </c>
      <c r="H53" s="37">
        <f t="shared" si="20"/>
        <v>0</v>
      </c>
      <c r="I53" s="37">
        <f t="shared" si="21"/>
        <v>0</v>
      </c>
      <c r="J53" s="37">
        <f t="shared" si="22"/>
        <v>0</v>
      </c>
      <c r="K53" s="37">
        <f>IF($A53&gt;LastT,0,J53*Policy_Sched!$C53*Policy_Sched!$D53*C53)</f>
        <v>0</v>
      </c>
      <c r="L53" s="41">
        <f t="shared" si="23"/>
        <v>0</v>
      </c>
      <c r="M53" s="38">
        <f t="shared" si="24"/>
        <v>0</v>
      </c>
      <c r="N53" s="38">
        <f t="shared" si="25"/>
        <v>0</v>
      </c>
      <c r="O53" s="38">
        <f t="shared" si="26"/>
        <v>0</v>
      </c>
      <c r="P53" s="38">
        <f>Policy_Sched!$I53*(L53+I53)</f>
        <v>0</v>
      </c>
      <c r="Q53" s="42">
        <f t="shared" si="27"/>
        <v>0</v>
      </c>
      <c r="R53" s="38">
        <f t="shared" si="28"/>
        <v>0</v>
      </c>
      <c r="S53" s="38">
        <f t="shared" si="29"/>
        <v>0</v>
      </c>
      <c r="T53" s="38">
        <f>Policy_Sched!$J53*J53</f>
        <v>0</v>
      </c>
      <c r="U53" s="42">
        <f t="shared" si="30"/>
        <v>0</v>
      </c>
      <c r="V53" s="42">
        <f t="shared" si="31"/>
        <v>0</v>
      </c>
      <c r="W53" s="38">
        <f>IF($A53&gt;LastT,0,N53+W54/(1+Policy_Sched!$K53))</f>
        <v>0</v>
      </c>
      <c r="X53" s="38">
        <f>IF($A53&gt;LastT,0,(-Q53+X54)/(1+Policy_Sched!$K53))</f>
        <v>0</v>
      </c>
      <c r="Y53" s="38">
        <f>IF($A53&gt;LastT,0,-V53+Y54/(1+Policy_Sched!$K53))</f>
        <v>0</v>
      </c>
      <c r="Z53" s="42">
        <f t="shared" si="32"/>
        <v>0</v>
      </c>
      <c r="AA53" s="38">
        <f>IF($A53&gt;LastT,0,N53-V53-Q53/(1+Policy_Sched!$K53)+Z54/(1+Policy_Sched!$K53))</f>
        <v>0</v>
      </c>
    </row>
    <row r="54" spans="1:27" x14ac:dyDescent="0.2">
      <c r="A54" s="30">
        <f t="shared" si="33"/>
        <v>47</v>
      </c>
      <c r="B54" s="31">
        <f t="shared" si="34"/>
        <v>0</v>
      </c>
      <c r="C54" s="31">
        <f>IF($A54&gt;LastT,0,IF(AND($D$3&lt;&gt;0,$A54&gt;=T0,Policy_Sched!$B54&lt;LastAge),1+$D$3*$E$3,1))</f>
        <v>0</v>
      </c>
      <c r="D54" s="36">
        <f>IF($A54&gt;LastT,0,IF($C$3="up",MIN(Policy_Sched!$E54*(1+IF($A54&gt;=T0,$E$3,0)),$F$3),IF($C$3="down",MAX(Policy_Sched!$E54*(1-IF($A54&gt;=T0,$E$3,0)),Policy_Sched!$E54-$F$3),Policy_Sched!$E54)))</f>
        <v>0</v>
      </c>
      <c r="E54" s="37">
        <f t="shared" si="35"/>
        <v>0</v>
      </c>
      <c r="F54" s="37">
        <f t="shared" si="18"/>
        <v>0</v>
      </c>
      <c r="G54" s="37">
        <f t="shared" si="19"/>
        <v>0</v>
      </c>
      <c r="H54" s="37">
        <f t="shared" si="20"/>
        <v>0</v>
      </c>
      <c r="I54" s="37">
        <f t="shared" si="21"/>
        <v>0</v>
      </c>
      <c r="J54" s="37">
        <f t="shared" si="22"/>
        <v>0</v>
      </c>
      <c r="K54" s="37">
        <f>IF($A54&gt;LastT,0,J54*Policy_Sched!$C54*Policy_Sched!$D54*C54)</f>
        <v>0</v>
      </c>
      <c r="L54" s="41">
        <f t="shared" si="23"/>
        <v>0</v>
      </c>
      <c r="M54" s="38">
        <f t="shared" si="24"/>
        <v>0</v>
      </c>
      <c r="N54" s="38">
        <f t="shared" si="25"/>
        <v>0</v>
      </c>
      <c r="O54" s="38">
        <f t="shared" si="26"/>
        <v>0</v>
      </c>
      <c r="P54" s="38">
        <f>Policy_Sched!$I54*(L54+I54)</f>
        <v>0</v>
      </c>
      <c r="Q54" s="42">
        <f t="shared" si="27"/>
        <v>0</v>
      </c>
      <c r="R54" s="38">
        <f t="shared" si="28"/>
        <v>0</v>
      </c>
      <c r="S54" s="38">
        <f t="shared" si="29"/>
        <v>0</v>
      </c>
      <c r="T54" s="38">
        <f>Policy_Sched!$J54*J54</f>
        <v>0</v>
      </c>
      <c r="U54" s="42">
        <f t="shared" si="30"/>
        <v>0</v>
      </c>
      <c r="V54" s="42">
        <f t="shared" si="31"/>
        <v>0</v>
      </c>
      <c r="W54" s="38">
        <f>IF($A54&gt;LastT,0,N54+W55/(1+Policy_Sched!$K54))</f>
        <v>0</v>
      </c>
      <c r="X54" s="38">
        <f>IF($A54&gt;LastT,0,(-Q54+X55)/(1+Policy_Sched!$K54))</f>
        <v>0</v>
      </c>
      <c r="Y54" s="38">
        <f>IF($A54&gt;LastT,0,-V54+Y55/(1+Policy_Sched!$K54))</f>
        <v>0</v>
      </c>
      <c r="Z54" s="42">
        <f t="shared" si="32"/>
        <v>0</v>
      </c>
      <c r="AA54" s="38">
        <f>IF($A54&gt;LastT,0,N54-V54-Q54/(1+Policy_Sched!$K54)+Z55/(1+Policy_Sched!$K54))</f>
        <v>0</v>
      </c>
    </row>
    <row r="55" spans="1:27" x14ac:dyDescent="0.2">
      <c r="A55" s="30">
        <f t="shared" si="33"/>
        <v>48</v>
      </c>
      <c r="B55" s="31">
        <f t="shared" si="34"/>
        <v>0</v>
      </c>
      <c r="C55" s="31">
        <f>IF($A55&gt;LastT,0,IF(AND($D$3&lt;&gt;0,$A55&gt;=T0,Policy_Sched!$B55&lt;LastAge),1+$D$3*$E$3,1))</f>
        <v>0</v>
      </c>
      <c r="D55" s="36">
        <f>IF($A55&gt;LastT,0,IF($C$3="up",MIN(Policy_Sched!$E55*(1+IF($A55&gt;=T0,$E$3,0)),$F$3),IF($C$3="down",MAX(Policy_Sched!$E55*(1-IF($A55&gt;=T0,$E$3,0)),Policy_Sched!$E55-$F$3),Policy_Sched!$E55)))</f>
        <v>0</v>
      </c>
      <c r="E55" s="37">
        <f t="shared" si="35"/>
        <v>0</v>
      </c>
      <c r="F55" s="37">
        <f t="shared" si="18"/>
        <v>0</v>
      </c>
      <c r="G55" s="37">
        <f t="shared" si="19"/>
        <v>0</v>
      </c>
      <c r="H55" s="37">
        <f t="shared" si="20"/>
        <v>0</v>
      </c>
      <c r="I55" s="37">
        <f t="shared" si="21"/>
        <v>0</v>
      </c>
      <c r="J55" s="37">
        <f t="shared" si="22"/>
        <v>0</v>
      </c>
      <c r="K55" s="37">
        <f>IF($A55&gt;LastT,0,J55*Policy_Sched!$C55*Policy_Sched!$D55*C55)</f>
        <v>0</v>
      </c>
      <c r="L55" s="41">
        <f t="shared" si="23"/>
        <v>0</v>
      </c>
      <c r="M55" s="38">
        <f t="shared" si="24"/>
        <v>0</v>
      </c>
      <c r="N55" s="38">
        <f t="shared" si="25"/>
        <v>0</v>
      </c>
      <c r="O55" s="38">
        <f t="shared" si="26"/>
        <v>0</v>
      </c>
      <c r="P55" s="38">
        <f>Policy_Sched!$I55*(L55+I55)</f>
        <v>0</v>
      </c>
      <c r="Q55" s="42">
        <f t="shared" si="27"/>
        <v>0</v>
      </c>
      <c r="R55" s="38">
        <f t="shared" si="28"/>
        <v>0</v>
      </c>
      <c r="S55" s="38">
        <f t="shared" si="29"/>
        <v>0</v>
      </c>
      <c r="T55" s="38">
        <f>Policy_Sched!$J55*J55</f>
        <v>0</v>
      </c>
      <c r="U55" s="42">
        <f t="shared" si="30"/>
        <v>0</v>
      </c>
      <c r="V55" s="42">
        <f t="shared" si="31"/>
        <v>0</v>
      </c>
      <c r="W55" s="38">
        <f>IF($A55&gt;LastT,0,N55+W56/(1+Policy_Sched!$K55))</f>
        <v>0</v>
      </c>
      <c r="X55" s="38">
        <f>IF($A55&gt;LastT,0,(-Q55+X56)/(1+Policy_Sched!$K55))</f>
        <v>0</v>
      </c>
      <c r="Y55" s="38">
        <f>IF($A55&gt;LastT,0,-V55+Y56/(1+Policy_Sched!$K55))</f>
        <v>0</v>
      </c>
      <c r="Z55" s="42">
        <f t="shared" si="32"/>
        <v>0</v>
      </c>
      <c r="AA55" s="38">
        <f>IF($A55&gt;LastT,0,N55-V55-Q55/(1+Policy_Sched!$K55)+Z56/(1+Policy_Sched!$K55))</f>
        <v>0</v>
      </c>
    </row>
    <row r="56" spans="1:27" x14ac:dyDescent="0.2">
      <c r="A56" s="30">
        <f t="shared" si="33"/>
        <v>49</v>
      </c>
      <c r="B56" s="31">
        <f t="shared" si="34"/>
        <v>0</v>
      </c>
      <c r="C56" s="31">
        <f>IF($A56&gt;LastT,0,IF(AND($D$3&lt;&gt;0,$A56&gt;=T0,Policy_Sched!$B56&lt;LastAge),1+$D$3*$E$3,1))</f>
        <v>0</v>
      </c>
      <c r="D56" s="36">
        <f>IF($A56&gt;LastT,0,IF($C$3="up",MIN(Policy_Sched!$E56*(1+IF($A56&gt;=T0,$E$3,0)),$F$3),IF($C$3="down",MAX(Policy_Sched!$E56*(1-IF($A56&gt;=T0,$E$3,0)),Policy_Sched!$E56-$F$3),Policy_Sched!$E56)))</f>
        <v>0</v>
      </c>
      <c r="E56" s="37">
        <f t="shared" si="35"/>
        <v>0</v>
      </c>
      <c r="F56" s="37">
        <f t="shared" si="18"/>
        <v>0</v>
      </c>
      <c r="G56" s="37">
        <f t="shared" si="19"/>
        <v>0</v>
      </c>
      <c r="H56" s="37">
        <f t="shared" si="20"/>
        <v>0</v>
      </c>
      <c r="I56" s="37">
        <f t="shared" si="21"/>
        <v>0</v>
      </c>
      <c r="J56" s="37">
        <f t="shared" si="22"/>
        <v>0</v>
      </c>
      <c r="K56" s="37">
        <f>IF($A56&gt;LastT,0,J56*Policy_Sched!$C56*Policy_Sched!$D56*C56)</f>
        <v>0</v>
      </c>
      <c r="L56" s="41">
        <f t="shared" si="23"/>
        <v>0</v>
      </c>
      <c r="M56" s="38">
        <f t="shared" si="24"/>
        <v>0</v>
      </c>
      <c r="N56" s="38">
        <f t="shared" si="25"/>
        <v>0</v>
      </c>
      <c r="O56" s="38">
        <f t="shared" si="26"/>
        <v>0</v>
      </c>
      <c r="P56" s="38">
        <f>Policy_Sched!$I56*(L56+I56)</f>
        <v>0</v>
      </c>
      <c r="Q56" s="42">
        <f t="shared" si="27"/>
        <v>0</v>
      </c>
      <c r="R56" s="38">
        <f t="shared" si="28"/>
        <v>0</v>
      </c>
      <c r="S56" s="38">
        <f t="shared" si="29"/>
        <v>0</v>
      </c>
      <c r="T56" s="38">
        <f>Policy_Sched!$J56*J56</f>
        <v>0</v>
      </c>
      <c r="U56" s="42">
        <f t="shared" si="30"/>
        <v>0</v>
      </c>
      <c r="V56" s="42">
        <f t="shared" si="31"/>
        <v>0</v>
      </c>
      <c r="W56" s="38">
        <f>IF($A56&gt;LastT,0,N56+W57/(1+Policy_Sched!$K56))</f>
        <v>0</v>
      </c>
      <c r="X56" s="38">
        <f>IF($A56&gt;LastT,0,(-Q56+X57)/(1+Policy_Sched!$K56))</f>
        <v>0</v>
      </c>
      <c r="Y56" s="38">
        <f>IF($A56&gt;LastT,0,-V56+Y57/(1+Policy_Sched!$K56))</f>
        <v>0</v>
      </c>
      <c r="Z56" s="42">
        <f t="shared" si="32"/>
        <v>0</v>
      </c>
      <c r="AA56" s="38">
        <f>IF($A56&gt;LastT,0,N56-V56-Q56/(1+Policy_Sched!$K56)+Z57/(1+Policy_Sched!$K56))</f>
        <v>0</v>
      </c>
    </row>
    <row r="57" spans="1:27" x14ac:dyDescent="0.2">
      <c r="A57" s="30">
        <f t="shared" si="33"/>
        <v>50</v>
      </c>
      <c r="B57" s="31">
        <f t="shared" si="34"/>
        <v>0</v>
      </c>
      <c r="C57" s="31">
        <f>IF($A57&gt;LastT,0,IF(AND($D$3&lt;&gt;0,$A57&gt;=T0,Policy_Sched!$B57&lt;LastAge),1+$D$3*$E$3,1))</f>
        <v>0</v>
      </c>
      <c r="D57" s="36">
        <f>IF($A57&gt;LastT,0,IF($C$3="up",MIN(Policy_Sched!$E57*(1+IF($A57&gt;=T0,$E$3,0)),$F$3),IF($C$3="down",MAX(Policy_Sched!$E57*(1-IF($A57&gt;=T0,$E$3,0)),Policy_Sched!$E57-$F$3),Policy_Sched!$E57)))</f>
        <v>0</v>
      </c>
      <c r="E57" s="37">
        <f t="shared" si="35"/>
        <v>0</v>
      </c>
      <c r="F57" s="37">
        <f t="shared" si="18"/>
        <v>0</v>
      </c>
      <c r="G57" s="37">
        <f t="shared" si="19"/>
        <v>0</v>
      </c>
      <c r="H57" s="37">
        <f t="shared" si="20"/>
        <v>0</v>
      </c>
      <c r="I57" s="37">
        <f t="shared" si="21"/>
        <v>0</v>
      </c>
      <c r="J57" s="37">
        <f t="shared" si="22"/>
        <v>0</v>
      </c>
      <c r="K57" s="37">
        <f>IF($A57&gt;LastT,0,J57*Policy_Sched!$C57*Policy_Sched!$D57*C57)</f>
        <v>0</v>
      </c>
      <c r="L57" s="41">
        <f t="shared" si="23"/>
        <v>0</v>
      </c>
      <c r="M57" s="38">
        <f t="shared" si="24"/>
        <v>0</v>
      </c>
      <c r="N57" s="38">
        <f t="shared" si="25"/>
        <v>0</v>
      </c>
      <c r="O57" s="38">
        <f t="shared" si="26"/>
        <v>0</v>
      </c>
      <c r="P57" s="38">
        <f>Policy_Sched!$I57*(L57+I57)</f>
        <v>0</v>
      </c>
      <c r="Q57" s="42">
        <f t="shared" si="27"/>
        <v>0</v>
      </c>
      <c r="R57" s="38">
        <f t="shared" si="28"/>
        <v>0</v>
      </c>
      <c r="S57" s="38">
        <f t="shared" si="29"/>
        <v>0</v>
      </c>
      <c r="T57" s="38">
        <f>Policy_Sched!$J57*J57</f>
        <v>0</v>
      </c>
      <c r="U57" s="42">
        <f t="shared" si="30"/>
        <v>0</v>
      </c>
      <c r="V57" s="42">
        <f t="shared" si="31"/>
        <v>0</v>
      </c>
      <c r="W57" s="38">
        <f>IF($A57&gt;LastT,0,N57+W58/(1+Policy_Sched!$K57))</f>
        <v>0</v>
      </c>
      <c r="X57" s="38">
        <f>IF($A57&gt;LastT,0,(-Q57+X58)/(1+Policy_Sched!$K57))</f>
        <v>0</v>
      </c>
      <c r="Y57" s="38">
        <f>IF($A57&gt;LastT,0,-V57+Y58/(1+Policy_Sched!$K57))</f>
        <v>0</v>
      </c>
      <c r="Z57" s="42">
        <f t="shared" si="32"/>
        <v>0</v>
      </c>
      <c r="AA57" s="38">
        <f>IF($A57&gt;LastT,0,N57-V57-Q57/(1+Policy_Sched!$K57)+Z58/(1+Policy_Sched!$K57))</f>
        <v>0</v>
      </c>
    </row>
    <row r="58" spans="1:27" x14ac:dyDescent="0.2">
      <c r="A58" s="30">
        <f t="shared" si="33"/>
        <v>51</v>
      </c>
      <c r="B58" s="31">
        <f t="shared" si="34"/>
        <v>0</v>
      </c>
      <c r="C58" s="31">
        <f>IF($A58&gt;LastT,0,IF(AND($D$3&lt;&gt;0,$A58&gt;=T0,Policy_Sched!$B58&lt;LastAge),1+$D$3*$E$3,1))</f>
        <v>0</v>
      </c>
      <c r="D58" s="36">
        <f>IF($A58&gt;LastT,0,IF($C$3="up",MIN(Policy_Sched!$E58*(1+IF($A58&gt;=T0,$E$3,0)),$F$3),IF($C$3="down",MAX(Policy_Sched!$E58*(1-IF($A58&gt;=T0,$E$3,0)),Policy_Sched!$E58-$F$3),Policy_Sched!$E58)))</f>
        <v>0</v>
      </c>
      <c r="E58" s="37">
        <f t="shared" si="35"/>
        <v>0</v>
      </c>
      <c r="F58" s="37">
        <f t="shared" si="18"/>
        <v>0</v>
      </c>
      <c r="G58" s="37">
        <f t="shared" si="19"/>
        <v>0</v>
      </c>
      <c r="H58" s="37">
        <f t="shared" si="20"/>
        <v>0</v>
      </c>
      <c r="I58" s="37">
        <f t="shared" si="21"/>
        <v>0</v>
      </c>
      <c r="J58" s="37">
        <f t="shared" si="22"/>
        <v>0</v>
      </c>
      <c r="K58" s="37">
        <f>IF($A58&gt;LastT,0,J58*Policy_Sched!$C58*Policy_Sched!$D58*C58)</f>
        <v>0</v>
      </c>
      <c r="L58" s="41">
        <f t="shared" si="23"/>
        <v>0</v>
      </c>
      <c r="M58" s="38">
        <f t="shared" si="24"/>
        <v>0</v>
      </c>
      <c r="N58" s="38">
        <f t="shared" si="25"/>
        <v>0</v>
      </c>
      <c r="O58" s="38">
        <f t="shared" si="26"/>
        <v>0</v>
      </c>
      <c r="P58" s="38">
        <f>Policy_Sched!$I58*(L58+I58)</f>
        <v>0</v>
      </c>
      <c r="Q58" s="42">
        <f t="shared" si="27"/>
        <v>0</v>
      </c>
      <c r="R58" s="38">
        <f t="shared" si="28"/>
        <v>0</v>
      </c>
      <c r="S58" s="38">
        <f t="shared" si="29"/>
        <v>0</v>
      </c>
      <c r="T58" s="38">
        <f>Policy_Sched!$J58*J58</f>
        <v>0</v>
      </c>
      <c r="U58" s="42">
        <f t="shared" si="30"/>
        <v>0</v>
      </c>
      <c r="V58" s="42">
        <f t="shared" si="31"/>
        <v>0</v>
      </c>
      <c r="W58" s="38">
        <f>IF($A58&gt;LastT,0,N58+W59/(1+Policy_Sched!$K58))</f>
        <v>0</v>
      </c>
      <c r="X58" s="38">
        <f>IF($A58&gt;LastT,0,(-Q58+X59)/(1+Policy_Sched!$K58))</f>
        <v>0</v>
      </c>
      <c r="Y58" s="38">
        <f>IF($A58&gt;LastT,0,-V58+Y59/(1+Policy_Sched!$K58))</f>
        <v>0</v>
      </c>
      <c r="Z58" s="42">
        <f t="shared" si="32"/>
        <v>0</v>
      </c>
      <c r="AA58" s="38">
        <f>IF($A58&gt;LastT,0,N58-V58-Q58/(1+Policy_Sched!$K58)+Z59/(1+Policy_Sched!$K58))</f>
        <v>0</v>
      </c>
    </row>
    <row r="59" spans="1:27" x14ac:dyDescent="0.2">
      <c r="A59" s="30">
        <f t="shared" si="33"/>
        <v>52</v>
      </c>
      <c r="B59" s="31">
        <f t="shared" si="34"/>
        <v>0</v>
      </c>
      <c r="C59" s="31">
        <f>IF($A59&gt;LastT,0,IF(AND($D$3&lt;&gt;0,$A59&gt;=T0,Policy_Sched!$B59&lt;LastAge),1+$D$3*$E$3,1))</f>
        <v>0</v>
      </c>
      <c r="D59" s="36">
        <f>IF($A59&gt;LastT,0,IF($C$3="up",MIN(Policy_Sched!$E59*(1+IF($A59&gt;=T0,$E$3,0)),$F$3),IF($C$3="down",MAX(Policy_Sched!$E59*(1-IF($A59&gt;=T0,$E$3,0)),Policy_Sched!$E59-$F$3),Policy_Sched!$E59)))</f>
        <v>0</v>
      </c>
      <c r="E59" s="37">
        <f t="shared" si="35"/>
        <v>0</v>
      </c>
      <c r="F59" s="37">
        <f t="shared" si="18"/>
        <v>0</v>
      </c>
      <c r="G59" s="37">
        <f t="shared" si="19"/>
        <v>0</v>
      </c>
      <c r="H59" s="37">
        <f t="shared" si="20"/>
        <v>0</v>
      </c>
      <c r="I59" s="37">
        <f t="shared" si="21"/>
        <v>0</v>
      </c>
      <c r="J59" s="37">
        <f t="shared" si="22"/>
        <v>0</v>
      </c>
      <c r="K59" s="37">
        <f>IF($A59&gt;LastT,0,J59*Policy_Sched!$C59*Policy_Sched!$D59*C59)</f>
        <v>0</v>
      </c>
      <c r="L59" s="41">
        <f t="shared" si="23"/>
        <v>0</v>
      </c>
      <c r="M59" s="38">
        <f t="shared" si="24"/>
        <v>0</v>
      </c>
      <c r="N59" s="38">
        <f t="shared" si="25"/>
        <v>0</v>
      </c>
      <c r="O59" s="38">
        <f t="shared" si="26"/>
        <v>0</v>
      </c>
      <c r="P59" s="38">
        <f>Policy_Sched!$I59*(L59+I59)</f>
        <v>0</v>
      </c>
      <c r="Q59" s="42">
        <f t="shared" si="27"/>
        <v>0</v>
      </c>
      <c r="R59" s="38">
        <f t="shared" si="28"/>
        <v>0</v>
      </c>
      <c r="S59" s="38">
        <f t="shared" si="29"/>
        <v>0</v>
      </c>
      <c r="T59" s="38">
        <f>Policy_Sched!$J59*J59</f>
        <v>0</v>
      </c>
      <c r="U59" s="42">
        <f t="shared" si="30"/>
        <v>0</v>
      </c>
      <c r="V59" s="42">
        <f t="shared" si="31"/>
        <v>0</v>
      </c>
      <c r="W59" s="38">
        <f>IF($A59&gt;LastT,0,N59+W60/(1+Policy_Sched!$K59))</f>
        <v>0</v>
      </c>
      <c r="X59" s="38">
        <f>IF($A59&gt;LastT,0,(-Q59+X60)/(1+Policy_Sched!$K59))</f>
        <v>0</v>
      </c>
      <c r="Y59" s="38">
        <f>IF($A59&gt;LastT,0,-V59+Y60/(1+Policy_Sched!$K59))</f>
        <v>0</v>
      </c>
      <c r="Z59" s="42">
        <f t="shared" si="32"/>
        <v>0</v>
      </c>
      <c r="AA59" s="38">
        <f>IF($A59&gt;LastT,0,N59-V59-Q59/(1+Policy_Sched!$K59)+Z60/(1+Policy_Sched!$K59))</f>
        <v>0</v>
      </c>
    </row>
    <row r="60" spans="1:27" x14ac:dyDescent="0.2">
      <c r="A60" s="30">
        <f t="shared" si="33"/>
        <v>53</v>
      </c>
      <c r="B60" s="31">
        <f t="shared" si="34"/>
        <v>0</v>
      </c>
      <c r="C60" s="31">
        <f>IF($A60&gt;LastT,0,IF(AND($D$3&lt;&gt;0,$A60&gt;=T0,Policy_Sched!$B60&lt;LastAge),1+$D$3*$E$3,1))</f>
        <v>0</v>
      </c>
      <c r="D60" s="36">
        <f>IF($A60&gt;LastT,0,IF($C$3="up",MIN(Policy_Sched!$E60*(1+IF($A60&gt;=T0,$E$3,0)),$F$3),IF($C$3="down",MAX(Policy_Sched!$E60*(1-IF($A60&gt;=T0,$E$3,0)),Policy_Sched!$E60-$F$3),Policy_Sched!$E60)))</f>
        <v>0</v>
      </c>
      <c r="E60" s="37">
        <f t="shared" si="35"/>
        <v>0</v>
      </c>
      <c r="F60" s="37">
        <f t="shared" si="18"/>
        <v>0</v>
      </c>
      <c r="G60" s="37">
        <f t="shared" si="19"/>
        <v>0</v>
      </c>
      <c r="H60" s="37">
        <f t="shared" si="20"/>
        <v>0</v>
      </c>
      <c r="I60" s="37">
        <f t="shared" si="21"/>
        <v>0</v>
      </c>
      <c r="J60" s="37">
        <f t="shared" si="22"/>
        <v>0</v>
      </c>
      <c r="K60" s="37">
        <f>IF($A60&gt;LastT,0,J60*Policy_Sched!$C60*Policy_Sched!$D60*C60)</f>
        <v>0</v>
      </c>
      <c r="L60" s="41">
        <f t="shared" si="23"/>
        <v>0</v>
      </c>
      <c r="M60" s="38">
        <f t="shared" si="24"/>
        <v>0</v>
      </c>
      <c r="N60" s="38">
        <f t="shared" si="25"/>
        <v>0</v>
      </c>
      <c r="O60" s="38">
        <f t="shared" si="26"/>
        <v>0</v>
      </c>
      <c r="P60" s="38">
        <f>Policy_Sched!$I60*(L60+I60)</f>
        <v>0</v>
      </c>
      <c r="Q60" s="42">
        <f t="shared" si="27"/>
        <v>0</v>
      </c>
      <c r="R60" s="38">
        <f t="shared" si="28"/>
        <v>0</v>
      </c>
      <c r="S60" s="38">
        <f t="shared" si="29"/>
        <v>0</v>
      </c>
      <c r="T60" s="38">
        <f>Policy_Sched!$J60*J60</f>
        <v>0</v>
      </c>
      <c r="U60" s="42">
        <f t="shared" si="30"/>
        <v>0</v>
      </c>
      <c r="V60" s="42">
        <f t="shared" si="31"/>
        <v>0</v>
      </c>
      <c r="W60" s="38">
        <f>IF($A60&gt;LastT,0,N60+W61/(1+Policy_Sched!$K60))</f>
        <v>0</v>
      </c>
      <c r="X60" s="38">
        <f>IF($A60&gt;LastT,0,(-Q60+X61)/(1+Policy_Sched!$K60))</f>
        <v>0</v>
      </c>
      <c r="Y60" s="38">
        <f>IF($A60&gt;LastT,0,-V60+Y61/(1+Policy_Sched!$K60))</f>
        <v>0</v>
      </c>
      <c r="Z60" s="42">
        <f t="shared" si="32"/>
        <v>0</v>
      </c>
      <c r="AA60" s="38">
        <f>IF($A60&gt;LastT,0,N60-V60-Q60/(1+Policy_Sched!$K60)+Z61/(1+Policy_Sched!$K60))</f>
        <v>0</v>
      </c>
    </row>
    <row r="61" spans="1:27" x14ac:dyDescent="0.2">
      <c r="A61" s="30">
        <f t="shared" si="33"/>
        <v>54</v>
      </c>
      <c r="B61" s="31">
        <f t="shared" si="34"/>
        <v>0</v>
      </c>
      <c r="C61" s="31">
        <f>IF($A61&gt;LastT,0,IF(AND($D$3&lt;&gt;0,$A61&gt;=T0,Policy_Sched!$B61&lt;LastAge),1+$D$3*$E$3,1))</f>
        <v>0</v>
      </c>
      <c r="D61" s="36">
        <f>IF($A61&gt;LastT,0,IF($C$3="up",MIN(Policy_Sched!$E61*(1+IF($A61&gt;=T0,$E$3,0)),$F$3),IF($C$3="down",MAX(Policy_Sched!$E61*(1-IF($A61&gt;=T0,$E$3,0)),Policy_Sched!$E61-$F$3),Policy_Sched!$E61)))</f>
        <v>0</v>
      </c>
      <c r="E61" s="37">
        <f t="shared" si="35"/>
        <v>0</v>
      </c>
      <c r="F61" s="37">
        <f t="shared" si="18"/>
        <v>0</v>
      </c>
      <c r="G61" s="37">
        <f t="shared" si="19"/>
        <v>0</v>
      </c>
      <c r="H61" s="37">
        <f t="shared" si="20"/>
        <v>0</v>
      </c>
      <c r="I61" s="37">
        <f t="shared" si="21"/>
        <v>0</v>
      </c>
      <c r="J61" s="37">
        <f t="shared" si="22"/>
        <v>0</v>
      </c>
      <c r="K61" s="37">
        <f>IF($A61&gt;LastT,0,J61*Policy_Sched!$C61*Policy_Sched!$D61*C61)</f>
        <v>0</v>
      </c>
      <c r="L61" s="41">
        <f t="shared" si="23"/>
        <v>0</v>
      </c>
      <c r="M61" s="38">
        <f t="shared" si="24"/>
        <v>0</v>
      </c>
      <c r="N61" s="38">
        <f t="shared" si="25"/>
        <v>0</v>
      </c>
      <c r="O61" s="38">
        <f t="shared" si="26"/>
        <v>0</v>
      </c>
      <c r="P61" s="38">
        <f>Policy_Sched!$I61*(L61+I61)</f>
        <v>0</v>
      </c>
      <c r="Q61" s="42">
        <f t="shared" si="27"/>
        <v>0</v>
      </c>
      <c r="R61" s="38">
        <f t="shared" si="28"/>
        <v>0</v>
      </c>
      <c r="S61" s="38">
        <f t="shared" si="29"/>
        <v>0</v>
      </c>
      <c r="T61" s="38">
        <f>Policy_Sched!$J61*J61</f>
        <v>0</v>
      </c>
      <c r="U61" s="42">
        <f t="shared" si="30"/>
        <v>0</v>
      </c>
      <c r="V61" s="42">
        <f t="shared" si="31"/>
        <v>0</v>
      </c>
      <c r="W61" s="38">
        <f>IF($A61&gt;LastT,0,N61+W62/(1+Policy_Sched!$K61))</f>
        <v>0</v>
      </c>
      <c r="X61" s="38">
        <f>IF($A61&gt;LastT,0,(-Q61+X62)/(1+Policy_Sched!$K61))</f>
        <v>0</v>
      </c>
      <c r="Y61" s="38">
        <f>IF($A61&gt;LastT,0,-V61+Y62/(1+Policy_Sched!$K61))</f>
        <v>0</v>
      </c>
      <c r="Z61" s="42">
        <f t="shared" si="32"/>
        <v>0</v>
      </c>
      <c r="AA61" s="38">
        <f>IF($A61&gt;LastT,0,N61-V61-Q61/(1+Policy_Sched!$K61)+Z62/(1+Policy_Sched!$K61))</f>
        <v>0</v>
      </c>
    </row>
    <row r="62" spans="1:27" x14ac:dyDescent="0.2">
      <c r="A62" s="30">
        <f t="shared" si="33"/>
        <v>55</v>
      </c>
      <c r="B62" s="31">
        <f t="shared" si="34"/>
        <v>0</v>
      </c>
      <c r="C62" s="31">
        <f>IF($A62&gt;LastT,0,IF(AND($D$3&lt;&gt;0,$A62&gt;=T0,Policy_Sched!$B62&lt;LastAge),1+$D$3*$E$3,1))</f>
        <v>0</v>
      </c>
      <c r="D62" s="36">
        <f>IF($A62&gt;LastT,0,IF($C$3="up",MIN(Policy_Sched!$E62*(1+IF($A62&gt;=T0,$E$3,0)),$F$3),IF($C$3="down",MAX(Policy_Sched!$E62*(1-IF($A62&gt;=T0,$E$3,0)),Policy_Sched!$E62-$F$3),Policy_Sched!$E62)))</f>
        <v>0</v>
      </c>
      <c r="E62" s="37">
        <f t="shared" si="35"/>
        <v>0</v>
      </c>
      <c r="F62" s="37">
        <f t="shared" si="18"/>
        <v>0</v>
      </c>
      <c r="G62" s="37">
        <f t="shared" si="19"/>
        <v>0</v>
      </c>
      <c r="H62" s="37">
        <f t="shared" si="20"/>
        <v>0</v>
      </c>
      <c r="I62" s="37">
        <f t="shared" si="21"/>
        <v>0</v>
      </c>
      <c r="J62" s="37">
        <f t="shared" si="22"/>
        <v>0</v>
      </c>
      <c r="K62" s="37">
        <f>IF($A62&gt;LastT,0,J62*Policy_Sched!$C62*Policy_Sched!$D62*C62)</f>
        <v>0</v>
      </c>
      <c r="L62" s="41">
        <f t="shared" si="23"/>
        <v>0</v>
      </c>
      <c r="M62" s="38">
        <f t="shared" si="24"/>
        <v>0</v>
      </c>
      <c r="N62" s="38">
        <f t="shared" si="25"/>
        <v>0</v>
      </c>
      <c r="O62" s="38">
        <f t="shared" si="26"/>
        <v>0</v>
      </c>
      <c r="P62" s="38">
        <f>Policy_Sched!$I62*(L62+I62)</f>
        <v>0</v>
      </c>
      <c r="Q62" s="42">
        <f t="shared" si="27"/>
        <v>0</v>
      </c>
      <c r="R62" s="38">
        <f t="shared" si="28"/>
        <v>0</v>
      </c>
      <c r="S62" s="38">
        <f t="shared" si="29"/>
        <v>0</v>
      </c>
      <c r="T62" s="38">
        <f>Policy_Sched!$J62*J62</f>
        <v>0</v>
      </c>
      <c r="U62" s="42">
        <f t="shared" si="30"/>
        <v>0</v>
      </c>
      <c r="V62" s="42">
        <f t="shared" si="31"/>
        <v>0</v>
      </c>
      <c r="W62" s="38">
        <f>IF($A62&gt;LastT,0,N62+W63/(1+Policy_Sched!$K62))</f>
        <v>0</v>
      </c>
      <c r="X62" s="38">
        <f>IF($A62&gt;LastT,0,(-Q62+X63)/(1+Policy_Sched!$K62))</f>
        <v>0</v>
      </c>
      <c r="Y62" s="38">
        <f>IF($A62&gt;LastT,0,-V62+Y63/(1+Policy_Sched!$K62))</f>
        <v>0</v>
      </c>
      <c r="Z62" s="42">
        <f t="shared" si="32"/>
        <v>0</v>
      </c>
      <c r="AA62" s="38">
        <f>IF($A62&gt;LastT,0,N62-V62-Q62/(1+Policy_Sched!$K62)+Z63/(1+Policy_Sched!$K62))</f>
        <v>0</v>
      </c>
    </row>
    <row r="63" spans="1:27" x14ac:dyDescent="0.2">
      <c r="A63" s="30">
        <f t="shared" si="33"/>
        <v>56</v>
      </c>
      <c r="B63" s="31">
        <f t="shared" si="34"/>
        <v>0</v>
      </c>
      <c r="C63" s="31">
        <f>IF($A63&gt;LastT,0,IF(AND($D$3&lt;&gt;0,$A63&gt;=T0,Policy_Sched!$B63&lt;LastAge),1+$D$3*$E$3,1))</f>
        <v>0</v>
      </c>
      <c r="D63" s="36">
        <f>IF($A63&gt;LastT,0,IF($C$3="up",MIN(Policy_Sched!$E63*(1+IF($A63&gt;=T0,$E$3,0)),$F$3),IF($C$3="down",MAX(Policy_Sched!$E63*(1-IF($A63&gt;=T0,$E$3,0)),Policy_Sched!$E63-$F$3),Policy_Sched!$E63)))</f>
        <v>0</v>
      </c>
      <c r="E63" s="37">
        <f t="shared" si="35"/>
        <v>0</v>
      </c>
      <c r="F63" s="37">
        <f t="shared" si="18"/>
        <v>0</v>
      </c>
      <c r="G63" s="37">
        <f t="shared" si="19"/>
        <v>0</v>
      </c>
      <c r="H63" s="37">
        <f t="shared" si="20"/>
        <v>0</v>
      </c>
      <c r="I63" s="37">
        <f t="shared" si="21"/>
        <v>0</v>
      </c>
      <c r="J63" s="37">
        <f t="shared" si="22"/>
        <v>0</v>
      </c>
      <c r="K63" s="37">
        <f>IF($A63&gt;LastT,0,J63*Policy_Sched!$C63*Policy_Sched!$D63*C63)</f>
        <v>0</v>
      </c>
      <c r="L63" s="41">
        <f t="shared" si="23"/>
        <v>0</v>
      </c>
      <c r="M63" s="38">
        <f t="shared" si="24"/>
        <v>0</v>
      </c>
      <c r="N63" s="38">
        <f t="shared" si="25"/>
        <v>0</v>
      </c>
      <c r="O63" s="38">
        <f t="shared" si="26"/>
        <v>0</v>
      </c>
      <c r="P63" s="38">
        <f>Policy_Sched!$I63*(L63+I63)</f>
        <v>0</v>
      </c>
      <c r="Q63" s="42">
        <f t="shared" si="27"/>
        <v>0</v>
      </c>
      <c r="R63" s="38">
        <f t="shared" si="28"/>
        <v>0</v>
      </c>
      <c r="S63" s="38">
        <f t="shared" si="29"/>
        <v>0</v>
      </c>
      <c r="T63" s="38">
        <f>Policy_Sched!$J63*J63</f>
        <v>0</v>
      </c>
      <c r="U63" s="42">
        <f t="shared" si="30"/>
        <v>0</v>
      </c>
      <c r="V63" s="42">
        <f t="shared" si="31"/>
        <v>0</v>
      </c>
      <c r="W63" s="38">
        <f>IF($A63&gt;LastT,0,N63+W64/(1+Policy_Sched!$K63))</f>
        <v>0</v>
      </c>
      <c r="X63" s="38">
        <f>IF($A63&gt;LastT,0,(-Q63+X64)/(1+Policy_Sched!$K63))</f>
        <v>0</v>
      </c>
      <c r="Y63" s="38">
        <f>IF($A63&gt;LastT,0,-V63+Y64/(1+Policy_Sched!$K63))</f>
        <v>0</v>
      </c>
      <c r="Z63" s="42">
        <f t="shared" si="32"/>
        <v>0</v>
      </c>
      <c r="AA63" s="38">
        <f>IF($A63&gt;LastT,0,N63-V63-Q63/(1+Policy_Sched!$K63)+Z64/(1+Policy_Sched!$K63))</f>
        <v>0</v>
      </c>
    </row>
    <row r="64" spans="1:27" x14ac:dyDescent="0.2">
      <c r="A64" s="30">
        <f t="shared" si="33"/>
        <v>57</v>
      </c>
      <c r="B64" s="31">
        <f t="shared" si="34"/>
        <v>0</v>
      </c>
      <c r="C64" s="31">
        <f>IF($A64&gt;LastT,0,IF(AND($D$3&lt;&gt;0,$A64&gt;=T0,Policy_Sched!$B64&lt;LastAge),1+$D$3*$E$3,1))</f>
        <v>0</v>
      </c>
      <c r="D64" s="36">
        <f>IF($A64&gt;LastT,0,IF($C$3="up",MIN(Policy_Sched!$E64*(1+IF($A64&gt;=T0,$E$3,0)),$F$3),IF($C$3="down",MAX(Policy_Sched!$E64*(1-IF($A64&gt;=T0,$E$3,0)),Policy_Sched!$E64-$F$3),Policy_Sched!$E64)))</f>
        <v>0</v>
      </c>
      <c r="E64" s="37">
        <f t="shared" si="35"/>
        <v>0</v>
      </c>
      <c r="F64" s="37">
        <f t="shared" si="18"/>
        <v>0</v>
      </c>
      <c r="G64" s="37">
        <f t="shared" si="19"/>
        <v>0</v>
      </c>
      <c r="H64" s="37">
        <f t="shared" si="20"/>
        <v>0</v>
      </c>
      <c r="I64" s="37">
        <f t="shared" si="21"/>
        <v>0</v>
      </c>
      <c r="J64" s="37">
        <f t="shared" si="22"/>
        <v>0</v>
      </c>
      <c r="K64" s="37">
        <f>IF($A64&gt;LastT,0,J64*Policy_Sched!$C64*Policy_Sched!$D64*C64)</f>
        <v>0</v>
      </c>
      <c r="L64" s="41">
        <f t="shared" si="23"/>
        <v>0</v>
      </c>
      <c r="M64" s="38">
        <f t="shared" si="24"/>
        <v>0</v>
      </c>
      <c r="N64" s="38">
        <f t="shared" si="25"/>
        <v>0</v>
      </c>
      <c r="O64" s="38">
        <f t="shared" si="26"/>
        <v>0</v>
      </c>
      <c r="P64" s="38">
        <f>Policy_Sched!$I64*(L64+I64)</f>
        <v>0</v>
      </c>
      <c r="Q64" s="42">
        <f t="shared" si="27"/>
        <v>0</v>
      </c>
      <c r="R64" s="38">
        <f t="shared" si="28"/>
        <v>0</v>
      </c>
      <c r="S64" s="38">
        <f t="shared" si="29"/>
        <v>0</v>
      </c>
      <c r="T64" s="38">
        <f>Policy_Sched!$J64*J64</f>
        <v>0</v>
      </c>
      <c r="U64" s="42">
        <f t="shared" si="30"/>
        <v>0</v>
      </c>
      <c r="V64" s="42">
        <f t="shared" si="31"/>
        <v>0</v>
      </c>
      <c r="W64" s="38">
        <f>IF($A64&gt;LastT,0,N64+W65/(1+Policy_Sched!$K64))</f>
        <v>0</v>
      </c>
      <c r="X64" s="38">
        <f>IF($A64&gt;LastT,0,(-Q64+X65)/(1+Policy_Sched!$K64))</f>
        <v>0</v>
      </c>
      <c r="Y64" s="38">
        <f>IF($A64&gt;LastT,0,-V64+Y65/(1+Policy_Sched!$K64))</f>
        <v>0</v>
      </c>
      <c r="Z64" s="42">
        <f t="shared" si="32"/>
        <v>0</v>
      </c>
      <c r="AA64" s="38">
        <f>IF($A64&gt;LastT,0,N64-V64-Q64/(1+Policy_Sched!$K64)+Z65/(1+Policy_Sched!$K64))</f>
        <v>0</v>
      </c>
    </row>
    <row r="65" spans="1:27" x14ac:dyDescent="0.2">
      <c r="A65" s="30">
        <f t="shared" si="33"/>
        <v>58</v>
      </c>
      <c r="B65" s="31">
        <f t="shared" si="34"/>
        <v>0</v>
      </c>
      <c r="C65" s="31">
        <f>IF($A65&gt;LastT,0,IF(AND($D$3&lt;&gt;0,$A65&gt;=T0,Policy_Sched!$B65&lt;LastAge),1+$D$3*$E$3,1))</f>
        <v>0</v>
      </c>
      <c r="D65" s="36">
        <f>IF($A65&gt;LastT,0,IF($C$3="up",MIN(Policy_Sched!$E65*(1+IF($A65&gt;=T0,$E$3,0)),$F$3),IF($C$3="down",MAX(Policy_Sched!$E65*(1-IF($A65&gt;=T0,$E$3,0)),Policy_Sched!$E65-$F$3),Policy_Sched!$E65)))</f>
        <v>0</v>
      </c>
      <c r="E65" s="37">
        <f t="shared" si="35"/>
        <v>0</v>
      </c>
      <c r="F65" s="37">
        <f t="shared" si="18"/>
        <v>0</v>
      </c>
      <c r="G65" s="37">
        <f t="shared" si="19"/>
        <v>0</v>
      </c>
      <c r="H65" s="37">
        <f t="shared" si="20"/>
        <v>0</v>
      </c>
      <c r="I65" s="37">
        <f t="shared" si="21"/>
        <v>0</v>
      </c>
      <c r="J65" s="37">
        <f t="shared" si="22"/>
        <v>0</v>
      </c>
      <c r="K65" s="37">
        <f>IF($A65&gt;LastT,0,J65*Policy_Sched!$C65*Policy_Sched!$D65*C65)</f>
        <v>0</v>
      </c>
      <c r="L65" s="41">
        <f t="shared" si="23"/>
        <v>0</v>
      </c>
      <c r="M65" s="38">
        <f t="shared" si="24"/>
        <v>0</v>
      </c>
      <c r="N65" s="38">
        <f t="shared" si="25"/>
        <v>0</v>
      </c>
      <c r="O65" s="38">
        <f t="shared" si="26"/>
        <v>0</v>
      </c>
      <c r="P65" s="38">
        <f>Policy_Sched!$I65*(L65+I65)</f>
        <v>0</v>
      </c>
      <c r="Q65" s="42">
        <f t="shared" si="27"/>
        <v>0</v>
      </c>
      <c r="R65" s="38">
        <f t="shared" si="28"/>
        <v>0</v>
      </c>
      <c r="S65" s="38">
        <f t="shared" si="29"/>
        <v>0</v>
      </c>
      <c r="T65" s="38">
        <f>Policy_Sched!$J65*J65</f>
        <v>0</v>
      </c>
      <c r="U65" s="42">
        <f t="shared" si="30"/>
        <v>0</v>
      </c>
      <c r="V65" s="42">
        <f t="shared" si="31"/>
        <v>0</v>
      </c>
      <c r="W65" s="38">
        <f>IF($A65&gt;LastT,0,N65+W66/(1+Policy_Sched!$K65))</f>
        <v>0</v>
      </c>
      <c r="X65" s="38">
        <f>IF($A65&gt;LastT,0,(-Q65+X66)/(1+Policy_Sched!$K65))</f>
        <v>0</v>
      </c>
      <c r="Y65" s="38">
        <f>IF($A65&gt;LastT,0,-V65+Y66/(1+Policy_Sched!$K65))</f>
        <v>0</v>
      </c>
      <c r="Z65" s="42">
        <f t="shared" si="32"/>
        <v>0</v>
      </c>
      <c r="AA65" s="38">
        <f>IF($A65&gt;LastT,0,N65-V65-Q65/(1+Policy_Sched!$K65)+Z66/(1+Policy_Sched!$K65))</f>
        <v>0</v>
      </c>
    </row>
    <row r="66" spans="1:27" x14ac:dyDescent="0.2">
      <c r="A66" s="30">
        <f t="shared" si="33"/>
        <v>59</v>
      </c>
      <c r="B66" s="31">
        <f t="shared" si="34"/>
        <v>0</v>
      </c>
      <c r="C66" s="31">
        <f>IF($A66&gt;LastT,0,IF(AND($D$3&lt;&gt;0,$A66&gt;=T0,Policy_Sched!$B66&lt;LastAge),1+$D$3*$E$3,1))</f>
        <v>0</v>
      </c>
      <c r="D66" s="36">
        <f>IF($A66&gt;LastT,0,IF($C$3="up",MIN(Policy_Sched!$E66*(1+IF($A66&gt;=T0,$E$3,0)),$F$3),IF($C$3="down",MAX(Policy_Sched!$E66*(1-IF($A66&gt;=T0,$E$3,0)),Policy_Sched!$E66-$F$3),Policy_Sched!$E66)))</f>
        <v>0</v>
      </c>
      <c r="E66" s="37">
        <f t="shared" si="35"/>
        <v>0</v>
      </c>
      <c r="F66" s="37">
        <f t="shared" si="18"/>
        <v>0</v>
      </c>
      <c r="G66" s="37">
        <f t="shared" si="19"/>
        <v>0</v>
      </c>
      <c r="H66" s="37">
        <f t="shared" si="20"/>
        <v>0</v>
      </c>
      <c r="I66" s="37">
        <f t="shared" si="21"/>
        <v>0</v>
      </c>
      <c r="J66" s="37">
        <f t="shared" si="22"/>
        <v>0</v>
      </c>
      <c r="K66" s="37">
        <f>IF($A66&gt;LastT,0,J66*Policy_Sched!$C66*Policy_Sched!$D66*C66)</f>
        <v>0</v>
      </c>
      <c r="L66" s="41">
        <f t="shared" si="23"/>
        <v>0</v>
      </c>
      <c r="M66" s="38">
        <f t="shared" si="24"/>
        <v>0</v>
      </c>
      <c r="N66" s="38">
        <f t="shared" si="25"/>
        <v>0</v>
      </c>
      <c r="O66" s="38">
        <f t="shared" si="26"/>
        <v>0</v>
      </c>
      <c r="P66" s="38">
        <f>Policy_Sched!$I66*(L66+I66)</f>
        <v>0</v>
      </c>
      <c r="Q66" s="42">
        <f t="shared" si="27"/>
        <v>0</v>
      </c>
      <c r="R66" s="38">
        <f t="shared" si="28"/>
        <v>0</v>
      </c>
      <c r="S66" s="38">
        <f t="shared" si="29"/>
        <v>0</v>
      </c>
      <c r="T66" s="38">
        <f>Policy_Sched!$J66*J66</f>
        <v>0</v>
      </c>
      <c r="U66" s="42">
        <f t="shared" si="30"/>
        <v>0</v>
      </c>
      <c r="V66" s="42">
        <f t="shared" si="31"/>
        <v>0</v>
      </c>
      <c r="W66" s="38">
        <f>IF($A66&gt;LastT,0,N66+W67/(1+Policy_Sched!$K66))</f>
        <v>0</v>
      </c>
      <c r="X66" s="38">
        <f>IF($A66&gt;LastT,0,(-Q66+X67)/(1+Policy_Sched!$K66))</f>
        <v>0</v>
      </c>
      <c r="Y66" s="38">
        <f>IF($A66&gt;LastT,0,-V66+Y67/(1+Policy_Sched!$K66))</f>
        <v>0</v>
      </c>
      <c r="Z66" s="42">
        <f t="shared" si="32"/>
        <v>0</v>
      </c>
      <c r="AA66" s="38">
        <f>IF($A66&gt;LastT,0,N66-V66-Q66/(1+Policy_Sched!$K66)+Z67/(1+Policy_Sched!$K66))</f>
        <v>0</v>
      </c>
    </row>
    <row r="67" spans="1:27" x14ac:dyDescent="0.2">
      <c r="A67" s="30">
        <f t="shared" si="33"/>
        <v>60</v>
      </c>
      <c r="B67" s="31">
        <f t="shared" si="34"/>
        <v>0</v>
      </c>
      <c r="C67" s="31">
        <f>IF($A67&gt;LastT,0,IF(AND($D$3&lt;&gt;0,$A67&gt;=T0,Policy_Sched!$B67&lt;LastAge),1+$D$3*$E$3,1))</f>
        <v>0</v>
      </c>
      <c r="D67" s="36">
        <f>IF($A67&gt;LastT,0,IF($C$3="up",MIN(Policy_Sched!$E67*(1+IF($A67&gt;=T0,$E$3,0)),$F$3),IF($C$3="down",MAX(Policy_Sched!$E67*(1-IF($A67&gt;=T0,$E$3,0)),Policy_Sched!$E67-$F$3),Policy_Sched!$E67)))</f>
        <v>0</v>
      </c>
      <c r="E67" s="37">
        <f t="shared" si="35"/>
        <v>0</v>
      </c>
      <c r="F67" s="37">
        <f t="shared" si="18"/>
        <v>0</v>
      </c>
      <c r="G67" s="37">
        <f t="shared" si="19"/>
        <v>0</v>
      </c>
      <c r="H67" s="37">
        <f t="shared" si="20"/>
        <v>0</v>
      </c>
      <c r="I67" s="37">
        <f t="shared" si="21"/>
        <v>0</v>
      </c>
      <c r="J67" s="37">
        <f t="shared" si="22"/>
        <v>0</v>
      </c>
      <c r="K67" s="37">
        <f>IF($A67&gt;LastT,0,J67*Policy_Sched!$C67*Policy_Sched!$D67*C67)</f>
        <v>0</v>
      </c>
      <c r="L67" s="41">
        <f t="shared" si="23"/>
        <v>0</v>
      </c>
      <c r="M67" s="38">
        <f t="shared" si="24"/>
        <v>0</v>
      </c>
      <c r="N67" s="38">
        <f t="shared" si="25"/>
        <v>0</v>
      </c>
      <c r="O67" s="38">
        <f t="shared" si="26"/>
        <v>0</v>
      </c>
      <c r="P67" s="38">
        <f>Policy_Sched!$I67*(L67+I67)</f>
        <v>0</v>
      </c>
      <c r="Q67" s="42">
        <f t="shared" si="27"/>
        <v>0</v>
      </c>
      <c r="R67" s="38">
        <f t="shared" si="28"/>
        <v>0</v>
      </c>
      <c r="S67" s="38">
        <f t="shared" si="29"/>
        <v>0</v>
      </c>
      <c r="T67" s="38">
        <f>Policy_Sched!$J67*J67</f>
        <v>0</v>
      </c>
      <c r="U67" s="42">
        <f t="shared" si="30"/>
        <v>0</v>
      </c>
      <c r="V67" s="42">
        <f t="shared" si="31"/>
        <v>0</v>
      </c>
      <c r="W67" s="38">
        <f>IF($A67&gt;LastT,0,N67+W68/(1+Policy_Sched!$K67))</f>
        <v>0</v>
      </c>
      <c r="X67" s="38">
        <f>IF($A67&gt;LastT,0,(-Q67+X68)/(1+Policy_Sched!$K67))</f>
        <v>0</v>
      </c>
      <c r="Y67" s="38">
        <f>IF($A67&gt;LastT,0,-V67+Y68/(1+Policy_Sched!$K67))</f>
        <v>0</v>
      </c>
      <c r="Z67" s="42">
        <f t="shared" si="32"/>
        <v>0</v>
      </c>
      <c r="AA67" s="38">
        <f>IF($A67&gt;LastT,0,N67-V67-Q67/(1+Policy_Sched!$K67)+Z68/(1+Policy_Sched!$K67))</f>
        <v>0</v>
      </c>
    </row>
    <row r="68" spans="1:27" x14ac:dyDescent="0.2">
      <c r="A68" s="30">
        <f t="shared" si="33"/>
        <v>61</v>
      </c>
      <c r="B68" s="31">
        <f t="shared" si="34"/>
        <v>0</v>
      </c>
      <c r="C68" s="31">
        <f>IF($A68&gt;LastT,0,IF(AND($D$3&lt;&gt;0,$A68&gt;=T0,Policy_Sched!$B68&lt;LastAge),1+$D$3*$E$3,1))</f>
        <v>0</v>
      </c>
      <c r="D68" s="36">
        <f>IF($A68&gt;LastT,0,IF($C$3="up",MIN(Policy_Sched!$E68*(1+IF($A68&gt;=T0,$E$3,0)),$F$3),IF($C$3="down",MAX(Policy_Sched!$E68*(1-IF($A68&gt;=T0,$E$3,0)),Policy_Sched!$E68-$F$3),Policy_Sched!$E68)))</f>
        <v>0</v>
      </c>
      <c r="E68" s="37">
        <f t="shared" si="35"/>
        <v>0</v>
      </c>
      <c r="F68" s="37">
        <f t="shared" si="18"/>
        <v>0</v>
      </c>
      <c r="G68" s="37">
        <f t="shared" si="19"/>
        <v>0</v>
      </c>
      <c r="H68" s="37">
        <f t="shared" si="20"/>
        <v>0</v>
      </c>
      <c r="I68" s="37">
        <f t="shared" si="21"/>
        <v>0</v>
      </c>
      <c r="J68" s="37">
        <f t="shared" si="22"/>
        <v>0</v>
      </c>
      <c r="K68" s="37">
        <f>IF($A68&gt;LastT,0,J68*Policy_Sched!$C68*Policy_Sched!$D68*C68)</f>
        <v>0</v>
      </c>
      <c r="L68" s="41">
        <f t="shared" si="23"/>
        <v>0</v>
      </c>
      <c r="M68" s="38">
        <f t="shared" si="24"/>
        <v>0</v>
      </c>
      <c r="N68" s="38">
        <f t="shared" si="25"/>
        <v>0</v>
      </c>
      <c r="O68" s="38">
        <f t="shared" si="26"/>
        <v>0</v>
      </c>
      <c r="P68" s="38">
        <f>Policy_Sched!$I68*(L68+I68)</f>
        <v>0</v>
      </c>
      <c r="Q68" s="42">
        <f t="shared" si="27"/>
        <v>0</v>
      </c>
      <c r="R68" s="38">
        <f t="shared" si="28"/>
        <v>0</v>
      </c>
      <c r="S68" s="38">
        <f t="shared" si="29"/>
        <v>0</v>
      </c>
      <c r="T68" s="38">
        <f>Policy_Sched!$J68*J68</f>
        <v>0</v>
      </c>
      <c r="U68" s="42">
        <f t="shared" si="30"/>
        <v>0</v>
      </c>
      <c r="V68" s="42">
        <f t="shared" si="31"/>
        <v>0</v>
      </c>
      <c r="W68" s="38">
        <f>IF($A68&gt;LastT,0,N68+W69/(1+Policy_Sched!$K68))</f>
        <v>0</v>
      </c>
      <c r="X68" s="38">
        <f>IF($A68&gt;LastT,0,(-Q68+X69)/(1+Policy_Sched!$K68))</f>
        <v>0</v>
      </c>
      <c r="Y68" s="38">
        <f>IF($A68&gt;LastT,0,-V68+Y69/(1+Policy_Sched!$K68))</f>
        <v>0</v>
      </c>
      <c r="Z68" s="42">
        <f t="shared" si="32"/>
        <v>0</v>
      </c>
      <c r="AA68" s="38">
        <f>IF($A68&gt;LastT,0,N68-V68-Q68/(1+Policy_Sched!$K68)+Z69/(1+Policy_Sched!$K68))</f>
        <v>0</v>
      </c>
    </row>
    <row r="69" spans="1:27" x14ac:dyDescent="0.2">
      <c r="A69" s="30">
        <f t="shared" si="33"/>
        <v>62</v>
      </c>
      <c r="B69" s="31">
        <f t="shared" si="34"/>
        <v>0</v>
      </c>
      <c r="C69" s="31">
        <f>IF($A69&gt;LastT,0,IF(AND($D$3&lt;&gt;0,$A69&gt;=T0,Policy_Sched!$B69&lt;LastAge),1+$D$3*$E$3,1))</f>
        <v>0</v>
      </c>
      <c r="D69" s="36">
        <f>IF($A69&gt;LastT,0,IF($C$3="up",MIN(Policy_Sched!$E69*(1+IF($A69&gt;=T0,$E$3,0)),$F$3),IF($C$3="down",MAX(Policy_Sched!$E69*(1-IF($A69&gt;=T0,$E$3,0)),Policy_Sched!$E69-$F$3),Policy_Sched!$E69)))</f>
        <v>0</v>
      </c>
      <c r="E69" s="37">
        <f t="shared" si="35"/>
        <v>0</v>
      </c>
      <c r="F69" s="37">
        <f t="shared" si="18"/>
        <v>0</v>
      </c>
      <c r="G69" s="37">
        <f t="shared" si="19"/>
        <v>0</v>
      </c>
      <c r="H69" s="37">
        <f t="shared" si="20"/>
        <v>0</v>
      </c>
      <c r="I69" s="37">
        <f t="shared" si="21"/>
        <v>0</v>
      </c>
      <c r="J69" s="37">
        <f t="shared" si="22"/>
        <v>0</v>
      </c>
      <c r="K69" s="37">
        <f>IF($A69&gt;LastT,0,J69*Policy_Sched!$C69*Policy_Sched!$D69*C69)</f>
        <v>0</v>
      </c>
      <c r="L69" s="41">
        <f t="shared" si="23"/>
        <v>0</v>
      </c>
      <c r="M69" s="38">
        <f t="shared" si="24"/>
        <v>0</v>
      </c>
      <c r="N69" s="38">
        <f t="shared" si="25"/>
        <v>0</v>
      </c>
      <c r="O69" s="38">
        <f t="shared" si="26"/>
        <v>0</v>
      </c>
      <c r="P69" s="38">
        <f>Policy_Sched!$I69*(L69+I69)</f>
        <v>0</v>
      </c>
      <c r="Q69" s="42">
        <f t="shared" si="27"/>
        <v>0</v>
      </c>
      <c r="R69" s="38">
        <f t="shared" si="28"/>
        <v>0</v>
      </c>
      <c r="S69" s="38">
        <f t="shared" si="29"/>
        <v>0</v>
      </c>
      <c r="T69" s="38">
        <f>Policy_Sched!$J69*J69</f>
        <v>0</v>
      </c>
      <c r="U69" s="42">
        <f t="shared" si="30"/>
        <v>0</v>
      </c>
      <c r="V69" s="42">
        <f t="shared" si="31"/>
        <v>0</v>
      </c>
      <c r="W69" s="38">
        <f>IF($A69&gt;LastT,0,N69+W70/(1+Policy_Sched!$K69))</f>
        <v>0</v>
      </c>
      <c r="X69" s="38">
        <f>IF($A69&gt;LastT,0,(-Q69+X70)/(1+Policy_Sched!$K69))</f>
        <v>0</v>
      </c>
      <c r="Y69" s="38">
        <f>IF($A69&gt;LastT,0,-V69+Y70/(1+Policy_Sched!$K69))</f>
        <v>0</v>
      </c>
      <c r="Z69" s="42">
        <f t="shared" si="32"/>
        <v>0</v>
      </c>
      <c r="AA69" s="38">
        <f>IF($A69&gt;LastT,0,N69-V69-Q69/(1+Policy_Sched!$K69)+Z70/(1+Policy_Sched!$K69))</f>
        <v>0</v>
      </c>
    </row>
    <row r="70" spans="1:27" x14ac:dyDescent="0.2">
      <c r="A70" s="30">
        <f t="shared" si="33"/>
        <v>63</v>
      </c>
      <c r="B70" s="31">
        <f t="shared" si="34"/>
        <v>0</v>
      </c>
      <c r="C70" s="31">
        <f>IF($A70&gt;LastT,0,IF(AND($D$3&lt;&gt;0,$A70&gt;=T0,Policy_Sched!$B70&lt;LastAge),1+$D$3*$E$3,1))</f>
        <v>0</v>
      </c>
      <c r="D70" s="36">
        <f>IF($A70&gt;LastT,0,IF($C$3="up",MIN(Policy_Sched!$E70*(1+IF($A70&gt;=T0,$E$3,0)),$F$3),IF($C$3="down",MAX(Policy_Sched!$E70*(1-IF($A70&gt;=T0,$E$3,0)),Policy_Sched!$E70-$F$3),Policy_Sched!$E70)))</f>
        <v>0</v>
      </c>
      <c r="E70" s="37">
        <f t="shared" si="35"/>
        <v>0</v>
      </c>
      <c r="F70" s="37">
        <f t="shared" si="18"/>
        <v>0</v>
      </c>
      <c r="G70" s="37">
        <f t="shared" si="19"/>
        <v>0</v>
      </c>
      <c r="H70" s="37">
        <f t="shared" si="20"/>
        <v>0</v>
      </c>
      <c r="I70" s="37">
        <f t="shared" si="21"/>
        <v>0</v>
      </c>
      <c r="J70" s="37">
        <f t="shared" si="22"/>
        <v>0</v>
      </c>
      <c r="K70" s="37">
        <f>IF($A70&gt;LastT,0,J70*Policy_Sched!$C70*Policy_Sched!$D70*C70)</f>
        <v>0</v>
      </c>
      <c r="L70" s="41">
        <f t="shared" si="23"/>
        <v>0</v>
      </c>
      <c r="M70" s="38">
        <f t="shared" si="24"/>
        <v>0</v>
      </c>
      <c r="N70" s="38">
        <f t="shared" si="25"/>
        <v>0</v>
      </c>
      <c r="O70" s="38">
        <f t="shared" si="26"/>
        <v>0</v>
      </c>
      <c r="P70" s="38">
        <f>Policy_Sched!$I70*(L70+I70)</f>
        <v>0</v>
      </c>
      <c r="Q70" s="42">
        <f t="shared" si="27"/>
        <v>0</v>
      </c>
      <c r="R70" s="38">
        <f t="shared" si="28"/>
        <v>0</v>
      </c>
      <c r="S70" s="38">
        <f t="shared" si="29"/>
        <v>0</v>
      </c>
      <c r="T70" s="38">
        <f>Policy_Sched!$J70*J70</f>
        <v>0</v>
      </c>
      <c r="U70" s="42">
        <f t="shared" si="30"/>
        <v>0</v>
      </c>
      <c r="V70" s="42">
        <f t="shared" si="31"/>
        <v>0</v>
      </c>
      <c r="W70" s="38">
        <f>IF($A70&gt;LastT,0,N70+W71/(1+Policy_Sched!$K70))</f>
        <v>0</v>
      </c>
      <c r="X70" s="38">
        <f>IF($A70&gt;LastT,0,(-Q70+X71)/(1+Policy_Sched!$K70))</f>
        <v>0</v>
      </c>
      <c r="Y70" s="38">
        <f>IF($A70&gt;LastT,0,-V70+Y71/(1+Policy_Sched!$K70))</f>
        <v>0</v>
      </c>
      <c r="Z70" s="42">
        <f t="shared" si="32"/>
        <v>0</v>
      </c>
      <c r="AA70" s="38">
        <f>IF($A70&gt;LastT,0,N70-V70-Q70/(1+Policy_Sched!$K70)+Z71/(1+Policy_Sched!$K70))</f>
        <v>0</v>
      </c>
    </row>
    <row r="71" spans="1:27" x14ac:dyDescent="0.2">
      <c r="A71" s="30">
        <f t="shared" si="33"/>
        <v>64</v>
      </c>
      <c r="B71" s="31">
        <f t="shared" si="34"/>
        <v>0</v>
      </c>
      <c r="C71" s="31">
        <f>IF($A71&gt;LastT,0,IF(AND($D$3&lt;&gt;0,$A71&gt;=T0,Policy_Sched!$B71&lt;LastAge),1+$D$3*$E$3,1))</f>
        <v>0</v>
      </c>
      <c r="D71" s="36">
        <f>IF($A71&gt;LastT,0,IF($C$3="up",MIN(Policy_Sched!$E71*(1+IF($A71&gt;=T0,$E$3,0)),$F$3),IF($C$3="down",MAX(Policy_Sched!$E71*(1-IF($A71&gt;=T0,$E$3,0)),Policy_Sched!$E71-$F$3),Policy_Sched!$E71)))</f>
        <v>0</v>
      </c>
      <c r="E71" s="37">
        <f t="shared" si="35"/>
        <v>0</v>
      </c>
      <c r="F71" s="37">
        <f t="shared" ref="F71:F102" si="36">IF($A71&gt;LastT,0,IF($A71=PolicyTerm,E71,0))</f>
        <v>0</v>
      </c>
      <c r="G71" s="37">
        <f t="shared" ref="G71:G102" si="37">IF($A71&gt;LastT,0,E71-F71)</f>
        <v>0</v>
      </c>
      <c r="H71" s="37">
        <f t="shared" ref="H71:H102" si="38">IF($A71=0,PolicyCount,0)</f>
        <v>0</v>
      </c>
      <c r="I71" s="37">
        <f t="shared" ref="I71:I102" si="39">IF($A71&gt;LastT,0,IF(AND($C$3="mass",$A71=T0),(G71+H71)*$E$3,0))</f>
        <v>0</v>
      </c>
      <c r="J71" s="37">
        <f t="shared" ref="J71:J102" si="40">IF($A71&gt;LastT,0,G71+H71-I71)</f>
        <v>0</v>
      </c>
      <c r="K71" s="37">
        <f>IF($A71&gt;LastT,0,J71*Policy_Sched!$C71*Policy_Sched!$D71*C71)</f>
        <v>0</v>
      </c>
      <c r="L71" s="41">
        <f t="shared" ref="L71:L102" si="41">J71*D71</f>
        <v>0</v>
      </c>
      <c r="M71" s="38">
        <f t="shared" ref="M71:M102" si="42">IF($A71&gt;LastT,0,(SizeAnnPrem*ExpsMaintAnnPrem+(SumAssured*ExpsMaintSA+ExpsMaintPol)*B71)*(1+IF($B$3="exps",$E$3,0)))</f>
        <v>0</v>
      </c>
      <c r="N71" s="38">
        <f t="shared" ref="N71:N102" si="43">SizePremium*J71</f>
        <v>0</v>
      </c>
      <c r="O71" s="38">
        <f t="shared" ref="O71:O102" si="44">SumAssured*K71</f>
        <v>0</v>
      </c>
      <c r="P71" s="38">
        <f>Policy_Sched!$I71*(L71+I71)</f>
        <v>0</v>
      </c>
      <c r="Q71" s="42">
        <f t="shared" ref="Q71:Q102" si="45">O71+P71</f>
        <v>0</v>
      </c>
      <c r="R71" s="38">
        <f t="shared" ref="R71:R102" si="46">IF($A71=0,SizeExpsAcq0*H71,0)</f>
        <v>0</v>
      </c>
      <c r="S71" s="38">
        <f t="shared" ref="S71:S102" si="47">IF($A71=0,SizeExpsCommInit0*J71,0)</f>
        <v>0</v>
      </c>
      <c r="T71" s="38">
        <f>Policy_Sched!$J71*J71</f>
        <v>0</v>
      </c>
      <c r="U71" s="42">
        <f t="shared" ref="U71:U102" si="48">M71*J71</f>
        <v>0</v>
      </c>
      <c r="V71" s="42">
        <f t="shared" ref="V71:V102" si="49">S71+T71+R71+U71</f>
        <v>0</v>
      </c>
      <c r="W71" s="38">
        <f>IF($A71&gt;LastT,0,N71+W72/(1+Policy_Sched!$K71))</f>
        <v>0</v>
      </c>
      <c r="X71" s="38">
        <f>IF($A71&gt;LastT,0,(-Q71+X72)/(1+Policy_Sched!$K71))</f>
        <v>0</v>
      </c>
      <c r="Y71" s="38">
        <f>IF($A71&gt;LastT,0,-V71+Y72/(1+Policy_Sched!$K71))</f>
        <v>0</v>
      </c>
      <c r="Z71" s="42">
        <f t="shared" ref="Z71:Z102" si="50">W71+Y71+X71</f>
        <v>0</v>
      </c>
      <c r="AA71" s="38">
        <f>IF($A71&gt;LastT,0,N71-V71-Q71/(1+Policy_Sched!$K71)+Z72/(1+Policy_Sched!$K71))</f>
        <v>0</v>
      </c>
    </row>
    <row r="72" spans="1:27" x14ac:dyDescent="0.2">
      <c r="A72" s="30">
        <f t="shared" ref="A72:A103" si="51">A71+1</f>
        <v>65</v>
      </c>
      <c r="B72" s="31">
        <f t="shared" ref="B72:B103" si="52">IF($A72&gt;LastT,0,IF($B$3="exps",B71*(1+InflRate+IF($A72&gt;=T0,$G$3,0)),B71/(1+InflRate)))</f>
        <v>0</v>
      </c>
      <c r="C72" s="31">
        <f>IF($A72&gt;LastT,0,IF(AND($D$3&lt;&gt;0,$A72&gt;=T0,Policy_Sched!$B72&lt;LastAge),1+$D$3*$E$3,1))</f>
        <v>0</v>
      </c>
      <c r="D72" s="36">
        <f>IF($A72&gt;LastT,0,IF($C$3="up",MIN(Policy_Sched!$E72*(1+IF($A72&gt;=T0,$E$3,0)),$F$3),IF($C$3="down",MAX(Policy_Sched!$E72*(1-IF($A72&gt;=T0,$E$3,0)),Policy_Sched!$E72-$F$3),Policy_Sched!$E72)))</f>
        <v>0</v>
      </c>
      <c r="E72" s="37">
        <f t="shared" ref="E72:E103" si="53">IF($A72&gt;LastT,0,J71-K71-L71)</f>
        <v>0</v>
      </c>
      <c r="F72" s="37">
        <f t="shared" si="36"/>
        <v>0</v>
      </c>
      <c r="G72" s="37">
        <f t="shared" si="37"/>
        <v>0</v>
      </c>
      <c r="H72" s="37">
        <f t="shared" si="38"/>
        <v>0</v>
      </c>
      <c r="I72" s="37">
        <f t="shared" si="39"/>
        <v>0</v>
      </c>
      <c r="J72" s="37">
        <f t="shared" si="40"/>
        <v>0</v>
      </c>
      <c r="K72" s="37">
        <f>IF($A72&gt;LastT,0,J72*Policy_Sched!$C72*Policy_Sched!$D72*C72)</f>
        <v>0</v>
      </c>
      <c r="L72" s="41">
        <f t="shared" si="41"/>
        <v>0</v>
      </c>
      <c r="M72" s="38">
        <f t="shared" si="42"/>
        <v>0</v>
      </c>
      <c r="N72" s="38">
        <f t="shared" si="43"/>
        <v>0</v>
      </c>
      <c r="O72" s="38">
        <f t="shared" si="44"/>
        <v>0</v>
      </c>
      <c r="P72" s="38">
        <f>Policy_Sched!$I72*(L72+I72)</f>
        <v>0</v>
      </c>
      <c r="Q72" s="42">
        <f t="shared" si="45"/>
        <v>0</v>
      </c>
      <c r="R72" s="38">
        <f t="shared" si="46"/>
        <v>0</v>
      </c>
      <c r="S72" s="38">
        <f t="shared" si="47"/>
        <v>0</v>
      </c>
      <c r="T72" s="38">
        <f>Policy_Sched!$J72*J72</f>
        <v>0</v>
      </c>
      <c r="U72" s="42">
        <f t="shared" si="48"/>
        <v>0</v>
      </c>
      <c r="V72" s="42">
        <f t="shared" si="49"/>
        <v>0</v>
      </c>
      <c r="W72" s="38">
        <f>IF($A72&gt;LastT,0,N72+W73/(1+Policy_Sched!$K72))</f>
        <v>0</v>
      </c>
      <c r="X72" s="38">
        <f>IF($A72&gt;LastT,0,(-Q72+X73)/(1+Policy_Sched!$K72))</f>
        <v>0</v>
      </c>
      <c r="Y72" s="38">
        <f>IF($A72&gt;LastT,0,-V72+Y73/(1+Policy_Sched!$K72))</f>
        <v>0</v>
      </c>
      <c r="Z72" s="42">
        <f t="shared" si="50"/>
        <v>0</v>
      </c>
      <c r="AA72" s="38">
        <f>IF($A72&gt;LastT,0,N72-V72-Q72/(1+Policy_Sched!$K72)+Z73/(1+Policy_Sched!$K72))</f>
        <v>0</v>
      </c>
    </row>
    <row r="73" spans="1:27" x14ac:dyDescent="0.2">
      <c r="A73" s="30">
        <f t="shared" si="51"/>
        <v>66</v>
      </c>
      <c r="B73" s="31">
        <f t="shared" si="52"/>
        <v>0</v>
      </c>
      <c r="C73" s="31">
        <f>IF($A73&gt;LastT,0,IF(AND($D$3&lt;&gt;0,$A73&gt;=T0,Policy_Sched!$B73&lt;LastAge),1+$D$3*$E$3,1))</f>
        <v>0</v>
      </c>
      <c r="D73" s="36">
        <f>IF($A73&gt;LastT,0,IF($C$3="up",MIN(Policy_Sched!$E73*(1+IF($A73&gt;=T0,$E$3,0)),$F$3),IF($C$3="down",MAX(Policy_Sched!$E73*(1-IF($A73&gt;=T0,$E$3,0)),Policy_Sched!$E73-$F$3),Policy_Sched!$E73)))</f>
        <v>0</v>
      </c>
      <c r="E73" s="37">
        <f t="shared" si="53"/>
        <v>0</v>
      </c>
      <c r="F73" s="37">
        <f t="shared" si="36"/>
        <v>0</v>
      </c>
      <c r="G73" s="37">
        <f t="shared" si="37"/>
        <v>0</v>
      </c>
      <c r="H73" s="37">
        <f t="shared" si="38"/>
        <v>0</v>
      </c>
      <c r="I73" s="37">
        <f t="shared" si="39"/>
        <v>0</v>
      </c>
      <c r="J73" s="37">
        <f t="shared" si="40"/>
        <v>0</v>
      </c>
      <c r="K73" s="37">
        <f>IF($A73&gt;LastT,0,J73*Policy_Sched!$C73*Policy_Sched!$D73*C73)</f>
        <v>0</v>
      </c>
      <c r="L73" s="41">
        <f t="shared" si="41"/>
        <v>0</v>
      </c>
      <c r="M73" s="38">
        <f t="shared" si="42"/>
        <v>0</v>
      </c>
      <c r="N73" s="38">
        <f t="shared" si="43"/>
        <v>0</v>
      </c>
      <c r="O73" s="38">
        <f t="shared" si="44"/>
        <v>0</v>
      </c>
      <c r="P73" s="38">
        <f>Policy_Sched!$I73*(L73+I73)</f>
        <v>0</v>
      </c>
      <c r="Q73" s="42">
        <f t="shared" si="45"/>
        <v>0</v>
      </c>
      <c r="R73" s="38">
        <f t="shared" si="46"/>
        <v>0</v>
      </c>
      <c r="S73" s="38">
        <f t="shared" si="47"/>
        <v>0</v>
      </c>
      <c r="T73" s="38">
        <f>Policy_Sched!$J73*J73</f>
        <v>0</v>
      </c>
      <c r="U73" s="42">
        <f t="shared" si="48"/>
        <v>0</v>
      </c>
      <c r="V73" s="42">
        <f t="shared" si="49"/>
        <v>0</v>
      </c>
      <c r="W73" s="38">
        <f>IF($A73&gt;LastT,0,N73+W74/(1+Policy_Sched!$K73))</f>
        <v>0</v>
      </c>
      <c r="X73" s="38">
        <f>IF($A73&gt;LastT,0,(-Q73+X74)/(1+Policy_Sched!$K73))</f>
        <v>0</v>
      </c>
      <c r="Y73" s="38">
        <f>IF($A73&gt;LastT,0,-V73+Y74/(1+Policy_Sched!$K73))</f>
        <v>0</v>
      </c>
      <c r="Z73" s="42">
        <f t="shared" si="50"/>
        <v>0</v>
      </c>
      <c r="AA73" s="38">
        <f>IF($A73&gt;LastT,0,N73-V73-Q73/(1+Policy_Sched!$K73)+Z74/(1+Policy_Sched!$K73))</f>
        <v>0</v>
      </c>
    </row>
    <row r="74" spans="1:27" x14ac:dyDescent="0.2">
      <c r="A74" s="30">
        <f t="shared" si="51"/>
        <v>67</v>
      </c>
      <c r="B74" s="31">
        <f t="shared" si="52"/>
        <v>0</v>
      </c>
      <c r="C74" s="31">
        <f>IF($A74&gt;LastT,0,IF(AND($D$3&lt;&gt;0,$A74&gt;=T0,Policy_Sched!$B74&lt;LastAge),1+$D$3*$E$3,1))</f>
        <v>0</v>
      </c>
      <c r="D74" s="36">
        <f>IF($A74&gt;LastT,0,IF($C$3="up",MIN(Policy_Sched!$E74*(1+IF($A74&gt;=T0,$E$3,0)),$F$3),IF($C$3="down",MAX(Policy_Sched!$E74*(1-IF($A74&gt;=T0,$E$3,0)),Policy_Sched!$E74-$F$3),Policy_Sched!$E74)))</f>
        <v>0</v>
      </c>
      <c r="E74" s="37">
        <f t="shared" si="53"/>
        <v>0</v>
      </c>
      <c r="F74" s="37">
        <f t="shared" si="36"/>
        <v>0</v>
      </c>
      <c r="G74" s="37">
        <f t="shared" si="37"/>
        <v>0</v>
      </c>
      <c r="H74" s="37">
        <f t="shared" si="38"/>
        <v>0</v>
      </c>
      <c r="I74" s="37">
        <f t="shared" si="39"/>
        <v>0</v>
      </c>
      <c r="J74" s="37">
        <f t="shared" si="40"/>
        <v>0</v>
      </c>
      <c r="K74" s="37">
        <f>IF($A74&gt;LastT,0,J74*Policy_Sched!$C74*Policy_Sched!$D74*C74)</f>
        <v>0</v>
      </c>
      <c r="L74" s="41">
        <f t="shared" si="41"/>
        <v>0</v>
      </c>
      <c r="M74" s="38">
        <f t="shared" si="42"/>
        <v>0</v>
      </c>
      <c r="N74" s="38">
        <f t="shared" si="43"/>
        <v>0</v>
      </c>
      <c r="O74" s="38">
        <f t="shared" si="44"/>
        <v>0</v>
      </c>
      <c r="P74" s="38">
        <f>Policy_Sched!$I74*(L74+I74)</f>
        <v>0</v>
      </c>
      <c r="Q74" s="42">
        <f t="shared" si="45"/>
        <v>0</v>
      </c>
      <c r="R74" s="38">
        <f t="shared" si="46"/>
        <v>0</v>
      </c>
      <c r="S74" s="38">
        <f t="shared" si="47"/>
        <v>0</v>
      </c>
      <c r="T74" s="38">
        <f>Policy_Sched!$J74*J74</f>
        <v>0</v>
      </c>
      <c r="U74" s="42">
        <f t="shared" si="48"/>
        <v>0</v>
      </c>
      <c r="V74" s="42">
        <f t="shared" si="49"/>
        <v>0</v>
      </c>
      <c r="W74" s="38">
        <f>IF($A74&gt;LastT,0,N74+W75/(1+Policy_Sched!$K74))</f>
        <v>0</v>
      </c>
      <c r="X74" s="38">
        <f>IF($A74&gt;LastT,0,(-Q74+X75)/(1+Policy_Sched!$K74))</f>
        <v>0</v>
      </c>
      <c r="Y74" s="38">
        <f>IF($A74&gt;LastT,0,-V74+Y75/(1+Policy_Sched!$K74))</f>
        <v>0</v>
      </c>
      <c r="Z74" s="42">
        <f t="shared" si="50"/>
        <v>0</v>
      </c>
      <c r="AA74" s="38">
        <f>IF($A74&gt;LastT,0,N74-V74-Q74/(1+Policy_Sched!$K74)+Z75/(1+Policy_Sched!$K74))</f>
        <v>0</v>
      </c>
    </row>
    <row r="75" spans="1:27" x14ac:dyDescent="0.2">
      <c r="A75" s="30">
        <f t="shared" si="51"/>
        <v>68</v>
      </c>
      <c r="B75" s="31">
        <f t="shared" si="52"/>
        <v>0</v>
      </c>
      <c r="C75" s="31">
        <f>IF($A75&gt;LastT,0,IF(AND($D$3&lt;&gt;0,$A75&gt;=T0,Policy_Sched!$B75&lt;LastAge),1+$D$3*$E$3,1))</f>
        <v>0</v>
      </c>
      <c r="D75" s="36">
        <f>IF($A75&gt;LastT,0,IF($C$3="up",MIN(Policy_Sched!$E75*(1+IF($A75&gt;=T0,$E$3,0)),$F$3),IF($C$3="down",MAX(Policy_Sched!$E75*(1-IF($A75&gt;=T0,$E$3,0)),Policy_Sched!$E75-$F$3),Policy_Sched!$E75)))</f>
        <v>0</v>
      </c>
      <c r="E75" s="37">
        <f t="shared" si="53"/>
        <v>0</v>
      </c>
      <c r="F75" s="37">
        <f t="shared" si="36"/>
        <v>0</v>
      </c>
      <c r="G75" s="37">
        <f t="shared" si="37"/>
        <v>0</v>
      </c>
      <c r="H75" s="37">
        <f t="shared" si="38"/>
        <v>0</v>
      </c>
      <c r="I75" s="37">
        <f t="shared" si="39"/>
        <v>0</v>
      </c>
      <c r="J75" s="37">
        <f t="shared" si="40"/>
        <v>0</v>
      </c>
      <c r="K75" s="37">
        <f>IF($A75&gt;LastT,0,J75*Policy_Sched!$C75*Policy_Sched!$D75*C75)</f>
        <v>0</v>
      </c>
      <c r="L75" s="41">
        <f t="shared" si="41"/>
        <v>0</v>
      </c>
      <c r="M75" s="38">
        <f t="shared" si="42"/>
        <v>0</v>
      </c>
      <c r="N75" s="38">
        <f t="shared" si="43"/>
        <v>0</v>
      </c>
      <c r="O75" s="38">
        <f t="shared" si="44"/>
        <v>0</v>
      </c>
      <c r="P75" s="38">
        <f>Policy_Sched!$I75*(L75+I75)</f>
        <v>0</v>
      </c>
      <c r="Q75" s="42">
        <f t="shared" si="45"/>
        <v>0</v>
      </c>
      <c r="R75" s="38">
        <f t="shared" si="46"/>
        <v>0</v>
      </c>
      <c r="S75" s="38">
        <f t="shared" si="47"/>
        <v>0</v>
      </c>
      <c r="T75" s="38">
        <f>Policy_Sched!$J75*J75</f>
        <v>0</v>
      </c>
      <c r="U75" s="42">
        <f t="shared" si="48"/>
        <v>0</v>
      </c>
      <c r="V75" s="42">
        <f t="shared" si="49"/>
        <v>0</v>
      </c>
      <c r="W75" s="38">
        <f>IF($A75&gt;LastT,0,N75+W76/(1+Policy_Sched!$K75))</f>
        <v>0</v>
      </c>
      <c r="X75" s="38">
        <f>IF($A75&gt;LastT,0,(-Q75+X76)/(1+Policy_Sched!$K75))</f>
        <v>0</v>
      </c>
      <c r="Y75" s="38">
        <f>IF($A75&gt;LastT,0,-V75+Y76/(1+Policy_Sched!$K75))</f>
        <v>0</v>
      </c>
      <c r="Z75" s="42">
        <f t="shared" si="50"/>
        <v>0</v>
      </c>
      <c r="AA75" s="38">
        <f>IF($A75&gt;LastT,0,N75-V75-Q75/(1+Policy_Sched!$K75)+Z76/(1+Policy_Sched!$K75))</f>
        <v>0</v>
      </c>
    </row>
    <row r="76" spans="1:27" x14ac:dyDescent="0.2">
      <c r="A76" s="30">
        <f t="shared" si="51"/>
        <v>69</v>
      </c>
      <c r="B76" s="31">
        <f t="shared" si="52"/>
        <v>0</v>
      </c>
      <c r="C76" s="31">
        <f>IF($A76&gt;LastT,0,IF(AND($D$3&lt;&gt;0,$A76&gt;=T0,Policy_Sched!$B76&lt;LastAge),1+$D$3*$E$3,1))</f>
        <v>0</v>
      </c>
      <c r="D76" s="36">
        <f>IF($A76&gt;LastT,0,IF($C$3="up",MIN(Policy_Sched!$E76*(1+IF($A76&gt;=T0,$E$3,0)),$F$3),IF($C$3="down",MAX(Policy_Sched!$E76*(1-IF($A76&gt;=T0,$E$3,0)),Policy_Sched!$E76-$F$3),Policy_Sched!$E76)))</f>
        <v>0</v>
      </c>
      <c r="E76" s="37">
        <f t="shared" si="53"/>
        <v>0</v>
      </c>
      <c r="F76" s="37">
        <f t="shared" si="36"/>
        <v>0</v>
      </c>
      <c r="G76" s="37">
        <f t="shared" si="37"/>
        <v>0</v>
      </c>
      <c r="H76" s="37">
        <f t="shared" si="38"/>
        <v>0</v>
      </c>
      <c r="I76" s="37">
        <f t="shared" si="39"/>
        <v>0</v>
      </c>
      <c r="J76" s="37">
        <f t="shared" si="40"/>
        <v>0</v>
      </c>
      <c r="K76" s="37">
        <f>IF($A76&gt;LastT,0,J76*Policy_Sched!$C76*Policy_Sched!$D76*C76)</f>
        <v>0</v>
      </c>
      <c r="L76" s="41">
        <f t="shared" si="41"/>
        <v>0</v>
      </c>
      <c r="M76" s="38">
        <f t="shared" si="42"/>
        <v>0</v>
      </c>
      <c r="N76" s="38">
        <f t="shared" si="43"/>
        <v>0</v>
      </c>
      <c r="O76" s="38">
        <f t="shared" si="44"/>
        <v>0</v>
      </c>
      <c r="P76" s="38">
        <f>Policy_Sched!$I76*(L76+I76)</f>
        <v>0</v>
      </c>
      <c r="Q76" s="42">
        <f t="shared" si="45"/>
        <v>0</v>
      </c>
      <c r="R76" s="38">
        <f t="shared" si="46"/>
        <v>0</v>
      </c>
      <c r="S76" s="38">
        <f t="shared" si="47"/>
        <v>0</v>
      </c>
      <c r="T76" s="38">
        <f>Policy_Sched!$J76*J76</f>
        <v>0</v>
      </c>
      <c r="U76" s="42">
        <f t="shared" si="48"/>
        <v>0</v>
      </c>
      <c r="V76" s="42">
        <f t="shared" si="49"/>
        <v>0</v>
      </c>
      <c r="W76" s="38">
        <f>IF($A76&gt;LastT,0,N76+W77/(1+Policy_Sched!$K76))</f>
        <v>0</v>
      </c>
      <c r="X76" s="38">
        <f>IF($A76&gt;LastT,0,(-Q76+X77)/(1+Policy_Sched!$K76))</f>
        <v>0</v>
      </c>
      <c r="Y76" s="38">
        <f>IF($A76&gt;LastT,0,-V76+Y77/(1+Policy_Sched!$K76))</f>
        <v>0</v>
      </c>
      <c r="Z76" s="42">
        <f t="shared" si="50"/>
        <v>0</v>
      </c>
      <c r="AA76" s="38">
        <f>IF($A76&gt;LastT,0,N76-V76-Q76/(1+Policy_Sched!$K76)+Z77/(1+Policy_Sched!$K76))</f>
        <v>0</v>
      </c>
    </row>
    <row r="77" spans="1:27" x14ac:dyDescent="0.2">
      <c r="A77" s="30">
        <f t="shared" si="51"/>
        <v>70</v>
      </c>
      <c r="B77" s="31">
        <f t="shared" si="52"/>
        <v>0</v>
      </c>
      <c r="C77" s="31">
        <f>IF($A77&gt;LastT,0,IF(AND($D$3&lt;&gt;0,$A77&gt;=T0,Policy_Sched!$B77&lt;LastAge),1+$D$3*$E$3,1))</f>
        <v>0</v>
      </c>
      <c r="D77" s="36">
        <f>IF($A77&gt;LastT,0,IF($C$3="up",MIN(Policy_Sched!$E77*(1+IF($A77&gt;=T0,$E$3,0)),$F$3),IF($C$3="down",MAX(Policy_Sched!$E77*(1-IF($A77&gt;=T0,$E$3,0)),Policy_Sched!$E77-$F$3),Policy_Sched!$E77)))</f>
        <v>0</v>
      </c>
      <c r="E77" s="37">
        <f t="shared" si="53"/>
        <v>0</v>
      </c>
      <c r="F77" s="37">
        <f t="shared" si="36"/>
        <v>0</v>
      </c>
      <c r="G77" s="37">
        <f t="shared" si="37"/>
        <v>0</v>
      </c>
      <c r="H77" s="37">
        <f t="shared" si="38"/>
        <v>0</v>
      </c>
      <c r="I77" s="37">
        <f t="shared" si="39"/>
        <v>0</v>
      </c>
      <c r="J77" s="37">
        <f t="shared" si="40"/>
        <v>0</v>
      </c>
      <c r="K77" s="37">
        <f>IF($A77&gt;LastT,0,J77*Policy_Sched!$C77*Policy_Sched!$D77*C77)</f>
        <v>0</v>
      </c>
      <c r="L77" s="41">
        <f t="shared" si="41"/>
        <v>0</v>
      </c>
      <c r="M77" s="38">
        <f t="shared" si="42"/>
        <v>0</v>
      </c>
      <c r="N77" s="38">
        <f t="shared" si="43"/>
        <v>0</v>
      </c>
      <c r="O77" s="38">
        <f t="shared" si="44"/>
        <v>0</v>
      </c>
      <c r="P77" s="38">
        <f>Policy_Sched!$I77*(L77+I77)</f>
        <v>0</v>
      </c>
      <c r="Q77" s="42">
        <f t="shared" si="45"/>
        <v>0</v>
      </c>
      <c r="R77" s="38">
        <f t="shared" si="46"/>
        <v>0</v>
      </c>
      <c r="S77" s="38">
        <f t="shared" si="47"/>
        <v>0</v>
      </c>
      <c r="T77" s="38">
        <f>Policy_Sched!$J77*J77</f>
        <v>0</v>
      </c>
      <c r="U77" s="42">
        <f t="shared" si="48"/>
        <v>0</v>
      </c>
      <c r="V77" s="42">
        <f t="shared" si="49"/>
        <v>0</v>
      </c>
      <c r="W77" s="38">
        <f>IF($A77&gt;LastT,0,N77+W78/(1+Policy_Sched!$K77))</f>
        <v>0</v>
      </c>
      <c r="X77" s="38">
        <f>IF($A77&gt;LastT,0,(-Q77+X78)/(1+Policy_Sched!$K77))</f>
        <v>0</v>
      </c>
      <c r="Y77" s="38">
        <f>IF($A77&gt;LastT,0,-V77+Y78/(1+Policy_Sched!$K77))</f>
        <v>0</v>
      </c>
      <c r="Z77" s="42">
        <f t="shared" si="50"/>
        <v>0</v>
      </c>
      <c r="AA77" s="38">
        <f>IF($A77&gt;LastT,0,N77-V77-Q77/(1+Policy_Sched!$K77)+Z78/(1+Policy_Sched!$K77))</f>
        <v>0</v>
      </c>
    </row>
    <row r="78" spans="1:27" x14ac:dyDescent="0.2">
      <c r="A78" s="30">
        <f t="shared" si="51"/>
        <v>71</v>
      </c>
      <c r="B78" s="31">
        <f t="shared" si="52"/>
        <v>0</v>
      </c>
      <c r="C78" s="31">
        <f>IF($A78&gt;LastT,0,IF(AND($D$3&lt;&gt;0,$A78&gt;=T0,Policy_Sched!$B78&lt;LastAge),1+$D$3*$E$3,1))</f>
        <v>0</v>
      </c>
      <c r="D78" s="36">
        <f>IF($A78&gt;LastT,0,IF($C$3="up",MIN(Policy_Sched!$E78*(1+IF($A78&gt;=T0,$E$3,0)),$F$3),IF($C$3="down",MAX(Policy_Sched!$E78*(1-IF($A78&gt;=T0,$E$3,0)),Policy_Sched!$E78-$F$3),Policy_Sched!$E78)))</f>
        <v>0</v>
      </c>
      <c r="E78" s="37">
        <f t="shared" si="53"/>
        <v>0</v>
      </c>
      <c r="F78" s="37">
        <f t="shared" si="36"/>
        <v>0</v>
      </c>
      <c r="G78" s="37">
        <f t="shared" si="37"/>
        <v>0</v>
      </c>
      <c r="H78" s="37">
        <f t="shared" si="38"/>
        <v>0</v>
      </c>
      <c r="I78" s="37">
        <f t="shared" si="39"/>
        <v>0</v>
      </c>
      <c r="J78" s="37">
        <f t="shared" si="40"/>
        <v>0</v>
      </c>
      <c r="K78" s="37">
        <f>IF($A78&gt;LastT,0,J78*Policy_Sched!$C78*Policy_Sched!$D78*C78)</f>
        <v>0</v>
      </c>
      <c r="L78" s="41">
        <f t="shared" si="41"/>
        <v>0</v>
      </c>
      <c r="M78" s="38">
        <f t="shared" si="42"/>
        <v>0</v>
      </c>
      <c r="N78" s="38">
        <f t="shared" si="43"/>
        <v>0</v>
      </c>
      <c r="O78" s="38">
        <f t="shared" si="44"/>
        <v>0</v>
      </c>
      <c r="P78" s="38">
        <f>Policy_Sched!$I78*(L78+I78)</f>
        <v>0</v>
      </c>
      <c r="Q78" s="42">
        <f t="shared" si="45"/>
        <v>0</v>
      </c>
      <c r="R78" s="38">
        <f t="shared" si="46"/>
        <v>0</v>
      </c>
      <c r="S78" s="38">
        <f t="shared" si="47"/>
        <v>0</v>
      </c>
      <c r="T78" s="38">
        <f>Policy_Sched!$J78*J78</f>
        <v>0</v>
      </c>
      <c r="U78" s="42">
        <f t="shared" si="48"/>
        <v>0</v>
      </c>
      <c r="V78" s="42">
        <f t="shared" si="49"/>
        <v>0</v>
      </c>
      <c r="W78" s="38">
        <f>IF($A78&gt;LastT,0,N78+W79/(1+Policy_Sched!$K78))</f>
        <v>0</v>
      </c>
      <c r="X78" s="38">
        <f>IF($A78&gt;LastT,0,(-Q78+X79)/(1+Policy_Sched!$K78))</f>
        <v>0</v>
      </c>
      <c r="Y78" s="38">
        <f>IF($A78&gt;LastT,0,-V78+Y79/(1+Policy_Sched!$K78))</f>
        <v>0</v>
      </c>
      <c r="Z78" s="42">
        <f t="shared" si="50"/>
        <v>0</v>
      </c>
      <c r="AA78" s="38">
        <f>IF($A78&gt;LastT,0,N78-V78-Q78/(1+Policy_Sched!$K78)+Z79/(1+Policy_Sched!$K78))</f>
        <v>0</v>
      </c>
    </row>
    <row r="79" spans="1:27" x14ac:dyDescent="0.2">
      <c r="A79" s="30">
        <f t="shared" si="51"/>
        <v>72</v>
      </c>
      <c r="B79" s="31">
        <f t="shared" si="52"/>
        <v>0</v>
      </c>
      <c r="C79" s="31">
        <f>IF($A79&gt;LastT,0,IF(AND($D$3&lt;&gt;0,$A79&gt;=T0,Policy_Sched!$B79&lt;LastAge),1+$D$3*$E$3,1))</f>
        <v>0</v>
      </c>
      <c r="D79" s="36">
        <f>IF($A79&gt;LastT,0,IF($C$3="up",MIN(Policy_Sched!$E79*(1+IF($A79&gt;=T0,$E$3,0)),$F$3),IF($C$3="down",MAX(Policy_Sched!$E79*(1-IF($A79&gt;=T0,$E$3,0)),Policy_Sched!$E79-$F$3),Policy_Sched!$E79)))</f>
        <v>0</v>
      </c>
      <c r="E79" s="37">
        <f t="shared" si="53"/>
        <v>0</v>
      </c>
      <c r="F79" s="37">
        <f t="shared" si="36"/>
        <v>0</v>
      </c>
      <c r="G79" s="37">
        <f t="shared" si="37"/>
        <v>0</v>
      </c>
      <c r="H79" s="37">
        <f t="shared" si="38"/>
        <v>0</v>
      </c>
      <c r="I79" s="37">
        <f t="shared" si="39"/>
        <v>0</v>
      </c>
      <c r="J79" s="37">
        <f t="shared" si="40"/>
        <v>0</v>
      </c>
      <c r="K79" s="37">
        <f>IF($A79&gt;LastT,0,J79*Policy_Sched!$C79*Policy_Sched!$D79*C79)</f>
        <v>0</v>
      </c>
      <c r="L79" s="41">
        <f t="shared" si="41"/>
        <v>0</v>
      </c>
      <c r="M79" s="38">
        <f t="shared" si="42"/>
        <v>0</v>
      </c>
      <c r="N79" s="38">
        <f t="shared" si="43"/>
        <v>0</v>
      </c>
      <c r="O79" s="38">
        <f t="shared" si="44"/>
        <v>0</v>
      </c>
      <c r="P79" s="38">
        <f>Policy_Sched!$I79*(L79+I79)</f>
        <v>0</v>
      </c>
      <c r="Q79" s="42">
        <f t="shared" si="45"/>
        <v>0</v>
      </c>
      <c r="R79" s="38">
        <f t="shared" si="46"/>
        <v>0</v>
      </c>
      <c r="S79" s="38">
        <f t="shared" si="47"/>
        <v>0</v>
      </c>
      <c r="T79" s="38">
        <f>Policy_Sched!$J79*J79</f>
        <v>0</v>
      </c>
      <c r="U79" s="42">
        <f t="shared" si="48"/>
        <v>0</v>
      </c>
      <c r="V79" s="42">
        <f t="shared" si="49"/>
        <v>0</v>
      </c>
      <c r="W79" s="38">
        <f>IF($A79&gt;LastT,0,N79+W80/(1+Policy_Sched!$K79))</f>
        <v>0</v>
      </c>
      <c r="X79" s="38">
        <f>IF($A79&gt;LastT,0,(-Q79+X80)/(1+Policy_Sched!$K79))</f>
        <v>0</v>
      </c>
      <c r="Y79" s="38">
        <f>IF($A79&gt;LastT,0,-V79+Y80/(1+Policy_Sched!$K79))</f>
        <v>0</v>
      </c>
      <c r="Z79" s="42">
        <f t="shared" si="50"/>
        <v>0</v>
      </c>
      <c r="AA79" s="38">
        <f>IF($A79&gt;LastT,0,N79-V79-Q79/(1+Policy_Sched!$K79)+Z80/(1+Policy_Sched!$K79))</f>
        <v>0</v>
      </c>
    </row>
    <row r="80" spans="1:27" x14ac:dyDescent="0.2">
      <c r="A80" s="30">
        <f t="shared" si="51"/>
        <v>73</v>
      </c>
      <c r="B80" s="31">
        <f t="shared" si="52"/>
        <v>0</v>
      </c>
      <c r="C80" s="31">
        <f>IF($A80&gt;LastT,0,IF(AND($D$3&lt;&gt;0,$A80&gt;=T0,Policy_Sched!$B80&lt;LastAge),1+$D$3*$E$3,1))</f>
        <v>0</v>
      </c>
      <c r="D80" s="36">
        <f>IF($A80&gt;LastT,0,IF($C$3="up",MIN(Policy_Sched!$E80*(1+IF($A80&gt;=T0,$E$3,0)),$F$3),IF($C$3="down",MAX(Policy_Sched!$E80*(1-IF($A80&gt;=T0,$E$3,0)),Policy_Sched!$E80-$F$3),Policy_Sched!$E80)))</f>
        <v>0</v>
      </c>
      <c r="E80" s="37">
        <f t="shared" si="53"/>
        <v>0</v>
      </c>
      <c r="F80" s="37">
        <f t="shared" si="36"/>
        <v>0</v>
      </c>
      <c r="G80" s="37">
        <f t="shared" si="37"/>
        <v>0</v>
      </c>
      <c r="H80" s="37">
        <f t="shared" si="38"/>
        <v>0</v>
      </c>
      <c r="I80" s="37">
        <f t="shared" si="39"/>
        <v>0</v>
      </c>
      <c r="J80" s="37">
        <f t="shared" si="40"/>
        <v>0</v>
      </c>
      <c r="K80" s="37">
        <f>IF($A80&gt;LastT,0,J80*Policy_Sched!$C80*Policy_Sched!$D80*C80)</f>
        <v>0</v>
      </c>
      <c r="L80" s="41">
        <f t="shared" si="41"/>
        <v>0</v>
      </c>
      <c r="M80" s="38">
        <f t="shared" si="42"/>
        <v>0</v>
      </c>
      <c r="N80" s="38">
        <f t="shared" si="43"/>
        <v>0</v>
      </c>
      <c r="O80" s="38">
        <f t="shared" si="44"/>
        <v>0</v>
      </c>
      <c r="P80" s="38">
        <f>Policy_Sched!$I80*(L80+I80)</f>
        <v>0</v>
      </c>
      <c r="Q80" s="42">
        <f t="shared" si="45"/>
        <v>0</v>
      </c>
      <c r="R80" s="38">
        <f t="shared" si="46"/>
        <v>0</v>
      </c>
      <c r="S80" s="38">
        <f t="shared" si="47"/>
        <v>0</v>
      </c>
      <c r="T80" s="38">
        <f>Policy_Sched!$J80*J80</f>
        <v>0</v>
      </c>
      <c r="U80" s="42">
        <f t="shared" si="48"/>
        <v>0</v>
      </c>
      <c r="V80" s="42">
        <f t="shared" si="49"/>
        <v>0</v>
      </c>
      <c r="W80" s="38">
        <f>IF($A80&gt;LastT,0,N80+W81/(1+Policy_Sched!$K80))</f>
        <v>0</v>
      </c>
      <c r="X80" s="38">
        <f>IF($A80&gt;LastT,0,(-Q80+X81)/(1+Policy_Sched!$K80))</f>
        <v>0</v>
      </c>
      <c r="Y80" s="38">
        <f>IF($A80&gt;LastT,0,-V80+Y81/(1+Policy_Sched!$K80))</f>
        <v>0</v>
      </c>
      <c r="Z80" s="42">
        <f t="shared" si="50"/>
        <v>0</v>
      </c>
      <c r="AA80" s="38">
        <f>IF($A80&gt;LastT,0,N80-V80-Q80/(1+Policy_Sched!$K80)+Z81/(1+Policy_Sched!$K80))</f>
        <v>0</v>
      </c>
    </row>
    <row r="81" spans="1:27" x14ac:dyDescent="0.2">
      <c r="A81" s="30">
        <f t="shared" si="51"/>
        <v>74</v>
      </c>
      <c r="B81" s="31">
        <f t="shared" si="52"/>
        <v>0</v>
      </c>
      <c r="C81" s="31">
        <f>IF($A81&gt;LastT,0,IF(AND($D$3&lt;&gt;0,$A81&gt;=T0,Policy_Sched!$B81&lt;LastAge),1+$D$3*$E$3,1))</f>
        <v>0</v>
      </c>
      <c r="D81" s="36">
        <f>IF($A81&gt;LastT,0,IF($C$3="up",MIN(Policy_Sched!$E81*(1+IF($A81&gt;=T0,$E$3,0)),$F$3),IF($C$3="down",MAX(Policy_Sched!$E81*(1-IF($A81&gt;=T0,$E$3,0)),Policy_Sched!$E81-$F$3),Policy_Sched!$E81)))</f>
        <v>0</v>
      </c>
      <c r="E81" s="37">
        <f t="shared" si="53"/>
        <v>0</v>
      </c>
      <c r="F81" s="37">
        <f t="shared" si="36"/>
        <v>0</v>
      </c>
      <c r="G81" s="37">
        <f t="shared" si="37"/>
        <v>0</v>
      </c>
      <c r="H81" s="37">
        <f t="shared" si="38"/>
        <v>0</v>
      </c>
      <c r="I81" s="37">
        <f t="shared" si="39"/>
        <v>0</v>
      </c>
      <c r="J81" s="37">
        <f t="shared" si="40"/>
        <v>0</v>
      </c>
      <c r="K81" s="37">
        <f>IF($A81&gt;LastT,0,J81*Policy_Sched!$C81*Policy_Sched!$D81*C81)</f>
        <v>0</v>
      </c>
      <c r="L81" s="41">
        <f t="shared" si="41"/>
        <v>0</v>
      </c>
      <c r="M81" s="38">
        <f t="shared" si="42"/>
        <v>0</v>
      </c>
      <c r="N81" s="38">
        <f t="shared" si="43"/>
        <v>0</v>
      </c>
      <c r="O81" s="38">
        <f t="shared" si="44"/>
        <v>0</v>
      </c>
      <c r="P81" s="38">
        <f>Policy_Sched!$I81*(L81+I81)</f>
        <v>0</v>
      </c>
      <c r="Q81" s="42">
        <f t="shared" si="45"/>
        <v>0</v>
      </c>
      <c r="R81" s="38">
        <f t="shared" si="46"/>
        <v>0</v>
      </c>
      <c r="S81" s="38">
        <f t="shared" si="47"/>
        <v>0</v>
      </c>
      <c r="T81" s="38">
        <f>Policy_Sched!$J81*J81</f>
        <v>0</v>
      </c>
      <c r="U81" s="42">
        <f t="shared" si="48"/>
        <v>0</v>
      </c>
      <c r="V81" s="42">
        <f t="shared" si="49"/>
        <v>0</v>
      </c>
      <c r="W81" s="38">
        <f>IF($A81&gt;LastT,0,N81+W82/(1+Policy_Sched!$K81))</f>
        <v>0</v>
      </c>
      <c r="X81" s="38">
        <f>IF($A81&gt;LastT,0,(-Q81+X82)/(1+Policy_Sched!$K81))</f>
        <v>0</v>
      </c>
      <c r="Y81" s="38">
        <f>IF($A81&gt;LastT,0,-V81+Y82/(1+Policy_Sched!$K81))</f>
        <v>0</v>
      </c>
      <c r="Z81" s="42">
        <f t="shared" si="50"/>
        <v>0</v>
      </c>
      <c r="AA81" s="38">
        <f>IF($A81&gt;LastT,0,N81-V81-Q81/(1+Policy_Sched!$K81)+Z82/(1+Policy_Sched!$K81))</f>
        <v>0</v>
      </c>
    </row>
    <row r="82" spans="1:27" x14ac:dyDescent="0.2">
      <c r="A82" s="30">
        <f t="shared" si="51"/>
        <v>75</v>
      </c>
      <c r="B82" s="31">
        <f t="shared" si="52"/>
        <v>0</v>
      </c>
      <c r="C82" s="31">
        <f>IF($A82&gt;LastT,0,IF(AND($D$3&lt;&gt;0,$A82&gt;=T0,Policy_Sched!$B82&lt;LastAge),1+$D$3*$E$3,1))</f>
        <v>0</v>
      </c>
      <c r="D82" s="36">
        <f>IF($A82&gt;LastT,0,IF($C$3="up",MIN(Policy_Sched!$E82*(1+IF($A82&gt;=T0,$E$3,0)),$F$3),IF($C$3="down",MAX(Policy_Sched!$E82*(1-IF($A82&gt;=T0,$E$3,0)),Policy_Sched!$E82-$F$3),Policy_Sched!$E82)))</f>
        <v>0</v>
      </c>
      <c r="E82" s="37">
        <f t="shared" si="53"/>
        <v>0</v>
      </c>
      <c r="F82" s="37">
        <f t="shared" si="36"/>
        <v>0</v>
      </c>
      <c r="G82" s="37">
        <f t="shared" si="37"/>
        <v>0</v>
      </c>
      <c r="H82" s="37">
        <f t="shared" si="38"/>
        <v>0</v>
      </c>
      <c r="I82" s="37">
        <f t="shared" si="39"/>
        <v>0</v>
      </c>
      <c r="J82" s="37">
        <f t="shared" si="40"/>
        <v>0</v>
      </c>
      <c r="K82" s="37">
        <f>IF($A82&gt;LastT,0,J82*Policy_Sched!$C82*Policy_Sched!$D82*C82)</f>
        <v>0</v>
      </c>
      <c r="L82" s="41">
        <f t="shared" si="41"/>
        <v>0</v>
      </c>
      <c r="M82" s="38">
        <f t="shared" si="42"/>
        <v>0</v>
      </c>
      <c r="N82" s="38">
        <f t="shared" si="43"/>
        <v>0</v>
      </c>
      <c r="O82" s="38">
        <f t="shared" si="44"/>
        <v>0</v>
      </c>
      <c r="P82" s="38">
        <f>Policy_Sched!$I82*(L82+I82)</f>
        <v>0</v>
      </c>
      <c r="Q82" s="42">
        <f t="shared" si="45"/>
        <v>0</v>
      </c>
      <c r="R82" s="38">
        <f t="shared" si="46"/>
        <v>0</v>
      </c>
      <c r="S82" s="38">
        <f t="shared" si="47"/>
        <v>0</v>
      </c>
      <c r="T82" s="38">
        <f>Policy_Sched!$J82*J82</f>
        <v>0</v>
      </c>
      <c r="U82" s="42">
        <f t="shared" si="48"/>
        <v>0</v>
      </c>
      <c r="V82" s="42">
        <f t="shared" si="49"/>
        <v>0</v>
      </c>
      <c r="W82" s="38">
        <f>IF($A82&gt;LastT,0,N82+W83/(1+Policy_Sched!$K82))</f>
        <v>0</v>
      </c>
      <c r="X82" s="38">
        <f>IF($A82&gt;LastT,0,(-Q82+X83)/(1+Policy_Sched!$K82))</f>
        <v>0</v>
      </c>
      <c r="Y82" s="38">
        <f>IF($A82&gt;LastT,0,-V82+Y83/(1+Policy_Sched!$K82))</f>
        <v>0</v>
      </c>
      <c r="Z82" s="42">
        <f t="shared" si="50"/>
        <v>0</v>
      </c>
      <c r="AA82" s="38">
        <f>IF($A82&gt;LastT,0,N82-V82-Q82/(1+Policy_Sched!$K82)+Z83/(1+Policy_Sched!$K82))</f>
        <v>0</v>
      </c>
    </row>
    <row r="83" spans="1:27" x14ac:dyDescent="0.2">
      <c r="A83" s="30">
        <f t="shared" si="51"/>
        <v>76</v>
      </c>
      <c r="B83" s="31">
        <f t="shared" si="52"/>
        <v>0</v>
      </c>
      <c r="C83" s="31">
        <f>IF($A83&gt;LastT,0,IF(AND($D$3&lt;&gt;0,$A83&gt;=T0,Policy_Sched!$B83&lt;LastAge),1+$D$3*$E$3,1))</f>
        <v>0</v>
      </c>
      <c r="D83" s="36">
        <f>IF($A83&gt;LastT,0,IF($C$3="up",MIN(Policy_Sched!$E83*(1+IF($A83&gt;=T0,$E$3,0)),$F$3),IF($C$3="down",MAX(Policy_Sched!$E83*(1-IF($A83&gt;=T0,$E$3,0)),Policy_Sched!$E83-$F$3),Policy_Sched!$E83)))</f>
        <v>0</v>
      </c>
      <c r="E83" s="37">
        <f t="shared" si="53"/>
        <v>0</v>
      </c>
      <c r="F83" s="37">
        <f t="shared" si="36"/>
        <v>0</v>
      </c>
      <c r="G83" s="37">
        <f t="shared" si="37"/>
        <v>0</v>
      </c>
      <c r="H83" s="37">
        <f t="shared" si="38"/>
        <v>0</v>
      </c>
      <c r="I83" s="37">
        <f t="shared" si="39"/>
        <v>0</v>
      </c>
      <c r="J83" s="37">
        <f t="shared" si="40"/>
        <v>0</v>
      </c>
      <c r="K83" s="37">
        <f>IF($A83&gt;LastT,0,J83*Policy_Sched!$C83*Policy_Sched!$D83*C83)</f>
        <v>0</v>
      </c>
      <c r="L83" s="41">
        <f t="shared" si="41"/>
        <v>0</v>
      </c>
      <c r="M83" s="38">
        <f t="shared" si="42"/>
        <v>0</v>
      </c>
      <c r="N83" s="38">
        <f t="shared" si="43"/>
        <v>0</v>
      </c>
      <c r="O83" s="38">
        <f t="shared" si="44"/>
        <v>0</v>
      </c>
      <c r="P83" s="38">
        <f>Policy_Sched!$I83*(L83+I83)</f>
        <v>0</v>
      </c>
      <c r="Q83" s="42">
        <f t="shared" si="45"/>
        <v>0</v>
      </c>
      <c r="R83" s="38">
        <f t="shared" si="46"/>
        <v>0</v>
      </c>
      <c r="S83" s="38">
        <f t="shared" si="47"/>
        <v>0</v>
      </c>
      <c r="T83" s="38">
        <f>Policy_Sched!$J83*J83</f>
        <v>0</v>
      </c>
      <c r="U83" s="42">
        <f t="shared" si="48"/>
        <v>0</v>
      </c>
      <c r="V83" s="42">
        <f t="shared" si="49"/>
        <v>0</v>
      </c>
      <c r="W83" s="38">
        <f>IF($A83&gt;LastT,0,N83+W84/(1+Policy_Sched!$K83))</f>
        <v>0</v>
      </c>
      <c r="X83" s="38">
        <f>IF($A83&gt;LastT,0,(-Q83+X84)/(1+Policy_Sched!$K83))</f>
        <v>0</v>
      </c>
      <c r="Y83" s="38">
        <f>IF($A83&gt;LastT,0,-V83+Y84/(1+Policy_Sched!$K83))</f>
        <v>0</v>
      </c>
      <c r="Z83" s="42">
        <f t="shared" si="50"/>
        <v>0</v>
      </c>
      <c r="AA83" s="38">
        <f>IF($A83&gt;LastT,0,N83-V83-Q83/(1+Policy_Sched!$K83)+Z84/(1+Policy_Sched!$K83))</f>
        <v>0</v>
      </c>
    </row>
    <row r="84" spans="1:27" x14ac:dyDescent="0.2">
      <c r="A84" s="30">
        <f t="shared" si="51"/>
        <v>77</v>
      </c>
      <c r="B84" s="31">
        <f t="shared" si="52"/>
        <v>0</v>
      </c>
      <c r="C84" s="31">
        <f>IF($A84&gt;LastT,0,IF(AND($D$3&lt;&gt;0,$A84&gt;=T0,Policy_Sched!$B84&lt;LastAge),1+$D$3*$E$3,1))</f>
        <v>0</v>
      </c>
      <c r="D84" s="36">
        <f>IF($A84&gt;LastT,0,IF($C$3="up",MIN(Policy_Sched!$E84*(1+IF($A84&gt;=T0,$E$3,0)),$F$3),IF($C$3="down",MAX(Policy_Sched!$E84*(1-IF($A84&gt;=T0,$E$3,0)),Policy_Sched!$E84-$F$3),Policy_Sched!$E84)))</f>
        <v>0</v>
      </c>
      <c r="E84" s="37">
        <f t="shared" si="53"/>
        <v>0</v>
      </c>
      <c r="F84" s="37">
        <f t="shared" si="36"/>
        <v>0</v>
      </c>
      <c r="G84" s="37">
        <f t="shared" si="37"/>
        <v>0</v>
      </c>
      <c r="H84" s="37">
        <f t="shared" si="38"/>
        <v>0</v>
      </c>
      <c r="I84" s="37">
        <f t="shared" si="39"/>
        <v>0</v>
      </c>
      <c r="J84" s="37">
        <f t="shared" si="40"/>
        <v>0</v>
      </c>
      <c r="K84" s="37">
        <f>IF($A84&gt;LastT,0,J84*Policy_Sched!$C84*Policy_Sched!$D84*C84)</f>
        <v>0</v>
      </c>
      <c r="L84" s="41">
        <f t="shared" si="41"/>
        <v>0</v>
      </c>
      <c r="M84" s="38">
        <f t="shared" si="42"/>
        <v>0</v>
      </c>
      <c r="N84" s="38">
        <f t="shared" si="43"/>
        <v>0</v>
      </c>
      <c r="O84" s="38">
        <f t="shared" si="44"/>
        <v>0</v>
      </c>
      <c r="P84" s="38">
        <f>Policy_Sched!$I84*(L84+I84)</f>
        <v>0</v>
      </c>
      <c r="Q84" s="42">
        <f t="shared" si="45"/>
        <v>0</v>
      </c>
      <c r="R84" s="38">
        <f t="shared" si="46"/>
        <v>0</v>
      </c>
      <c r="S84" s="38">
        <f t="shared" si="47"/>
        <v>0</v>
      </c>
      <c r="T84" s="38">
        <f>Policy_Sched!$J84*J84</f>
        <v>0</v>
      </c>
      <c r="U84" s="42">
        <f t="shared" si="48"/>
        <v>0</v>
      </c>
      <c r="V84" s="42">
        <f t="shared" si="49"/>
        <v>0</v>
      </c>
      <c r="W84" s="38">
        <f>IF($A84&gt;LastT,0,N84+W85/(1+Policy_Sched!$K84))</f>
        <v>0</v>
      </c>
      <c r="X84" s="38">
        <f>IF($A84&gt;LastT,0,(-Q84+X85)/(1+Policy_Sched!$K84))</f>
        <v>0</v>
      </c>
      <c r="Y84" s="38">
        <f>IF($A84&gt;LastT,0,-V84+Y85/(1+Policy_Sched!$K84))</f>
        <v>0</v>
      </c>
      <c r="Z84" s="42">
        <f t="shared" si="50"/>
        <v>0</v>
      </c>
      <c r="AA84" s="38">
        <f>IF($A84&gt;LastT,0,N84-V84-Q84/(1+Policy_Sched!$K84)+Z85/(1+Policy_Sched!$K84))</f>
        <v>0</v>
      </c>
    </row>
    <row r="85" spans="1:27" x14ac:dyDescent="0.2">
      <c r="A85" s="30">
        <f t="shared" si="51"/>
        <v>78</v>
      </c>
      <c r="B85" s="31">
        <f t="shared" si="52"/>
        <v>0</v>
      </c>
      <c r="C85" s="31">
        <f>IF($A85&gt;LastT,0,IF(AND($D$3&lt;&gt;0,$A85&gt;=T0,Policy_Sched!$B85&lt;LastAge),1+$D$3*$E$3,1))</f>
        <v>0</v>
      </c>
      <c r="D85" s="36">
        <f>IF($A85&gt;LastT,0,IF($C$3="up",MIN(Policy_Sched!$E85*(1+IF($A85&gt;=T0,$E$3,0)),$F$3),IF($C$3="down",MAX(Policy_Sched!$E85*(1-IF($A85&gt;=T0,$E$3,0)),Policy_Sched!$E85-$F$3),Policy_Sched!$E85)))</f>
        <v>0</v>
      </c>
      <c r="E85" s="37">
        <f t="shared" si="53"/>
        <v>0</v>
      </c>
      <c r="F85" s="37">
        <f t="shared" si="36"/>
        <v>0</v>
      </c>
      <c r="G85" s="37">
        <f t="shared" si="37"/>
        <v>0</v>
      </c>
      <c r="H85" s="37">
        <f t="shared" si="38"/>
        <v>0</v>
      </c>
      <c r="I85" s="37">
        <f t="shared" si="39"/>
        <v>0</v>
      </c>
      <c r="J85" s="37">
        <f t="shared" si="40"/>
        <v>0</v>
      </c>
      <c r="K85" s="37">
        <f>IF($A85&gt;LastT,0,J85*Policy_Sched!$C85*Policy_Sched!$D85*C85)</f>
        <v>0</v>
      </c>
      <c r="L85" s="41">
        <f t="shared" si="41"/>
        <v>0</v>
      </c>
      <c r="M85" s="38">
        <f t="shared" si="42"/>
        <v>0</v>
      </c>
      <c r="N85" s="38">
        <f t="shared" si="43"/>
        <v>0</v>
      </c>
      <c r="O85" s="38">
        <f t="shared" si="44"/>
        <v>0</v>
      </c>
      <c r="P85" s="38">
        <f>Policy_Sched!$I85*(L85+I85)</f>
        <v>0</v>
      </c>
      <c r="Q85" s="42">
        <f t="shared" si="45"/>
        <v>0</v>
      </c>
      <c r="R85" s="38">
        <f t="shared" si="46"/>
        <v>0</v>
      </c>
      <c r="S85" s="38">
        <f t="shared" si="47"/>
        <v>0</v>
      </c>
      <c r="T85" s="38">
        <f>Policy_Sched!$J85*J85</f>
        <v>0</v>
      </c>
      <c r="U85" s="42">
        <f t="shared" si="48"/>
        <v>0</v>
      </c>
      <c r="V85" s="42">
        <f t="shared" si="49"/>
        <v>0</v>
      </c>
      <c r="W85" s="38">
        <f>IF($A85&gt;LastT,0,N85+W86/(1+Policy_Sched!$K85))</f>
        <v>0</v>
      </c>
      <c r="X85" s="38">
        <f>IF($A85&gt;LastT,0,(-Q85+X86)/(1+Policy_Sched!$K85))</f>
        <v>0</v>
      </c>
      <c r="Y85" s="38">
        <f>IF($A85&gt;LastT,0,-V85+Y86/(1+Policy_Sched!$K85))</f>
        <v>0</v>
      </c>
      <c r="Z85" s="42">
        <f t="shared" si="50"/>
        <v>0</v>
      </c>
      <c r="AA85" s="38">
        <f>IF($A85&gt;LastT,0,N85-V85-Q85/(1+Policy_Sched!$K85)+Z86/(1+Policy_Sched!$K85))</f>
        <v>0</v>
      </c>
    </row>
    <row r="86" spans="1:27" x14ac:dyDescent="0.2">
      <c r="A86" s="30">
        <f t="shared" si="51"/>
        <v>79</v>
      </c>
      <c r="B86" s="31">
        <f t="shared" si="52"/>
        <v>0</v>
      </c>
      <c r="C86" s="31">
        <f>IF($A86&gt;LastT,0,IF(AND($D$3&lt;&gt;0,$A86&gt;=T0,Policy_Sched!$B86&lt;LastAge),1+$D$3*$E$3,1))</f>
        <v>0</v>
      </c>
      <c r="D86" s="36">
        <f>IF($A86&gt;LastT,0,IF($C$3="up",MIN(Policy_Sched!$E86*(1+IF($A86&gt;=T0,$E$3,0)),$F$3),IF($C$3="down",MAX(Policy_Sched!$E86*(1-IF($A86&gt;=T0,$E$3,0)),Policy_Sched!$E86-$F$3),Policy_Sched!$E86)))</f>
        <v>0</v>
      </c>
      <c r="E86" s="37">
        <f t="shared" si="53"/>
        <v>0</v>
      </c>
      <c r="F86" s="37">
        <f t="shared" si="36"/>
        <v>0</v>
      </c>
      <c r="G86" s="37">
        <f t="shared" si="37"/>
        <v>0</v>
      </c>
      <c r="H86" s="37">
        <f t="shared" si="38"/>
        <v>0</v>
      </c>
      <c r="I86" s="37">
        <f t="shared" si="39"/>
        <v>0</v>
      </c>
      <c r="J86" s="37">
        <f t="shared" si="40"/>
        <v>0</v>
      </c>
      <c r="K86" s="37">
        <f>IF($A86&gt;LastT,0,J86*Policy_Sched!$C86*Policy_Sched!$D86*C86)</f>
        <v>0</v>
      </c>
      <c r="L86" s="41">
        <f t="shared" si="41"/>
        <v>0</v>
      </c>
      <c r="M86" s="38">
        <f t="shared" si="42"/>
        <v>0</v>
      </c>
      <c r="N86" s="38">
        <f t="shared" si="43"/>
        <v>0</v>
      </c>
      <c r="O86" s="38">
        <f t="shared" si="44"/>
        <v>0</v>
      </c>
      <c r="P86" s="38">
        <f>Policy_Sched!$I86*(L86+I86)</f>
        <v>0</v>
      </c>
      <c r="Q86" s="42">
        <f t="shared" si="45"/>
        <v>0</v>
      </c>
      <c r="R86" s="38">
        <f t="shared" si="46"/>
        <v>0</v>
      </c>
      <c r="S86" s="38">
        <f t="shared" si="47"/>
        <v>0</v>
      </c>
      <c r="T86" s="38">
        <f>Policy_Sched!$J86*J86</f>
        <v>0</v>
      </c>
      <c r="U86" s="42">
        <f t="shared" si="48"/>
        <v>0</v>
      </c>
      <c r="V86" s="42">
        <f t="shared" si="49"/>
        <v>0</v>
      </c>
      <c r="W86" s="38">
        <f>IF($A86&gt;LastT,0,N86+W87/(1+Policy_Sched!$K86))</f>
        <v>0</v>
      </c>
      <c r="X86" s="38">
        <f>IF($A86&gt;LastT,0,(-Q86+X87)/(1+Policy_Sched!$K86))</f>
        <v>0</v>
      </c>
      <c r="Y86" s="38">
        <f>IF($A86&gt;LastT,0,-V86+Y87/(1+Policy_Sched!$K86))</f>
        <v>0</v>
      </c>
      <c r="Z86" s="42">
        <f t="shared" si="50"/>
        <v>0</v>
      </c>
      <c r="AA86" s="38">
        <f>IF($A86&gt;LastT,0,N86-V86-Q86/(1+Policy_Sched!$K86)+Z87/(1+Policy_Sched!$K86))</f>
        <v>0</v>
      </c>
    </row>
    <row r="87" spans="1:27" x14ac:dyDescent="0.2">
      <c r="A87" s="30">
        <f t="shared" si="51"/>
        <v>80</v>
      </c>
      <c r="B87" s="31">
        <f t="shared" si="52"/>
        <v>0</v>
      </c>
      <c r="C87" s="31">
        <f>IF($A87&gt;LastT,0,IF(AND($D$3&lt;&gt;0,$A87&gt;=T0,Policy_Sched!$B87&lt;LastAge),1+$D$3*$E$3,1))</f>
        <v>0</v>
      </c>
      <c r="D87" s="36">
        <f>IF($A87&gt;LastT,0,IF($C$3="up",MIN(Policy_Sched!$E87*(1+IF($A87&gt;=T0,$E$3,0)),$F$3),IF($C$3="down",MAX(Policy_Sched!$E87*(1-IF($A87&gt;=T0,$E$3,0)),Policy_Sched!$E87-$F$3),Policy_Sched!$E87)))</f>
        <v>0</v>
      </c>
      <c r="E87" s="37">
        <f t="shared" si="53"/>
        <v>0</v>
      </c>
      <c r="F87" s="37">
        <f t="shared" si="36"/>
        <v>0</v>
      </c>
      <c r="G87" s="37">
        <f t="shared" si="37"/>
        <v>0</v>
      </c>
      <c r="H87" s="37">
        <f t="shared" si="38"/>
        <v>0</v>
      </c>
      <c r="I87" s="37">
        <f t="shared" si="39"/>
        <v>0</v>
      </c>
      <c r="J87" s="37">
        <f t="shared" si="40"/>
        <v>0</v>
      </c>
      <c r="K87" s="37">
        <f>IF($A87&gt;LastT,0,J87*Policy_Sched!$C87*Policy_Sched!$D87*C87)</f>
        <v>0</v>
      </c>
      <c r="L87" s="41">
        <f t="shared" si="41"/>
        <v>0</v>
      </c>
      <c r="M87" s="38">
        <f t="shared" si="42"/>
        <v>0</v>
      </c>
      <c r="N87" s="38">
        <f t="shared" si="43"/>
        <v>0</v>
      </c>
      <c r="O87" s="38">
        <f t="shared" si="44"/>
        <v>0</v>
      </c>
      <c r="P87" s="38">
        <f>Policy_Sched!$I87*(L87+I87)</f>
        <v>0</v>
      </c>
      <c r="Q87" s="42">
        <f t="shared" si="45"/>
        <v>0</v>
      </c>
      <c r="R87" s="38">
        <f t="shared" si="46"/>
        <v>0</v>
      </c>
      <c r="S87" s="38">
        <f t="shared" si="47"/>
        <v>0</v>
      </c>
      <c r="T87" s="38">
        <f>Policy_Sched!$J87*J87</f>
        <v>0</v>
      </c>
      <c r="U87" s="42">
        <f t="shared" si="48"/>
        <v>0</v>
      </c>
      <c r="V87" s="42">
        <f t="shared" si="49"/>
        <v>0</v>
      </c>
      <c r="W87" s="38">
        <f>IF($A87&gt;LastT,0,N87+W88/(1+Policy_Sched!$K87))</f>
        <v>0</v>
      </c>
      <c r="X87" s="38">
        <f>IF($A87&gt;LastT,0,(-Q87+X88)/(1+Policy_Sched!$K87))</f>
        <v>0</v>
      </c>
      <c r="Y87" s="38">
        <f>IF($A87&gt;LastT,0,-V87+Y88/(1+Policy_Sched!$K87))</f>
        <v>0</v>
      </c>
      <c r="Z87" s="42">
        <f t="shared" si="50"/>
        <v>0</v>
      </c>
      <c r="AA87" s="38">
        <f>IF($A87&gt;LastT,0,N87-V87-Q87/(1+Policy_Sched!$K87)+Z88/(1+Policy_Sched!$K87))</f>
        <v>0</v>
      </c>
    </row>
    <row r="88" spans="1:27" x14ac:dyDescent="0.2">
      <c r="A88" s="30">
        <f t="shared" si="51"/>
        <v>81</v>
      </c>
      <c r="B88" s="31">
        <f t="shared" si="52"/>
        <v>0</v>
      </c>
      <c r="C88" s="31">
        <f>IF($A88&gt;LastT,0,IF(AND($D$3&lt;&gt;0,$A88&gt;=T0,Policy_Sched!$B88&lt;LastAge),1+$D$3*$E$3,1))</f>
        <v>0</v>
      </c>
      <c r="D88" s="36">
        <f>IF($A88&gt;LastT,0,IF($C$3="up",MIN(Policy_Sched!$E88*(1+IF($A88&gt;=T0,$E$3,0)),$F$3),IF($C$3="down",MAX(Policy_Sched!$E88*(1-IF($A88&gt;=T0,$E$3,0)),Policy_Sched!$E88-$F$3),Policy_Sched!$E88)))</f>
        <v>0</v>
      </c>
      <c r="E88" s="37">
        <f t="shared" si="53"/>
        <v>0</v>
      </c>
      <c r="F88" s="37">
        <f t="shared" si="36"/>
        <v>0</v>
      </c>
      <c r="G88" s="37">
        <f t="shared" si="37"/>
        <v>0</v>
      </c>
      <c r="H88" s="37">
        <f t="shared" si="38"/>
        <v>0</v>
      </c>
      <c r="I88" s="37">
        <f t="shared" si="39"/>
        <v>0</v>
      </c>
      <c r="J88" s="37">
        <f t="shared" si="40"/>
        <v>0</v>
      </c>
      <c r="K88" s="37">
        <f>IF($A88&gt;LastT,0,J88*Policy_Sched!$C88*Policy_Sched!$D88*C88)</f>
        <v>0</v>
      </c>
      <c r="L88" s="41">
        <f t="shared" si="41"/>
        <v>0</v>
      </c>
      <c r="M88" s="38">
        <f t="shared" si="42"/>
        <v>0</v>
      </c>
      <c r="N88" s="38">
        <f t="shared" si="43"/>
        <v>0</v>
      </c>
      <c r="O88" s="38">
        <f t="shared" si="44"/>
        <v>0</v>
      </c>
      <c r="P88" s="38">
        <f>Policy_Sched!$I88*(L88+I88)</f>
        <v>0</v>
      </c>
      <c r="Q88" s="42">
        <f t="shared" si="45"/>
        <v>0</v>
      </c>
      <c r="R88" s="38">
        <f t="shared" si="46"/>
        <v>0</v>
      </c>
      <c r="S88" s="38">
        <f t="shared" si="47"/>
        <v>0</v>
      </c>
      <c r="T88" s="38">
        <f>Policy_Sched!$J88*J88</f>
        <v>0</v>
      </c>
      <c r="U88" s="42">
        <f t="shared" si="48"/>
        <v>0</v>
      </c>
      <c r="V88" s="42">
        <f t="shared" si="49"/>
        <v>0</v>
      </c>
      <c r="W88" s="38">
        <f>IF($A88&gt;LastT,0,N88+W89/(1+Policy_Sched!$K88))</f>
        <v>0</v>
      </c>
      <c r="X88" s="38">
        <f>IF($A88&gt;LastT,0,(-Q88+X89)/(1+Policy_Sched!$K88))</f>
        <v>0</v>
      </c>
      <c r="Y88" s="38">
        <f>IF($A88&gt;LastT,0,-V88+Y89/(1+Policy_Sched!$K88))</f>
        <v>0</v>
      </c>
      <c r="Z88" s="42">
        <f t="shared" si="50"/>
        <v>0</v>
      </c>
      <c r="AA88" s="38">
        <f>IF($A88&gt;LastT,0,N88-V88-Q88/(1+Policy_Sched!$K88)+Z89/(1+Policy_Sched!$K88))</f>
        <v>0</v>
      </c>
    </row>
    <row r="89" spans="1:27" x14ac:dyDescent="0.2">
      <c r="A89" s="30">
        <f t="shared" si="51"/>
        <v>82</v>
      </c>
      <c r="B89" s="31">
        <f t="shared" si="52"/>
        <v>0</v>
      </c>
      <c r="C89" s="31">
        <f>IF($A89&gt;LastT,0,IF(AND($D$3&lt;&gt;0,$A89&gt;=T0,Policy_Sched!$B89&lt;LastAge),1+$D$3*$E$3,1))</f>
        <v>0</v>
      </c>
      <c r="D89" s="36">
        <f>IF($A89&gt;LastT,0,IF($C$3="up",MIN(Policy_Sched!$E89*(1+IF($A89&gt;=T0,$E$3,0)),$F$3),IF($C$3="down",MAX(Policy_Sched!$E89*(1-IF($A89&gt;=T0,$E$3,0)),Policy_Sched!$E89-$F$3),Policy_Sched!$E89)))</f>
        <v>0</v>
      </c>
      <c r="E89" s="37">
        <f t="shared" si="53"/>
        <v>0</v>
      </c>
      <c r="F89" s="37">
        <f t="shared" si="36"/>
        <v>0</v>
      </c>
      <c r="G89" s="37">
        <f t="shared" si="37"/>
        <v>0</v>
      </c>
      <c r="H89" s="37">
        <f t="shared" si="38"/>
        <v>0</v>
      </c>
      <c r="I89" s="37">
        <f t="shared" si="39"/>
        <v>0</v>
      </c>
      <c r="J89" s="37">
        <f t="shared" si="40"/>
        <v>0</v>
      </c>
      <c r="K89" s="37">
        <f>IF($A89&gt;LastT,0,J89*Policy_Sched!$C89*Policy_Sched!$D89*C89)</f>
        <v>0</v>
      </c>
      <c r="L89" s="41">
        <f t="shared" si="41"/>
        <v>0</v>
      </c>
      <c r="M89" s="38">
        <f t="shared" si="42"/>
        <v>0</v>
      </c>
      <c r="N89" s="38">
        <f t="shared" si="43"/>
        <v>0</v>
      </c>
      <c r="O89" s="38">
        <f t="shared" si="44"/>
        <v>0</v>
      </c>
      <c r="P89" s="38">
        <f>Policy_Sched!$I89*(L89+I89)</f>
        <v>0</v>
      </c>
      <c r="Q89" s="42">
        <f t="shared" si="45"/>
        <v>0</v>
      </c>
      <c r="R89" s="38">
        <f t="shared" si="46"/>
        <v>0</v>
      </c>
      <c r="S89" s="38">
        <f t="shared" si="47"/>
        <v>0</v>
      </c>
      <c r="T89" s="38">
        <f>Policy_Sched!$J89*J89</f>
        <v>0</v>
      </c>
      <c r="U89" s="42">
        <f t="shared" si="48"/>
        <v>0</v>
      </c>
      <c r="V89" s="42">
        <f t="shared" si="49"/>
        <v>0</v>
      </c>
      <c r="W89" s="38">
        <f>IF($A89&gt;LastT,0,N89+W90/(1+Policy_Sched!$K89))</f>
        <v>0</v>
      </c>
      <c r="X89" s="38">
        <f>IF($A89&gt;LastT,0,(-Q89+X90)/(1+Policy_Sched!$K89))</f>
        <v>0</v>
      </c>
      <c r="Y89" s="38">
        <f>IF($A89&gt;LastT,0,-V89+Y90/(1+Policy_Sched!$K89))</f>
        <v>0</v>
      </c>
      <c r="Z89" s="42">
        <f t="shared" si="50"/>
        <v>0</v>
      </c>
      <c r="AA89" s="38">
        <f>IF($A89&gt;LastT,0,N89-V89-Q89/(1+Policy_Sched!$K89)+Z90/(1+Policy_Sched!$K89))</f>
        <v>0</v>
      </c>
    </row>
    <row r="90" spans="1:27" x14ac:dyDescent="0.2">
      <c r="A90" s="30">
        <f t="shared" si="51"/>
        <v>83</v>
      </c>
      <c r="B90" s="31">
        <f t="shared" si="52"/>
        <v>0</v>
      </c>
      <c r="C90" s="31">
        <f>IF($A90&gt;LastT,0,IF(AND($D$3&lt;&gt;0,$A90&gt;=T0,Policy_Sched!$B90&lt;LastAge),1+$D$3*$E$3,1))</f>
        <v>0</v>
      </c>
      <c r="D90" s="36">
        <f>IF($A90&gt;LastT,0,IF($C$3="up",MIN(Policy_Sched!$E90*(1+IF($A90&gt;=T0,$E$3,0)),$F$3),IF($C$3="down",MAX(Policy_Sched!$E90*(1-IF($A90&gt;=T0,$E$3,0)),Policy_Sched!$E90-$F$3),Policy_Sched!$E90)))</f>
        <v>0</v>
      </c>
      <c r="E90" s="37">
        <f t="shared" si="53"/>
        <v>0</v>
      </c>
      <c r="F90" s="37">
        <f t="shared" si="36"/>
        <v>0</v>
      </c>
      <c r="G90" s="37">
        <f t="shared" si="37"/>
        <v>0</v>
      </c>
      <c r="H90" s="37">
        <f t="shared" si="38"/>
        <v>0</v>
      </c>
      <c r="I90" s="37">
        <f t="shared" si="39"/>
        <v>0</v>
      </c>
      <c r="J90" s="37">
        <f t="shared" si="40"/>
        <v>0</v>
      </c>
      <c r="K90" s="37">
        <f>IF($A90&gt;LastT,0,J90*Policy_Sched!$C90*Policy_Sched!$D90*C90)</f>
        <v>0</v>
      </c>
      <c r="L90" s="41">
        <f t="shared" si="41"/>
        <v>0</v>
      </c>
      <c r="M90" s="38">
        <f t="shared" si="42"/>
        <v>0</v>
      </c>
      <c r="N90" s="38">
        <f t="shared" si="43"/>
        <v>0</v>
      </c>
      <c r="O90" s="38">
        <f t="shared" si="44"/>
        <v>0</v>
      </c>
      <c r="P90" s="38">
        <f>Policy_Sched!$I90*(L90+I90)</f>
        <v>0</v>
      </c>
      <c r="Q90" s="42">
        <f t="shared" si="45"/>
        <v>0</v>
      </c>
      <c r="R90" s="38">
        <f t="shared" si="46"/>
        <v>0</v>
      </c>
      <c r="S90" s="38">
        <f t="shared" si="47"/>
        <v>0</v>
      </c>
      <c r="T90" s="38">
        <f>Policy_Sched!$J90*J90</f>
        <v>0</v>
      </c>
      <c r="U90" s="42">
        <f t="shared" si="48"/>
        <v>0</v>
      </c>
      <c r="V90" s="42">
        <f t="shared" si="49"/>
        <v>0</v>
      </c>
      <c r="W90" s="38">
        <f>IF($A90&gt;LastT,0,N90+W91/(1+Policy_Sched!$K90))</f>
        <v>0</v>
      </c>
      <c r="X90" s="38">
        <f>IF($A90&gt;LastT,0,(-Q90+X91)/(1+Policy_Sched!$K90))</f>
        <v>0</v>
      </c>
      <c r="Y90" s="38">
        <f>IF($A90&gt;LastT,0,-V90+Y91/(1+Policy_Sched!$K90))</f>
        <v>0</v>
      </c>
      <c r="Z90" s="42">
        <f t="shared" si="50"/>
        <v>0</v>
      </c>
      <c r="AA90" s="38">
        <f>IF($A90&gt;LastT,0,N90-V90-Q90/(1+Policy_Sched!$K90)+Z91/(1+Policy_Sched!$K90))</f>
        <v>0</v>
      </c>
    </row>
    <row r="91" spans="1:27" x14ac:dyDescent="0.2">
      <c r="A91" s="30">
        <f t="shared" si="51"/>
        <v>84</v>
      </c>
      <c r="B91" s="31">
        <f t="shared" si="52"/>
        <v>0</v>
      </c>
      <c r="C91" s="31">
        <f>IF($A91&gt;LastT,0,IF(AND($D$3&lt;&gt;0,$A91&gt;=T0,Policy_Sched!$B91&lt;LastAge),1+$D$3*$E$3,1))</f>
        <v>0</v>
      </c>
      <c r="D91" s="36">
        <f>IF($A91&gt;LastT,0,IF($C$3="up",MIN(Policy_Sched!$E91*(1+IF($A91&gt;=T0,$E$3,0)),$F$3),IF($C$3="down",MAX(Policy_Sched!$E91*(1-IF($A91&gt;=T0,$E$3,0)),Policy_Sched!$E91-$F$3),Policy_Sched!$E91)))</f>
        <v>0</v>
      </c>
      <c r="E91" s="37">
        <f t="shared" si="53"/>
        <v>0</v>
      </c>
      <c r="F91" s="37">
        <f t="shared" si="36"/>
        <v>0</v>
      </c>
      <c r="G91" s="37">
        <f t="shared" si="37"/>
        <v>0</v>
      </c>
      <c r="H91" s="37">
        <f t="shared" si="38"/>
        <v>0</v>
      </c>
      <c r="I91" s="37">
        <f t="shared" si="39"/>
        <v>0</v>
      </c>
      <c r="J91" s="37">
        <f t="shared" si="40"/>
        <v>0</v>
      </c>
      <c r="K91" s="37">
        <f>IF($A91&gt;LastT,0,J91*Policy_Sched!$C91*Policy_Sched!$D91*C91)</f>
        <v>0</v>
      </c>
      <c r="L91" s="41">
        <f t="shared" si="41"/>
        <v>0</v>
      </c>
      <c r="M91" s="38">
        <f t="shared" si="42"/>
        <v>0</v>
      </c>
      <c r="N91" s="38">
        <f t="shared" si="43"/>
        <v>0</v>
      </c>
      <c r="O91" s="38">
        <f t="shared" si="44"/>
        <v>0</v>
      </c>
      <c r="P91" s="38">
        <f>Policy_Sched!$I91*(L91+I91)</f>
        <v>0</v>
      </c>
      <c r="Q91" s="42">
        <f t="shared" si="45"/>
        <v>0</v>
      </c>
      <c r="R91" s="38">
        <f t="shared" si="46"/>
        <v>0</v>
      </c>
      <c r="S91" s="38">
        <f t="shared" si="47"/>
        <v>0</v>
      </c>
      <c r="T91" s="38">
        <f>Policy_Sched!$J91*J91</f>
        <v>0</v>
      </c>
      <c r="U91" s="42">
        <f t="shared" si="48"/>
        <v>0</v>
      </c>
      <c r="V91" s="42">
        <f t="shared" si="49"/>
        <v>0</v>
      </c>
      <c r="W91" s="38">
        <f>IF($A91&gt;LastT,0,N91+W92/(1+Policy_Sched!$K91))</f>
        <v>0</v>
      </c>
      <c r="X91" s="38">
        <f>IF($A91&gt;LastT,0,(-Q91+X92)/(1+Policy_Sched!$K91))</f>
        <v>0</v>
      </c>
      <c r="Y91" s="38">
        <f>IF($A91&gt;LastT,0,-V91+Y92/(1+Policy_Sched!$K91))</f>
        <v>0</v>
      </c>
      <c r="Z91" s="42">
        <f t="shared" si="50"/>
        <v>0</v>
      </c>
      <c r="AA91" s="38">
        <f>IF($A91&gt;LastT,0,N91-V91-Q91/(1+Policy_Sched!$K91)+Z92/(1+Policy_Sched!$K91))</f>
        <v>0</v>
      </c>
    </row>
    <row r="92" spans="1:27" x14ac:dyDescent="0.2">
      <c r="A92" s="30">
        <f t="shared" si="51"/>
        <v>85</v>
      </c>
      <c r="B92" s="31">
        <f t="shared" si="52"/>
        <v>0</v>
      </c>
      <c r="C92" s="31">
        <f>IF($A92&gt;LastT,0,IF(AND($D$3&lt;&gt;0,$A92&gt;=T0,Policy_Sched!$B92&lt;LastAge),1+$D$3*$E$3,1))</f>
        <v>0</v>
      </c>
      <c r="D92" s="36">
        <f>IF($A92&gt;LastT,0,IF($C$3="up",MIN(Policy_Sched!$E92*(1+IF($A92&gt;=T0,$E$3,0)),$F$3),IF($C$3="down",MAX(Policy_Sched!$E92*(1-IF($A92&gt;=T0,$E$3,0)),Policy_Sched!$E92-$F$3),Policy_Sched!$E92)))</f>
        <v>0</v>
      </c>
      <c r="E92" s="37">
        <f t="shared" si="53"/>
        <v>0</v>
      </c>
      <c r="F92" s="37">
        <f t="shared" si="36"/>
        <v>0</v>
      </c>
      <c r="G92" s="37">
        <f t="shared" si="37"/>
        <v>0</v>
      </c>
      <c r="H92" s="37">
        <f t="shared" si="38"/>
        <v>0</v>
      </c>
      <c r="I92" s="37">
        <f t="shared" si="39"/>
        <v>0</v>
      </c>
      <c r="J92" s="37">
        <f t="shared" si="40"/>
        <v>0</v>
      </c>
      <c r="K92" s="37">
        <f>IF($A92&gt;LastT,0,J92*Policy_Sched!$C92*Policy_Sched!$D92*C92)</f>
        <v>0</v>
      </c>
      <c r="L92" s="41">
        <f t="shared" si="41"/>
        <v>0</v>
      </c>
      <c r="M92" s="38">
        <f t="shared" si="42"/>
        <v>0</v>
      </c>
      <c r="N92" s="38">
        <f t="shared" si="43"/>
        <v>0</v>
      </c>
      <c r="O92" s="38">
        <f t="shared" si="44"/>
        <v>0</v>
      </c>
      <c r="P92" s="38">
        <f>Policy_Sched!$I92*(L92+I92)</f>
        <v>0</v>
      </c>
      <c r="Q92" s="42">
        <f t="shared" si="45"/>
        <v>0</v>
      </c>
      <c r="R92" s="38">
        <f t="shared" si="46"/>
        <v>0</v>
      </c>
      <c r="S92" s="38">
        <f t="shared" si="47"/>
        <v>0</v>
      </c>
      <c r="T92" s="38">
        <f>Policy_Sched!$J92*J92</f>
        <v>0</v>
      </c>
      <c r="U92" s="42">
        <f t="shared" si="48"/>
        <v>0</v>
      </c>
      <c r="V92" s="42">
        <f t="shared" si="49"/>
        <v>0</v>
      </c>
      <c r="W92" s="38">
        <f>IF($A92&gt;LastT,0,N92+W93/(1+Policy_Sched!$K92))</f>
        <v>0</v>
      </c>
      <c r="X92" s="38">
        <f>IF($A92&gt;LastT,0,(-Q92+X93)/(1+Policy_Sched!$K92))</f>
        <v>0</v>
      </c>
      <c r="Y92" s="38">
        <f>IF($A92&gt;LastT,0,-V92+Y93/(1+Policy_Sched!$K92))</f>
        <v>0</v>
      </c>
      <c r="Z92" s="42">
        <f t="shared" si="50"/>
        <v>0</v>
      </c>
      <c r="AA92" s="38">
        <f>IF($A92&gt;LastT,0,N92-V92-Q92/(1+Policy_Sched!$K92)+Z93/(1+Policy_Sched!$K92))</f>
        <v>0</v>
      </c>
    </row>
    <row r="93" spans="1:27" x14ac:dyDescent="0.2">
      <c r="A93" s="30">
        <f t="shared" si="51"/>
        <v>86</v>
      </c>
      <c r="B93" s="31">
        <f t="shared" si="52"/>
        <v>0</v>
      </c>
      <c r="C93" s="31">
        <f>IF($A93&gt;LastT,0,IF(AND($D$3&lt;&gt;0,$A93&gt;=T0,Policy_Sched!$B93&lt;LastAge),1+$D$3*$E$3,1))</f>
        <v>0</v>
      </c>
      <c r="D93" s="36">
        <f>IF($A93&gt;LastT,0,IF($C$3="up",MIN(Policy_Sched!$E93*(1+IF($A93&gt;=T0,$E$3,0)),$F$3),IF($C$3="down",MAX(Policy_Sched!$E93*(1-IF($A93&gt;=T0,$E$3,0)),Policy_Sched!$E93-$F$3),Policy_Sched!$E93)))</f>
        <v>0</v>
      </c>
      <c r="E93" s="37">
        <f t="shared" si="53"/>
        <v>0</v>
      </c>
      <c r="F93" s="37">
        <f t="shared" si="36"/>
        <v>0</v>
      </c>
      <c r="G93" s="37">
        <f t="shared" si="37"/>
        <v>0</v>
      </c>
      <c r="H93" s="37">
        <f t="shared" si="38"/>
        <v>0</v>
      </c>
      <c r="I93" s="37">
        <f t="shared" si="39"/>
        <v>0</v>
      </c>
      <c r="J93" s="37">
        <f t="shared" si="40"/>
        <v>0</v>
      </c>
      <c r="K93" s="37">
        <f>IF($A93&gt;LastT,0,J93*Policy_Sched!$C93*Policy_Sched!$D93*C93)</f>
        <v>0</v>
      </c>
      <c r="L93" s="41">
        <f t="shared" si="41"/>
        <v>0</v>
      </c>
      <c r="M93" s="38">
        <f t="shared" si="42"/>
        <v>0</v>
      </c>
      <c r="N93" s="38">
        <f t="shared" si="43"/>
        <v>0</v>
      </c>
      <c r="O93" s="38">
        <f t="shared" si="44"/>
        <v>0</v>
      </c>
      <c r="P93" s="38">
        <f>Policy_Sched!$I93*(L93+I93)</f>
        <v>0</v>
      </c>
      <c r="Q93" s="42">
        <f t="shared" si="45"/>
        <v>0</v>
      </c>
      <c r="R93" s="38">
        <f t="shared" si="46"/>
        <v>0</v>
      </c>
      <c r="S93" s="38">
        <f t="shared" si="47"/>
        <v>0</v>
      </c>
      <c r="T93" s="38">
        <f>Policy_Sched!$J93*J93</f>
        <v>0</v>
      </c>
      <c r="U93" s="42">
        <f t="shared" si="48"/>
        <v>0</v>
      </c>
      <c r="V93" s="42">
        <f t="shared" si="49"/>
        <v>0</v>
      </c>
      <c r="W93" s="38">
        <f>IF($A93&gt;LastT,0,N93+W94/(1+Policy_Sched!$K93))</f>
        <v>0</v>
      </c>
      <c r="X93" s="38">
        <f>IF($A93&gt;LastT,0,(-Q93+X94)/(1+Policy_Sched!$K93))</f>
        <v>0</v>
      </c>
      <c r="Y93" s="38">
        <f>IF($A93&gt;LastT,0,-V93+Y94/(1+Policy_Sched!$K93))</f>
        <v>0</v>
      </c>
      <c r="Z93" s="42">
        <f t="shared" si="50"/>
        <v>0</v>
      </c>
      <c r="AA93" s="38">
        <f>IF($A93&gt;LastT,0,N93-V93-Q93/(1+Policy_Sched!$K93)+Z94/(1+Policy_Sched!$K93))</f>
        <v>0</v>
      </c>
    </row>
    <row r="94" spans="1:27" x14ac:dyDescent="0.2">
      <c r="A94" s="30">
        <f t="shared" si="51"/>
        <v>87</v>
      </c>
      <c r="B94" s="31">
        <f t="shared" si="52"/>
        <v>0</v>
      </c>
      <c r="C94" s="31">
        <f>IF($A94&gt;LastT,0,IF(AND($D$3&lt;&gt;0,$A94&gt;=T0,Policy_Sched!$B94&lt;LastAge),1+$D$3*$E$3,1))</f>
        <v>0</v>
      </c>
      <c r="D94" s="36">
        <f>IF($A94&gt;LastT,0,IF($C$3="up",MIN(Policy_Sched!$E94*(1+IF($A94&gt;=T0,$E$3,0)),$F$3),IF($C$3="down",MAX(Policy_Sched!$E94*(1-IF($A94&gt;=T0,$E$3,0)),Policy_Sched!$E94-$F$3),Policy_Sched!$E94)))</f>
        <v>0</v>
      </c>
      <c r="E94" s="37">
        <f t="shared" si="53"/>
        <v>0</v>
      </c>
      <c r="F94" s="37">
        <f t="shared" si="36"/>
        <v>0</v>
      </c>
      <c r="G94" s="37">
        <f t="shared" si="37"/>
        <v>0</v>
      </c>
      <c r="H94" s="37">
        <f t="shared" si="38"/>
        <v>0</v>
      </c>
      <c r="I94" s="37">
        <f t="shared" si="39"/>
        <v>0</v>
      </c>
      <c r="J94" s="37">
        <f t="shared" si="40"/>
        <v>0</v>
      </c>
      <c r="K94" s="37">
        <f>IF($A94&gt;LastT,0,J94*Policy_Sched!$C94*Policy_Sched!$D94*C94)</f>
        <v>0</v>
      </c>
      <c r="L94" s="41">
        <f t="shared" si="41"/>
        <v>0</v>
      </c>
      <c r="M94" s="38">
        <f t="shared" si="42"/>
        <v>0</v>
      </c>
      <c r="N94" s="38">
        <f t="shared" si="43"/>
        <v>0</v>
      </c>
      <c r="O94" s="38">
        <f t="shared" si="44"/>
        <v>0</v>
      </c>
      <c r="P94" s="38">
        <f>Policy_Sched!$I94*(L94+I94)</f>
        <v>0</v>
      </c>
      <c r="Q94" s="42">
        <f t="shared" si="45"/>
        <v>0</v>
      </c>
      <c r="R94" s="38">
        <f t="shared" si="46"/>
        <v>0</v>
      </c>
      <c r="S94" s="38">
        <f t="shared" si="47"/>
        <v>0</v>
      </c>
      <c r="T94" s="38">
        <f>Policy_Sched!$J94*J94</f>
        <v>0</v>
      </c>
      <c r="U94" s="42">
        <f t="shared" si="48"/>
        <v>0</v>
      </c>
      <c r="V94" s="42">
        <f t="shared" si="49"/>
        <v>0</v>
      </c>
      <c r="W94" s="38">
        <f>IF($A94&gt;LastT,0,N94+W95/(1+Policy_Sched!$K94))</f>
        <v>0</v>
      </c>
      <c r="X94" s="38">
        <f>IF($A94&gt;LastT,0,(-Q94+X95)/(1+Policy_Sched!$K94))</f>
        <v>0</v>
      </c>
      <c r="Y94" s="38">
        <f>IF($A94&gt;LastT,0,-V94+Y95/(1+Policy_Sched!$K94))</f>
        <v>0</v>
      </c>
      <c r="Z94" s="42">
        <f t="shared" si="50"/>
        <v>0</v>
      </c>
      <c r="AA94" s="38">
        <f>IF($A94&gt;LastT,0,N94-V94-Q94/(1+Policy_Sched!$K94)+Z95/(1+Policy_Sched!$K94))</f>
        <v>0</v>
      </c>
    </row>
    <row r="95" spans="1:27" x14ac:dyDescent="0.2">
      <c r="A95" s="30">
        <f t="shared" si="51"/>
        <v>88</v>
      </c>
      <c r="B95" s="31">
        <f t="shared" si="52"/>
        <v>0</v>
      </c>
      <c r="C95" s="31">
        <f>IF($A95&gt;LastT,0,IF(AND($D$3&lt;&gt;0,$A95&gt;=T0,Policy_Sched!$B95&lt;LastAge),1+$D$3*$E$3,1))</f>
        <v>0</v>
      </c>
      <c r="D95" s="36">
        <f>IF($A95&gt;LastT,0,IF($C$3="up",MIN(Policy_Sched!$E95*(1+IF($A95&gt;=T0,$E$3,0)),$F$3),IF($C$3="down",MAX(Policy_Sched!$E95*(1-IF($A95&gt;=T0,$E$3,0)),Policy_Sched!$E95-$F$3),Policy_Sched!$E95)))</f>
        <v>0</v>
      </c>
      <c r="E95" s="37">
        <f t="shared" si="53"/>
        <v>0</v>
      </c>
      <c r="F95" s="37">
        <f t="shared" si="36"/>
        <v>0</v>
      </c>
      <c r="G95" s="37">
        <f t="shared" si="37"/>
        <v>0</v>
      </c>
      <c r="H95" s="37">
        <f t="shared" si="38"/>
        <v>0</v>
      </c>
      <c r="I95" s="37">
        <f t="shared" si="39"/>
        <v>0</v>
      </c>
      <c r="J95" s="37">
        <f t="shared" si="40"/>
        <v>0</v>
      </c>
      <c r="K95" s="37">
        <f>IF($A95&gt;LastT,0,J95*Policy_Sched!$C95*Policy_Sched!$D95*C95)</f>
        <v>0</v>
      </c>
      <c r="L95" s="41">
        <f t="shared" si="41"/>
        <v>0</v>
      </c>
      <c r="M95" s="38">
        <f t="shared" si="42"/>
        <v>0</v>
      </c>
      <c r="N95" s="38">
        <f t="shared" si="43"/>
        <v>0</v>
      </c>
      <c r="O95" s="38">
        <f t="shared" si="44"/>
        <v>0</v>
      </c>
      <c r="P95" s="38">
        <f>Policy_Sched!$I95*(L95+I95)</f>
        <v>0</v>
      </c>
      <c r="Q95" s="42">
        <f t="shared" si="45"/>
        <v>0</v>
      </c>
      <c r="R95" s="38">
        <f t="shared" si="46"/>
        <v>0</v>
      </c>
      <c r="S95" s="38">
        <f t="shared" si="47"/>
        <v>0</v>
      </c>
      <c r="T95" s="38">
        <f>Policy_Sched!$J95*J95</f>
        <v>0</v>
      </c>
      <c r="U95" s="42">
        <f t="shared" si="48"/>
        <v>0</v>
      </c>
      <c r="V95" s="42">
        <f t="shared" si="49"/>
        <v>0</v>
      </c>
      <c r="W95" s="38">
        <f>IF($A95&gt;LastT,0,N95+W96/(1+Policy_Sched!$K95))</f>
        <v>0</v>
      </c>
      <c r="X95" s="38">
        <f>IF($A95&gt;LastT,0,(-Q95+X96)/(1+Policy_Sched!$K95))</f>
        <v>0</v>
      </c>
      <c r="Y95" s="38">
        <f>IF($A95&gt;LastT,0,-V95+Y96/(1+Policy_Sched!$K95))</f>
        <v>0</v>
      </c>
      <c r="Z95" s="42">
        <f t="shared" si="50"/>
        <v>0</v>
      </c>
      <c r="AA95" s="38">
        <f>IF($A95&gt;LastT,0,N95-V95-Q95/(1+Policy_Sched!$K95)+Z96/(1+Policy_Sched!$K95))</f>
        <v>0</v>
      </c>
    </row>
    <row r="96" spans="1:27" x14ac:dyDescent="0.2">
      <c r="A96" s="30">
        <f t="shared" si="51"/>
        <v>89</v>
      </c>
      <c r="B96" s="31">
        <f t="shared" si="52"/>
        <v>0</v>
      </c>
      <c r="C96" s="31">
        <f>IF($A96&gt;LastT,0,IF(AND($D$3&lt;&gt;0,$A96&gt;=T0,Policy_Sched!$B96&lt;LastAge),1+$D$3*$E$3,1))</f>
        <v>0</v>
      </c>
      <c r="D96" s="36">
        <f>IF($A96&gt;LastT,0,IF($C$3="up",MIN(Policy_Sched!$E96*(1+IF($A96&gt;=T0,$E$3,0)),$F$3),IF($C$3="down",MAX(Policy_Sched!$E96*(1-IF($A96&gt;=T0,$E$3,0)),Policy_Sched!$E96-$F$3),Policy_Sched!$E96)))</f>
        <v>0</v>
      </c>
      <c r="E96" s="37">
        <f t="shared" si="53"/>
        <v>0</v>
      </c>
      <c r="F96" s="37">
        <f t="shared" si="36"/>
        <v>0</v>
      </c>
      <c r="G96" s="37">
        <f t="shared" si="37"/>
        <v>0</v>
      </c>
      <c r="H96" s="37">
        <f t="shared" si="38"/>
        <v>0</v>
      </c>
      <c r="I96" s="37">
        <f t="shared" si="39"/>
        <v>0</v>
      </c>
      <c r="J96" s="37">
        <f t="shared" si="40"/>
        <v>0</v>
      </c>
      <c r="K96" s="37">
        <f>IF($A96&gt;LastT,0,J96*Policy_Sched!$C96*Policy_Sched!$D96*C96)</f>
        <v>0</v>
      </c>
      <c r="L96" s="41">
        <f t="shared" si="41"/>
        <v>0</v>
      </c>
      <c r="M96" s="38">
        <f t="shared" si="42"/>
        <v>0</v>
      </c>
      <c r="N96" s="38">
        <f t="shared" si="43"/>
        <v>0</v>
      </c>
      <c r="O96" s="38">
        <f t="shared" si="44"/>
        <v>0</v>
      </c>
      <c r="P96" s="38">
        <f>Policy_Sched!$I96*(L96+I96)</f>
        <v>0</v>
      </c>
      <c r="Q96" s="42">
        <f t="shared" si="45"/>
        <v>0</v>
      </c>
      <c r="R96" s="38">
        <f t="shared" si="46"/>
        <v>0</v>
      </c>
      <c r="S96" s="38">
        <f t="shared" si="47"/>
        <v>0</v>
      </c>
      <c r="T96" s="38">
        <f>Policy_Sched!$J96*J96</f>
        <v>0</v>
      </c>
      <c r="U96" s="42">
        <f t="shared" si="48"/>
        <v>0</v>
      </c>
      <c r="V96" s="42">
        <f t="shared" si="49"/>
        <v>0</v>
      </c>
      <c r="W96" s="38">
        <f>IF($A96&gt;LastT,0,N96+W97/(1+Policy_Sched!$K96))</f>
        <v>0</v>
      </c>
      <c r="X96" s="38">
        <f>IF($A96&gt;LastT,0,(-Q96+X97)/(1+Policy_Sched!$K96))</f>
        <v>0</v>
      </c>
      <c r="Y96" s="38">
        <f>IF($A96&gt;LastT,0,-V96+Y97/(1+Policy_Sched!$K96))</f>
        <v>0</v>
      </c>
      <c r="Z96" s="42">
        <f t="shared" si="50"/>
        <v>0</v>
      </c>
      <c r="AA96" s="38">
        <f>IF($A96&gt;LastT,0,N96-V96-Q96/(1+Policy_Sched!$K96)+Z97/(1+Policy_Sched!$K96))</f>
        <v>0</v>
      </c>
    </row>
    <row r="97" spans="1:27" x14ac:dyDescent="0.2">
      <c r="A97" s="30">
        <f t="shared" si="51"/>
        <v>90</v>
      </c>
      <c r="B97" s="31">
        <f t="shared" si="52"/>
        <v>0</v>
      </c>
      <c r="C97" s="31">
        <f>IF($A97&gt;LastT,0,IF(AND($D$3&lt;&gt;0,$A97&gt;=T0,Policy_Sched!$B97&lt;LastAge),1+$D$3*$E$3,1))</f>
        <v>0</v>
      </c>
      <c r="D97" s="36">
        <f>IF($A97&gt;LastT,0,IF($C$3="up",MIN(Policy_Sched!$E97*(1+IF($A97&gt;=T0,$E$3,0)),$F$3),IF($C$3="down",MAX(Policy_Sched!$E97*(1-IF($A97&gt;=T0,$E$3,0)),Policy_Sched!$E97-$F$3),Policy_Sched!$E97)))</f>
        <v>0</v>
      </c>
      <c r="E97" s="37">
        <f t="shared" si="53"/>
        <v>0</v>
      </c>
      <c r="F97" s="37">
        <f t="shared" si="36"/>
        <v>0</v>
      </c>
      <c r="G97" s="37">
        <f t="shared" si="37"/>
        <v>0</v>
      </c>
      <c r="H97" s="37">
        <f t="shared" si="38"/>
        <v>0</v>
      </c>
      <c r="I97" s="37">
        <f t="shared" si="39"/>
        <v>0</v>
      </c>
      <c r="J97" s="37">
        <f t="shared" si="40"/>
        <v>0</v>
      </c>
      <c r="K97" s="37">
        <f>IF($A97&gt;LastT,0,J97*Policy_Sched!$C97*Policy_Sched!$D97*C97)</f>
        <v>0</v>
      </c>
      <c r="L97" s="41">
        <f t="shared" si="41"/>
        <v>0</v>
      </c>
      <c r="M97" s="38">
        <f t="shared" si="42"/>
        <v>0</v>
      </c>
      <c r="N97" s="38">
        <f t="shared" si="43"/>
        <v>0</v>
      </c>
      <c r="O97" s="38">
        <f t="shared" si="44"/>
        <v>0</v>
      </c>
      <c r="P97" s="38">
        <f>Policy_Sched!$I97*(L97+I97)</f>
        <v>0</v>
      </c>
      <c r="Q97" s="42">
        <f t="shared" si="45"/>
        <v>0</v>
      </c>
      <c r="R97" s="38">
        <f t="shared" si="46"/>
        <v>0</v>
      </c>
      <c r="S97" s="38">
        <f t="shared" si="47"/>
        <v>0</v>
      </c>
      <c r="T97" s="38">
        <f>Policy_Sched!$J97*J97</f>
        <v>0</v>
      </c>
      <c r="U97" s="42">
        <f t="shared" si="48"/>
        <v>0</v>
      </c>
      <c r="V97" s="42">
        <f t="shared" si="49"/>
        <v>0</v>
      </c>
      <c r="W97" s="38">
        <f>IF($A97&gt;LastT,0,N97+W98/(1+Policy_Sched!$K97))</f>
        <v>0</v>
      </c>
      <c r="X97" s="38">
        <f>IF($A97&gt;LastT,0,(-Q97+X98)/(1+Policy_Sched!$K97))</f>
        <v>0</v>
      </c>
      <c r="Y97" s="38">
        <f>IF($A97&gt;LastT,0,-V97+Y98/(1+Policy_Sched!$K97))</f>
        <v>0</v>
      </c>
      <c r="Z97" s="42">
        <f t="shared" si="50"/>
        <v>0</v>
      </c>
      <c r="AA97" s="38">
        <f>IF($A97&gt;LastT,0,N97-V97-Q97/(1+Policy_Sched!$K97)+Z98/(1+Policy_Sched!$K97))</f>
        <v>0</v>
      </c>
    </row>
    <row r="98" spans="1:27" x14ac:dyDescent="0.2">
      <c r="A98" s="30">
        <f t="shared" si="51"/>
        <v>91</v>
      </c>
      <c r="B98" s="31">
        <f t="shared" si="52"/>
        <v>0</v>
      </c>
      <c r="C98" s="31">
        <f>IF($A98&gt;LastT,0,IF(AND($D$3&lt;&gt;0,$A98&gt;=T0,Policy_Sched!$B98&lt;LastAge),1+$D$3*$E$3,1))</f>
        <v>0</v>
      </c>
      <c r="D98" s="36">
        <f>IF($A98&gt;LastT,0,IF($C$3="up",MIN(Policy_Sched!$E98*(1+IF($A98&gt;=T0,$E$3,0)),$F$3),IF($C$3="down",MAX(Policy_Sched!$E98*(1-IF($A98&gt;=T0,$E$3,0)),Policy_Sched!$E98-$F$3),Policy_Sched!$E98)))</f>
        <v>0</v>
      </c>
      <c r="E98" s="37">
        <f t="shared" si="53"/>
        <v>0</v>
      </c>
      <c r="F98" s="37">
        <f t="shared" si="36"/>
        <v>0</v>
      </c>
      <c r="G98" s="37">
        <f t="shared" si="37"/>
        <v>0</v>
      </c>
      <c r="H98" s="37">
        <f t="shared" si="38"/>
        <v>0</v>
      </c>
      <c r="I98" s="37">
        <f t="shared" si="39"/>
        <v>0</v>
      </c>
      <c r="J98" s="37">
        <f t="shared" si="40"/>
        <v>0</v>
      </c>
      <c r="K98" s="37">
        <f>IF($A98&gt;LastT,0,J98*Policy_Sched!$C98*Policy_Sched!$D98*C98)</f>
        <v>0</v>
      </c>
      <c r="L98" s="41">
        <f t="shared" si="41"/>
        <v>0</v>
      </c>
      <c r="M98" s="38">
        <f t="shared" si="42"/>
        <v>0</v>
      </c>
      <c r="N98" s="38">
        <f t="shared" si="43"/>
        <v>0</v>
      </c>
      <c r="O98" s="38">
        <f t="shared" si="44"/>
        <v>0</v>
      </c>
      <c r="P98" s="38">
        <f>Policy_Sched!$I98*(L98+I98)</f>
        <v>0</v>
      </c>
      <c r="Q98" s="42">
        <f t="shared" si="45"/>
        <v>0</v>
      </c>
      <c r="R98" s="38">
        <f t="shared" si="46"/>
        <v>0</v>
      </c>
      <c r="S98" s="38">
        <f t="shared" si="47"/>
        <v>0</v>
      </c>
      <c r="T98" s="38">
        <f>Policy_Sched!$J98*J98</f>
        <v>0</v>
      </c>
      <c r="U98" s="42">
        <f t="shared" si="48"/>
        <v>0</v>
      </c>
      <c r="V98" s="42">
        <f t="shared" si="49"/>
        <v>0</v>
      </c>
      <c r="W98" s="38">
        <f>IF($A98&gt;LastT,0,N98+W99/(1+Policy_Sched!$K98))</f>
        <v>0</v>
      </c>
      <c r="X98" s="38">
        <f>IF($A98&gt;LastT,0,(-Q98+X99)/(1+Policy_Sched!$K98))</f>
        <v>0</v>
      </c>
      <c r="Y98" s="38">
        <f>IF($A98&gt;LastT,0,-V98+Y99/(1+Policy_Sched!$K98))</f>
        <v>0</v>
      </c>
      <c r="Z98" s="42">
        <f t="shared" si="50"/>
        <v>0</v>
      </c>
      <c r="AA98" s="38">
        <f>IF($A98&gt;LastT,0,N98-V98-Q98/(1+Policy_Sched!$K98)+Z99/(1+Policy_Sched!$K98))</f>
        <v>0</v>
      </c>
    </row>
    <row r="99" spans="1:27" x14ac:dyDescent="0.2">
      <c r="A99" s="30">
        <f t="shared" si="51"/>
        <v>92</v>
      </c>
      <c r="B99" s="31">
        <f t="shared" si="52"/>
        <v>0</v>
      </c>
      <c r="C99" s="31">
        <f>IF($A99&gt;LastT,0,IF(AND($D$3&lt;&gt;0,$A99&gt;=T0,Policy_Sched!$B99&lt;LastAge),1+$D$3*$E$3,1))</f>
        <v>0</v>
      </c>
      <c r="D99" s="36">
        <f>IF($A99&gt;LastT,0,IF($C$3="up",MIN(Policy_Sched!$E99*(1+IF($A99&gt;=T0,$E$3,0)),$F$3),IF($C$3="down",MAX(Policy_Sched!$E99*(1-IF($A99&gt;=T0,$E$3,0)),Policy_Sched!$E99-$F$3),Policy_Sched!$E99)))</f>
        <v>0</v>
      </c>
      <c r="E99" s="37">
        <f t="shared" si="53"/>
        <v>0</v>
      </c>
      <c r="F99" s="37">
        <f t="shared" si="36"/>
        <v>0</v>
      </c>
      <c r="G99" s="37">
        <f t="shared" si="37"/>
        <v>0</v>
      </c>
      <c r="H99" s="37">
        <f t="shared" si="38"/>
        <v>0</v>
      </c>
      <c r="I99" s="37">
        <f t="shared" si="39"/>
        <v>0</v>
      </c>
      <c r="J99" s="37">
        <f t="shared" si="40"/>
        <v>0</v>
      </c>
      <c r="K99" s="37">
        <f>IF($A99&gt;LastT,0,J99*Policy_Sched!$C99*Policy_Sched!$D99*C99)</f>
        <v>0</v>
      </c>
      <c r="L99" s="41">
        <f t="shared" si="41"/>
        <v>0</v>
      </c>
      <c r="M99" s="38">
        <f t="shared" si="42"/>
        <v>0</v>
      </c>
      <c r="N99" s="38">
        <f t="shared" si="43"/>
        <v>0</v>
      </c>
      <c r="O99" s="38">
        <f t="shared" si="44"/>
        <v>0</v>
      </c>
      <c r="P99" s="38">
        <f>Policy_Sched!$I99*(L99+I99)</f>
        <v>0</v>
      </c>
      <c r="Q99" s="42">
        <f t="shared" si="45"/>
        <v>0</v>
      </c>
      <c r="R99" s="38">
        <f t="shared" si="46"/>
        <v>0</v>
      </c>
      <c r="S99" s="38">
        <f t="shared" si="47"/>
        <v>0</v>
      </c>
      <c r="T99" s="38">
        <f>Policy_Sched!$J99*J99</f>
        <v>0</v>
      </c>
      <c r="U99" s="42">
        <f t="shared" si="48"/>
        <v>0</v>
      </c>
      <c r="V99" s="42">
        <f t="shared" si="49"/>
        <v>0</v>
      </c>
      <c r="W99" s="38">
        <f>IF($A99&gt;LastT,0,N99+W100/(1+Policy_Sched!$K99))</f>
        <v>0</v>
      </c>
      <c r="X99" s="38">
        <f>IF($A99&gt;LastT,0,(-Q99+X100)/(1+Policy_Sched!$K99))</f>
        <v>0</v>
      </c>
      <c r="Y99" s="38">
        <f>IF($A99&gt;LastT,0,-V99+Y100/(1+Policy_Sched!$K99))</f>
        <v>0</v>
      </c>
      <c r="Z99" s="42">
        <f t="shared" si="50"/>
        <v>0</v>
      </c>
      <c r="AA99" s="38">
        <f>IF($A99&gt;LastT,0,N99-V99-Q99/(1+Policy_Sched!$K99)+Z100/(1+Policy_Sched!$K99))</f>
        <v>0</v>
      </c>
    </row>
    <row r="100" spans="1:27" x14ac:dyDescent="0.2">
      <c r="A100" s="30">
        <f t="shared" si="51"/>
        <v>93</v>
      </c>
      <c r="B100" s="31">
        <f t="shared" si="52"/>
        <v>0</v>
      </c>
      <c r="C100" s="31">
        <f>IF($A100&gt;LastT,0,IF(AND($D$3&lt;&gt;0,$A100&gt;=T0,Policy_Sched!$B100&lt;LastAge),1+$D$3*$E$3,1))</f>
        <v>0</v>
      </c>
      <c r="D100" s="36">
        <f>IF($A100&gt;LastT,0,IF($C$3="up",MIN(Policy_Sched!$E100*(1+IF($A100&gt;=T0,$E$3,0)),$F$3),IF($C$3="down",MAX(Policy_Sched!$E100*(1-IF($A100&gt;=T0,$E$3,0)),Policy_Sched!$E100-$F$3),Policy_Sched!$E100)))</f>
        <v>0</v>
      </c>
      <c r="E100" s="37">
        <f t="shared" si="53"/>
        <v>0</v>
      </c>
      <c r="F100" s="37">
        <f t="shared" si="36"/>
        <v>0</v>
      </c>
      <c r="G100" s="37">
        <f t="shared" si="37"/>
        <v>0</v>
      </c>
      <c r="H100" s="37">
        <f t="shared" si="38"/>
        <v>0</v>
      </c>
      <c r="I100" s="37">
        <f t="shared" si="39"/>
        <v>0</v>
      </c>
      <c r="J100" s="37">
        <f t="shared" si="40"/>
        <v>0</v>
      </c>
      <c r="K100" s="37">
        <f>IF($A100&gt;LastT,0,J100*Policy_Sched!$C100*Policy_Sched!$D100*C100)</f>
        <v>0</v>
      </c>
      <c r="L100" s="41">
        <f t="shared" si="41"/>
        <v>0</v>
      </c>
      <c r="M100" s="38">
        <f t="shared" si="42"/>
        <v>0</v>
      </c>
      <c r="N100" s="38">
        <f t="shared" si="43"/>
        <v>0</v>
      </c>
      <c r="O100" s="38">
        <f t="shared" si="44"/>
        <v>0</v>
      </c>
      <c r="P100" s="38">
        <f>Policy_Sched!$I100*(L100+I100)</f>
        <v>0</v>
      </c>
      <c r="Q100" s="42">
        <f t="shared" si="45"/>
        <v>0</v>
      </c>
      <c r="R100" s="38">
        <f t="shared" si="46"/>
        <v>0</v>
      </c>
      <c r="S100" s="38">
        <f t="shared" si="47"/>
        <v>0</v>
      </c>
      <c r="T100" s="38">
        <f>Policy_Sched!$J100*J100</f>
        <v>0</v>
      </c>
      <c r="U100" s="42">
        <f t="shared" si="48"/>
        <v>0</v>
      </c>
      <c r="V100" s="42">
        <f t="shared" si="49"/>
        <v>0</v>
      </c>
      <c r="W100" s="38">
        <f>IF($A100&gt;LastT,0,N100+W101/(1+Policy_Sched!$K100))</f>
        <v>0</v>
      </c>
      <c r="X100" s="38">
        <f>IF($A100&gt;LastT,0,(-Q100+X101)/(1+Policy_Sched!$K100))</f>
        <v>0</v>
      </c>
      <c r="Y100" s="38">
        <f>IF($A100&gt;LastT,0,-V100+Y101/(1+Policy_Sched!$K100))</f>
        <v>0</v>
      </c>
      <c r="Z100" s="42">
        <f t="shared" si="50"/>
        <v>0</v>
      </c>
      <c r="AA100" s="38">
        <f>IF($A100&gt;LastT,0,N100-V100-Q100/(1+Policy_Sched!$K100)+Z101/(1+Policy_Sched!$K100))</f>
        <v>0</v>
      </c>
    </row>
    <row r="101" spans="1:27" x14ac:dyDescent="0.2">
      <c r="A101" s="30">
        <f t="shared" si="51"/>
        <v>94</v>
      </c>
      <c r="B101" s="31">
        <f t="shared" si="52"/>
        <v>0</v>
      </c>
      <c r="C101" s="31">
        <f>IF($A101&gt;LastT,0,IF(AND($D$3&lt;&gt;0,$A101&gt;=T0,Policy_Sched!$B101&lt;LastAge),1+$D$3*$E$3,1))</f>
        <v>0</v>
      </c>
      <c r="D101" s="36">
        <f>IF($A101&gt;LastT,0,IF($C$3="up",MIN(Policy_Sched!$E101*(1+IF($A101&gt;=T0,$E$3,0)),$F$3),IF($C$3="down",MAX(Policy_Sched!$E101*(1-IF($A101&gt;=T0,$E$3,0)),Policy_Sched!$E101-$F$3),Policy_Sched!$E101)))</f>
        <v>0</v>
      </c>
      <c r="E101" s="37">
        <f t="shared" si="53"/>
        <v>0</v>
      </c>
      <c r="F101" s="37">
        <f t="shared" si="36"/>
        <v>0</v>
      </c>
      <c r="G101" s="37">
        <f t="shared" si="37"/>
        <v>0</v>
      </c>
      <c r="H101" s="37">
        <f t="shared" si="38"/>
        <v>0</v>
      </c>
      <c r="I101" s="37">
        <f t="shared" si="39"/>
        <v>0</v>
      </c>
      <c r="J101" s="37">
        <f t="shared" si="40"/>
        <v>0</v>
      </c>
      <c r="K101" s="37">
        <f>IF($A101&gt;LastT,0,J101*Policy_Sched!$C101*Policy_Sched!$D101*C101)</f>
        <v>0</v>
      </c>
      <c r="L101" s="41">
        <f t="shared" si="41"/>
        <v>0</v>
      </c>
      <c r="M101" s="38">
        <f t="shared" si="42"/>
        <v>0</v>
      </c>
      <c r="N101" s="38">
        <f t="shared" si="43"/>
        <v>0</v>
      </c>
      <c r="O101" s="38">
        <f t="shared" si="44"/>
        <v>0</v>
      </c>
      <c r="P101" s="38">
        <f>Policy_Sched!$I101*(L101+I101)</f>
        <v>0</v>
      </c>
      <c r="Q101" s="42">
        <f t="shared" si="45"/>
        <v>0</v>
      </c>
      <c r="R101" s="38">
        <f t="shared" si="46"/>
        <v>0</v>
      </c>
      <c r="S101" s="38">
        <f t="shared" si="47"/>
        <v>0</v>
      </c>
      <c r="T101" s="38">
        <f>Policy_Sched!$J101*J101</f>
        <v>0</v>
      </c>
      <c r="U101" s="42">
        <f t="shared" si="48"/>
        <v>0</v>
      </c>
      <c r="V101" s="42">
        <f t="shared" si="49"/>
        <v>0</v>
      </c>
      <c r="W101" s="38">
        <f>IF($A101&gt;LastT,0,N101+W102/(1+Policy_Sched!$K101))</f>
        <v>0</v>
      </c>
      <c r="X101" s="38">
        <f>IF($A101&gt;LastT,0,(-Q101+X102)/(1+Policy_Sched!$K101))</f>
        <v>0</v>
      </c>
      <c r="Y101" s="38">
        <f>IF($A101&gt;LastT,0,-V101+Y102/(1+Policy_Sched!$K101))</f>
        <v>0</v>
      </c>
      <c r="Z101" s="42">
        <f t="shared" si="50"/>
        <v>0</v>
      </c>
      <c r="AA101" s="38">
        <f>IF($A101&gt;LastT,0,N101-V101-Q101/(1+Policy_Sched!$K101)+Z102/(1+Policy_Sched!$K101))</f>
        <v>0</v>
      </c>
    </row>
    <row r="102" spans="1:27" x14ac:dyDescent="0.2">
      <c r="A102" s="30">
        <f t="shared" si="51"/>
        <v>95</v>
      </c>
      <c r="B102" s="31">
        <f t="shared" si="52"/>
        <v>0</v>
      </c>
      <c r="C102" s="31">
        <f>IF($A102&gt;LastT,0,IF(AND($D$3&lt;&gt;0,$A102&gt;=T0,Policy_Sched!$B102&lt;LastAge),1+$D$3*$E$3,1))</f>
        <v>0</v>
      </c>
      <c r="D102" s="36">
        <f>IF($A102&gt;LastT,0,IF($C$3="up",MIN(Policy_Sched!$E102*(1+IF($A102&gt;=T0,$E$3,0)),$F$3),IF($C$3="down",MAX(Policy_Sched!$E102*(1-IF($A102&gt;=T0,$E$3,0)),Policy_Sched!$E102-$F$3),Policy_Sched!$E102)))</f>
        <v>0</v>
      </c>
      <c r="E102" s="37">
        <f t="shared" si="53"/>
        <v>0</v>
      </c>
      <c r="F102" s="37">
        <f t="shared" si="36"/>
        <v>0</v>
      </c>
      <c r="G102" s="37">
        <f t="shared" si="37"/>
        <v>0</v>
      </c>
      <c r="H102" s="37">
        <f t="shared" si="38"/>
        <v>0</v>
      </c>
      <c r="I102" s="37">
        <f t="shared" si="39"/>
        <v>0</v>
      </c>
      <c r="J102" s="37">
        <f t="shared" si="40"/>
        <v>0</v>
      </c>
      <c r="K102" s="37">
        <f>IF($A102&gt;LastT,0,J102*Policy_Sched!$C102*Policy_Sched!$D102*C102)</f>
        <v>0</v>
      </c>
      <c r="L102" s="41">
        <f t="shared" si="41"/>
        <v>0</v>
      </c>
      <c r="M102" s="38">
        <f t="shared" si="42"/>
        <v>0</v>
      </c>
      <c r="N102" s="38">
        <f t="shared" si="43"/>
        <v>0</v>
      </c>
      <c r="O102" s="38">
        <f t="shared" si="44"/>
        <v>0</v>
      </c>
      <c r="P102" s="38">
        <f>Policy_Sched!$I102*(L102+I102)</f>
        <v>0</v>
      </c>
      <c r="Q102" s="42">
        <f t="shared" si="45"/>
        <v>0</v>
      </c>
      <c r="R102" s="38">
        <f t="shared" si="46"/>
        <v>0</v>
      </c>
      <c r="S102" s="38">
        <f t="shared" si="47"/>
        <v>0</v>
      </c>
      <c r="T102" s="38">
        <f>Policy_Sched!$J102*J102</f>
        <v>0</v>
      </c>
      <c r="U102" s="42">
        <f t="shared" si="48"/>
        <v>0</v>
      </c>
      <c r="V102" s="42">
        <f t="shared" si="49"/>
        <v>0</v>
      </c>
      <c r="W102" s="38">
        <f>IF($A102&gt;LastT,0,N102+W103/(1+Policy_Sched!$K102))</f>
        <v>0</v>
      </c>
      <c r="X102" s="38">
        <f>IF($A102&gt;LastT,0,(-Q102+X103)/(1+Policy_Sched!$K102))</f>
        <v>0</v>
      </c>
      <c r="Y102" s="38">
        <f>IF($A102&gt;LastT,0,-V102+Y103/(1+Policy_Sched!$K102))</f>
        <v>0</v>
      </c>
      <c r="Z102" s="42">
        <f t="shared" si="50"/>
        <v>0</v>
      </c>
      <c r="AA102" s="38">
        <f>IF($A102&gt;LastT,0,N102-V102-Q102/(1+Policy_Sched!$K102)+Z103/(1+Policy_Sched!$K102))</f>
        <v>0</v>
      </c>
    </row>
    <row r="103" spans="1:27" x14ac:dyDescent="0.2">
      <c r="A103" s="30">
        <f t="shared" si="51"/>
        <v>96</v>
      </c>
      <c r="B103" s="31">
        <f t="shared" si="52"/>
        <v>0</v>
      </c>
      <c r="C103" s="31">
        <f>IF($A103&gt;LastT,0,IF(AND($D$3&lt;&gt;0,$A103&gt;=T0,Policy_Sched!$B103&lt;LastAge),1+$D$3*$E$3,1))</f>
        <v>0</v>
      </c>
      <c r="D103" s="36">
        <f>IF($A103&gt;LastT,0,IF($C$3="up",MIN(Policy_Sched!$E103*(1+IF($A103&gt;=T0,$E$3,0)),$F$3),IF($C$3="down",MAX(Policy_Sched!$E103*(1-IF($A103&gt;=T0,$E$3,0)),Policy_Sched!$E103-$F$3),Policy_Sched!$E103)))</f>
        <v>0</v>
      </c>
      <c r="E103" s="37">
        <f t="shared" si="53"/>
        <v>0</v>
      </c>
      <c r="F103" s="37">
        <f t="shared" ref="F103:F110" si="54">IF($A103&gt;LastT,0,IF($A103=PolicyTerm,E103,0))</f>
        <v>0</v>
      </c>
      <c r="G103" s="37">
        <f t="shared" ref="G103:G110" si="55">IF($A103&gt;LastT,0,E103-F103)</f>
        <v>0</v>
      </c>
      <c r="H103" s="37">
        <f t="shared" ref="H103:H110" si="56">IF($A103=0,PolicyCount,0)</f>
        <v>0</v>
      </c>
      <c r="I103" s="37">
        <f t="shared" ref="I103:I110" si="57">IF($A103&gt;LastT,0,IF(AND($C$3="mass",$A103=T0),(G103+H103)*$E$3,0))</f>
        <v>0</v>
      </c>
      <c r="J103" s="37">
        <f t="shared" ref="J103:J110" si="58">IF($A103&gt;LastT,0,G103+H103-I103)</f>
        <v>0</v>
      </c>
      <c r="K103" s="37">
        <f>IF($A103&gt;LastT,0,J103*Policy_Sched!$C103*Policy_Sched!$D103*C103)</f>
        <v>0</v>
      </c>
      <c r="L103" s="41">
        <f t="shared" ref="L103:L110" si="59">J103*D103</f>
        <v>0</v>
      </c>
      <c r="M103" s="38">
        <f t="shared" ref="M103:M110" si="60">IF($A103&gt;LastT,0,(SizeAnnPrem*ExpsMaintAnnPrem+(SumAssured*ExpsMaintSA+ExpsMaintPol)*B103)*(1+IF($B$3="exps",$E$3,0)))</f>
        <v>0</v>
      </c>
      <c r="N103" s="38">
        <f t="shared" ref="N103:N110" si="61">SizePremium*J103</f>
        <v>0</v>
      </c>
      <c r="O103" s="38">
        <f t="shared" ref="O103:O110" si="62">SumAssured*K103</f>
        <v>0</v>
      </c>
      <c r="P103" s="38">
        <f>Policy_Sched!$I103*(L103+I103)</f>
        <v>0</v>
      </c>
      <c r="Q103" s="42">
        <f t="shared" ref="Q103:Q110" si="63">O103+P103</f>
        <v>0</v>
      </c>
      <c r="R103" s="38">
        <f t="shared" ref="R103:R110" si="64">IF($A103=0,SizeExpsAcq0*H103,0)</f>
        <v>0</v>
      </c>
      <c r="S103" s="38">
        <f t="shared" ref="S103:S110" si="65">IF($A103=0,SizeExpsCommInit0*J103,0)</f>
        <v>0</v>
      </c>
      <c r="T103" s="38">
        <f>Policy_Sched!$J103*J103</f>
        <v>0</v>
      </c>
      <c r="U103" s="42">
        <f t="shared" ref="U103:U110" si="66">M103*J103</f>
        <v>0</v>
      </c>
      <c r="V103" s="42">
        <f t="shared" ref="V103:V110" si="67">S103+T103+R103+U103</f>
        <v>0</v>
      </c>
      <c r="W103" s="38">
        <f>IF($A103&gt;LastT,0,N103+W104/(1+Policy_Sched!$K103))</f>
        <v>0</v>
      </c>
      <c r="X103" s="38">
        <f>IF($A103&gt;LastT,0,(-Q103+X104)/(1+Policy_Sched!$K103))</f>
        <v>0</v>
      </c>
      <c r="Y103" s="38">
        <f>IF($A103&gt;LastT,0,-V103+Y104/(1+Policy_Sched!$K103))</f>
        <v>0</v>
      </c>
      <c r="Z103" s="42">
        <f t="shared" ref="Z103:Z110" si="68">W103+Y103+X103</f>
        <v>0</v>
      </c>
      <c r="AA103" s="38">
        <f>IF($A103&gt;LastT,0,N103-V103-Q103/(1+Policy_Sched!$K103)+Z104/(1+Policy_Sched!$K103))</f>
        <v>0</v>
      </c>
    </row>
    <row r="104" spans="1:27" x14ac:dyDescent="0.2">
      <c r="A104" s="30">
        <f t="shared" ref="A104:A110" si="69">A103+1</f>
        <v>97</v>
      </c>
      <c r="B104" s="31">
        <f t="shared" ref="B104:B110" si="70">IF($A104&gt;LastT,0,IF($B$3="exps",B103*(1+InflRate+IF($A104&gt;=T0,$G$3,0)),B103/(1+InflRate)))</f>
        <v>0</v>
      </c>
      <c r="C104" s="31">
        <f>IF($A104&gt;LastT,0,IF(AND($D$3&lt;&gt;0,$A104&gt;=T0,Policy_Sched!$B104&lt;LastAge),1+$D$3*$E$3,1))</f>
        <v>0</v>
      </c>
      <c r="D104" s="36">
        <f>IF($A104&gt;LastT,0,IF($C$3="up",MIN(Policy_Sched!$E104*(1+IF($A104&gt;=T0,$E$3,0)),$F$3),IF($C$3="down",MAX(Policy_Sched!$E104*(1-IF($A104&gt;=T0,$E$3,0)),Policy_Sched!$E104-$F$3),Policy_Sched!$E104)))</f>
        <v>0</v>
      </c>
      <c r="E104" s="37">
        <f t="shared" ref="E104:E110" si="71">IF($A104&gt;LastT,0,J103-K103-L103)</f>
        <v>0</v>
      </c>
      <c r="F104" s="37">
        <f t="shared" si="54"/>
        <v>0</v>
      </c>
      <c r="G104" s="37">
        <f t="shared" si="55"/>
        <v>0</v>
      </c>
      <c r="H104" s="37">
        <f t="shared" si="56"/>
        <v>0</v>
      </c>
      <c r="I104" s="37">
        <f t="shared" si="57"/>
        <v>0</v>
      </c>
      <c r="J104" s="37">
        <f t="shared" si="58"/>
        <v>0</v>
      </c>
      <c r="K104" s="37">
        <f>IF($A104&gt;LastT,0,J104*Policy_Sched!$C104*Policy_Sched!$D104*C104)</f>
        <v>0</v>
      </c>
      <c r="L104" s="41">
        <f t="shared" si="59"/>
        <v>0</v>
      </c>
      <c r="M104" s="38">
        <f t="shared" si="60"/>
        <v>0</v>
      </c>
      <c r="N104" s="38">
        <f t="shared" si="61"/>
        <v>0</v>
      </c>
      <c r="O104" s="38">
        <f t="shared" si="62"/>
        <v>0</v>
      </c>
      <c r="P104" s="38">
        <f>Policy_Sched!$I104*(L104+I104)</f>
        <v>0</v>
      </c>
      <c r="Q104" s="42">
        <f t="shared" si="63"/>
        <v>0</v>
      </c>
      <c r="R104" s="38">
        <f t="shared" si="64"/>
        <v>0</v>
      </c>
      <c r="S104" s="38">
        <f t="shared" si="65"/>
        <v>0</v>
      </c>
      <c r="T104" s="38">
        <f>Policy_Sched!$J104*J104</f>
        <v>0</v>
      </c>
      <c r="U104" s="42">
        <f t="shared" si="66"/>
        <v>0</v>
      </c>
      <c r="V104" s="42">
        <f t="shared" si="67"/>
        <v>0</v>
      </c>
      <c r="W104" s="38">
        <f>IF($A104&gt;LastT,0,N104+W105/(1+Policy_Sched!$K104))</f>
        <v>0</v>
      </c>
      <c r="X104" s="38">
        <f>IF($A104&gt;LastT,0,(-Q104+X105)/(1+Policy_Sched!$K104))</f>
        <v>0</v>
      </c>
      <c r="Y104" s="38">
        <f>IF($A104&gt;LastT,0,-V104+Y105/(1+Policy_Sched!$K104))</f>
        <v>0</v>
      </c>
      <c r="Z104" s="42">
        <f t="shared" si="68"/>
        <v>0</v>
      </c>
      <c r="AA104" s="38">
        <f>IF($A104&gt;LastT,0,N104-V104-Q104/(1+Policy_Sched!$K104)+Z105/(1+Policy_Sched!$K104))</f>
        <v>0</v>
      </c>
    </row>
    <row r="105" spans="1:27" x14ac:dyDescent="0.2">
      <c r="A105" s="30">
        <f t="shared" si="69"/>
        <v>98</v>
      </c>
      <c r="B105" s="31">
        <f t="shared" si="70"/>
        <v>0</v>
      </c>
      <c r="C105" s="31">
        <f>IF($A105&gt;LastT,0,IF(AND($D$3&lt;&gt;0,$A105&gt;=T0,Policy_Sched!$B105&lt;LastAge),1+$D$3*$E$3,1))</f>
        <v>0</v>
      </c>
      <c r="D105" s="36">
        <f>IF($A105&gt;LastT,0,IF($C$3="up",MIN(Policy_Sched!$E105*(1+IF($A105&gt;=T0,$E$3,0)),$F$3),IF($C$3="down",MAX(Policy_Sched!$E105*(1-IF($A105&gt;=T0,$E$3,0)),Policy_Sched!$E105-$F$3),Policy_Sched!$E105)))</f>
        <v>0</v>
      </c>
      <c r="E105" s="37">
        <f t="shared" si="71"/>
        <v>0</v>
      </c>
      <c r="F105" s="37">
        <f t="shared" si="54"/>
        <v>0</v>
      </c>
      <c r="G105" s="37">
        <f t="shared" si="55"/>
        <v>0</v>
      </c>
      <c r="H105" s="37">
        <f t="shared" si="56"/>
        <v>0</v>
      </c>
      <c r="I105" s="37">
        <f t="shared" si="57"/>
        <v>0</v>
      </c>
      <c r="J105" s="37">
        <f t="shared" si="58"/>
        <v>0</v>
      </c>
      <c r="K105" s="37">
        <f>IF($A105&gt;LastT,0,J105*Policy_Sched!$C105*Policy_Sched!$D105*C105)</f>
        <v>0</v>
      </c>
      <c r="L105" s="41">
        <f t="shared" si="59"/>
        <v>0</v>
      </c>
      <c r="M105" s="38">
        <f t="shared" si="60"/>
        <v>0</v>
      </c>
      <c r="N105" s="38">
        <f t="shared" si="61"/>
        <v>0</v>
      </c>
      <c r="O105" s="38">
        <f t="shared" si="62"/>
        <v>0</v>
      </c>
      <c r="P105" s="38">
        <f>Policy_Sched!$I105*(L105+I105)</f>
        <v>0</v>
      </c>
      <c r="Q105" s="42">
        <f t="shared" si="63"/>
        <v>0</v>
      </c>
      <c r="R105" s="38">
        <f t="shared" si="64"/>
        <v>0</v>
      </c>
      <c r="S105" s="38">
        <f t="shared" si="65"/>
        <v>0</v>
      </c>
      <c r="T105" s="38">
        <f>Policy_Sched!$J105*J105</f>
        <v>0</v>
      </c>
      <c r="U105" s="42">
        <f t="shared" si="66"/>
        <v>0</v>
      </c>
      <c r="V105" s="42">
        <f t="shared" si="67"/>
        <v>0</v>
      </c>
      <c r="W105" s="38">
        <f>IF($A105&gt;LastT,0,N105+W106/(1+Policy_Sched!$K105))</f>
        <v>0</v>
      </c>
      <c r="X105" s="38">
        <f>IF($A105&gt;LastT,0,(-Q105+X106)/(1+Policy_Sched!$K105))</f>
        <v>0</v>
      </c>
      <c r="Y105" s="38">
        <f>IF($A105&gt;LastT,0,-V105+Y106/(1+Policy_Sched!$K105))</f>
        <v>0</v>
      </c>
      <c r="Z105" s="42">
        <f t="shared" si="68"/>
        <v>0</v>
      </c>
      <c r="AA105" s="38">
        <f>IF($A105&gt;LastT,0,N105-V105-Q105/(1+Policy_Sched!$K105)+Z106/(1+Policy_Sched!$K105))</f>
        <v>0</v>
      </c>
    </row>
    <row r="106" spans="1:27" x14ac:dyDescent="0.2">
      <c r="A106" s="30">
        <f t="shared" si="69"/>
        <v>99</v>
      </c>
      <c r="B106" s="31">
        <f t="shared" si="70"/>
        <v>0</v>
      </c>
      <c r="C106" s="31">
        <f>IF($A106&gt;LastT,0,IF(AND($D$3&lt;&gt;0,$A106&gt;=T0,Policy_Sched!$B106&lt;LastAge),1+$D$3*$E$3,1))</f>
        <v>0</v>
      </c>
      <c r="D106" s="36">
        <f>IF($A106&gt;LastT,0,IF($C$3="up",MIN(Policy_Sched!$E106*(1+IF($A106&gt;=T0,$E$3,0)),$F$3),IF($C$3="down",MAX(Policy_Sched!$E106*(1-IF($A106&gt;=T0,$E$3,0)),Policy_Sched!$E106-$F$3),Policy_Sched!$E106)))</f>
        <v>0</v>
      </c>
      <c r="E106" s="37">
        <f t="shared" si="71"/>
        <v>0</v>
      </c>
      <c r="F106" s="37">
        <f t="shared" si="54"/>
        <v>0</v>
      </c>
      <c r="G106" s="37">
        <f t="shared" si="55"/>
        <v>0</v>
      </c>
      <c r="H106" s="37">
        <f t="shared" si="56"/>
        <v>0</v>
      </c>
      <c r="I106" s="37">
        <f t="shared" si="57"/>
        <v>0</v>
      </c>
      <c r="J106" s="37">
        <f t="shared" si="58"/>
        <v>0</v>
      </c>
      <c r="K106" s="37">
        <f>IF($A106&gt;LastT,0,J106*Policy_Sched!$C106*Policy_Sched!$D106*C106)</f>
        <v>0</v>
      </c>
      <c r="L106" s="41">
        <f t="shared" si="59"/>
        <v>0</v>
      </c>
      <c r="M106" s="38">
        <f t="shared" si="60"/>
        <v>0</v>
      </c>
      <c r="N106" s="38">
        <f t="shared" si="61"/>
        <v>0</v>
      </c>
      <c r="O106" s="38">
        <f t="shared" si="62"/>
        <v>0</v>
      </c>
      <c r="P106" s="38">
        <f>Policy_Sched!$I106*(L106+I106)</f>
        <v>0</v>
      </c>
      <c r="Q106" s="42">
        <f t="shared" si="63"/>
        <v>0</v>
      </c>
      <c r="R106" s="38">
        <f t="shared" si="64"/>
        <v>0</v>
      </c>
      <c r="S106" s="38">
        <f t="shared" si="65"/>
        <v>0</v>
      </c>
      <c r="T106" s="38">
        <f>Policy_Sched!$J106*J106</f>
        <v>0</v>
      </c>
      <c r="U106" s="42">
        <f t="shared" si="66"/>
        <v>0</v>
      </c>
      <c r="V106" s="42">
        <f t="shared" si="67"/>
        <v>0</v>
      </c>
      <c r="W106" s="38">
        <f>IF($A106&gt;LastT,0,N106+W107/(1+Policy_Sched!$K106))</f>
        <v>0</v>
      </c>
      <c r="X106" s="38">
        <f>IF($A106&gt;LastT,0,(-Q106+X107)/(1+Policy_Sched!$K106))</f>
        <v>0</v>
      </c>
      <c r="Y106" s="38">
        <f>IF($A106&gt;LastT,0,-V106+Y107/(1+Policy_Sched!$K106))</f>
        <v>0</v>
      </c>
      <c r="Z106" s="42">
        <f t="shared" si="68"/>
        <v>0</v>
      </c>
      <c r="AA106" s="38">
        <f>IF($A106&gt;LastT,0,N106-V106-Q106/(1+Policy_Sched!$K106)+Z107/(1+Policy_Sched!$K106))</f>
        <v>0</v>
      </c>
    </row>
    <row r="107" spans="1:27" x14ac:dyDescent="0.2">
      <c r="A107" s="30">
        <f t="shared" si="69"/>
        <v>100</v>
      </c>
      <c r="B107" s="31">
        <f t="shared" si="70"/>
        <v>0</v>
      </c>
      <c r="C107" s="31">
        <f>IF($A107&gt;LastT,0,IF(AND($D$3&lt;&gt;0,$A107&gt;=T0,Policy_Sched!$B107&lt;LastAge),1+$D$3*$E$3,1))</f>
        <v>0</v>
      </c>
      <c r="D107" s="36">
        <f>IF($A107&gt;LastT,0,IF($C$3="up",MIN(Policy_Sched!$E107*(1+IF($A107&gt;=T0,$E$3,0)),$F$3),IF($C$3="down",MAX(Policy_Sched!$E107*(1-IF($A107&gt;=T0,$E$3,0)),Policy_Sched!$E107-$F$3),Policy_Sched!$E107)))</f>
        <v>0</v>
      </c>
      <c r="E107" s="37">
        <f t="shared" si="71"/>
        <v>0</v>
      </c>
      <c r="F107" s="37">
        <f t="shared" si="54"/>
        <v>0</v>
      </c>
      <c r="G107" s="37">
        <f t="shared" si="55"/>
        <v>0</v>
      </c>
      <c r="H107" s="37">
        <f t="shared" si="56"/>
        <v>0</v>
      </c>
      <c r="I107" s="37">
        <f t="shared" si="57"/>
        <v>0</v>
      </c>
      <c r="J107" s="37">
        <f t="shared" si="58"/>
        <v>0</v>
      </c>
      <c r="K107" s="37">
        <f>IF($A107&gt;LastT,0,J107*Policy_Sched!$C107*Policy_Sched!$D107*C107)</f>
        <v>0</v>
      </c>
      <c r="L107" s="41">
        <f t="shared" si="59"/>
        <v>0</v>
      </c>
      <c r="M107" s="38">
        <f t="shared" si="60"/>
        <v>0</v>
      </c>
      <c r="N107" s="38">
        <f t="shared" si="61"/>
        <v>0</v>
      </c>
      <c r="O107" s="38">
        <f t="shared" si="62"/>
        <v>0</v>
      </c>
      <c r="P107" s="38">
        <f>Policy_Sched!$I107*(L107+I107)</f>
        <v>0</v>
      </c>
      <c r="Q107" s="42">
        <f t="shared" si="63"/>
        <v>0</v>
      </c>
      <c r="R107" s="38">
        <f t="shared" si="64"/>
        <v>0</v>
      </c>
      <c r="S107" s="38">
        <f t="shared" si="65"/>
        <v>0</v>
      </c>
      <c r="T107" s="38">
        <f>Policy_Sched!$J107*J107</f>
        <v>0</v>
      </c>
      <c r="U107" s="42">
        <f t="shared" si="66"/>
        <v>0</v>
      </c>
      <c r="V107" s="42">
        <f t="shared" si="67"/>
        <v>0</v>
      </c>
      <c r="W107" s="38">
        <f>IF($A107&gt;LastT,0,N107+W108/(1+Policy_Sched!$K107))</f>
        <v>0</v>
      </c>
      <c r="X107" s="38">
        <f>IF($A107&gt;LastT,0,(-Q107+X108)/(1+Policy_Sched!$K107))</f>
        <v>0</v>
      </c>
      <c r="Y107" s="38">
        <f>IF($A107&gt;LastT,0,-V107+Y108/(1+Policy_Sched!$K107))</f>
        <v>0</v>
      </c>
      <c r="Z107" s="42">
        <f t="shared" si="68"/>
        <v>0</v>
      </c>
      <c r="AA107" s="38">
        <f>IF($A107&gt;LastT,0,N107-V107-Q107/(1+Policy_Sched!$K107)+Z108/(1+Policy_Sched!$K107))</f>
        <v>0</v>
      </c>
    </row>
    <row r="108" spans="1:27" x14ac:dyDescent="0.2">
      <c r="A108" s="30">
        <f t="shared" si="69"/>
        <v>101</v>
      </c>
      <c r="B108" s="31">
        <f t="shared" si="70"/>
        <v>0</v>
      </c>
      <c r="C108" s="31">
        <f>IF($A108&gt;LastT,0,IF(AND($D$3&lt;&gt;0,$A108&gt;=T0,Policy_Sched!$B108&lt;LastAge),1+$D$3*$E$3,1))</f>
        <v>0</v>
      </c>
      <c r="D108" s="36">
        <f>IF($A108&gt;LastT,0,IF($C$3="up",MIN(Policy_Sched!$E108*(1+IF($A108&gt;=T0,$E$3,0)),$F$3),IF($C$3="down",MAX(Policy_Sched!$E108*(1-IF($A108&gt;=T0,$E$3,0)),Policy_Sched!$E108-$F$3),Policy_Sched!$E108)))</f>
        <v>0</v>
      </c>
      <c r="E108" s="37">
        <f t="shared" si="71"/>
        <v>0</v>
      </c>
      <c r="F108" s="37">
        <f t="shared" si="54"/>
        <v>0</v>
      </c>
      <c r="G108" s="37">
        <f t="shared" si="55"/>
        <v>0</v>
      </c>
      <c r="H108" s="37">
        <f t="shared" si="56"/>
        <v>0</v>
      </c>
      <c r="I108" s="37">
        <f t="shared" si="57"/>
        <v>0</v>
      </c>
      <c r="J108" s="37">
        <f t="shared" si="58"/>
        <v>0</v>
      </c>
      <c r="K108" s="37">
        <f>IF($A108&gt;LastT,0,J108*Policy_Sched!$C108*Policy_Sched!$D108*C108)</f>
        <v>0</v>
      </c>
      <c r="L108" s="41">
        <f t="shared" si="59"/>
        <v>0</v>
      </c>
      <c r="M108" s="38">
        <f t="shared" si="60"/>
        <v>0</v>
      </c>
      <c r="N108" s="38">
        <f t="shared" si="61"/>
        <v>0</v>
      </c>
      <c r="O108" s="38">
        <f t="shared" si="62"/>
        <v>0</v>
      </c>
      <c r="P108" s="38">
        <f>Policy_Sched!$I108*(L108+I108)</f>
        <v>0</v>
      </c>
      <c r="Q108" s="42">
        <f t="shared" si="63"/>
        <v>0</v>
      </c>
      <c r="R108" s="38">
        <f t="shared" si="64"/>
        <v>0</v>
      </c>
      <c r="S108" s="38">
        <f t="shared" si="65"/>
        <v>0</v>
      </c>
      <c r="T108" s="38">
        <f>Policy_Sched!$J108*J108</f>
        <v>0</v>
      </c>
      <c r="U108" s="42">
        <f t="shared" si="66"/>
        <v>0</v>
      </c>
      <c r="V108" s="42">
        <f t="shared" si="67"/>
        <v>0</v>
      </c>
      <c r="W108" s="38">
        <f>IF($A108&gt;LastT,0,N108+W109/(1+Policy_Sched!$K108))</f>
        <v>0</v>
      </c>
      <c r="X108" s="38">
        <f>IF($A108&gt;LastT,0,(-Q108+X109)/(1+Policy_Sched!$K108))</f>
        <v>0</v>
      </c>
      <c r="Y108" s="38">
        <f>IF($A108&gt;LastT,0,-V108+Y109/(1+Policy_Sched!$K108))</f>
        <v>0</v>
      </c>
      <c r="Z108" s="42">
        <f t="shared" si="68"/>
        <v>0</v>
      </c>
      <c r="AA108" s="38">
        <f>IF($A108&gt;LastT,0,N108-V108-Q108/(1+Policy_Sched!$K108)+Z109/(1+Policy_Sched!$K108))</f>
        <v>0</v>
      </c>
    </row>
    <row r="109" spans="1:27" x14ac:dyDescent="0.2">
      <c r="A109" s="30">
        <f t="shared" si="69"/>
        <v>102</v>
      </c>
      <c r="B109" s="31">
        <f t="shared" si="70"/>
        <v>0</v>
      </c>
      <c r="C109" s="31">
        <f>IF($A109&gt;LastT,0,IF(AND($D$3&lt;&gt;0,$A109&gt;=T0,Policy_Sched!$B109&lt;LastAge),1+$D$3*$E$3,1))</f>
        <v>0</v>
      </c>
      <c r="D109" s="36">
        <f>IF($A109&gt;LastT,0,IF($C$3="up",MIN(Policy_Sched!$E109*(1+IF($A109&gt;=T0,$E$3,0)),$F$3),IF($C$3="down",MAX(Policy_Sched!$E109*(1-IF($A109&gt;=T0,$E$3,0)),Policy_Sched!$E109-$F$3),Policy_Sched!$E109)))</f>
        <v>0</v>
      </c>
      <c r="E109" s="37">
        <f t="shared" si="71"/>
        <v>0</v>
      </c>
      <c r="F109" s="37">
        <f t="shared" si="54"/>
        <v>0</v>
      </c>
      <c r="G109" s="37">
        <f t="shared" si="55"/>
        <v>0</v>
      </c>
      <c r="H109" s="37">
        <f t="shared" si="56"/>
        <v>0</v>
      </c>
      <c r="I109" s="37">
        <f t="shared" si="57"/>
        <v>0</v>
      </c>
      <c r="J109" s="37">
        <f t="shared" si="58"/>
        <v>0</v>
      </c>
      <c r="K109" s="37">
        <f>IF($A109&gt;LastT,0,J109*Policy_Sched!$C109*Policy_Sched!$D109*C109)</f>
        <v>0</v>
      </c>
      <c r="L109" s="41">
        <f t="shared" si="59"/>
        <v>0</v>
      </c>
      <c r="M109" s="38">
        <f t="shared" si="60"/>
        <v>0</v>
      </c>
      <c r="N109" s="38">
        <f t="shared" si="61"/>
        <v>0</v>
      </c>
      <c r="O109" s="38">
        <f t="shared" si="62"/>
        <v>0</v>
      </c>
      <c r="P109" s="38">
        <f>Policy_Sched!$I109*(L109+I109)</f>
        <v>0</v>
      </c>
      <c r="Q109" s="42">
        <f t="shared" si="63"/>
        <v>0</v>
      </c>
      <c r="R109" s="38">
        <f t="shared" si="64"/>
        <v>0</v>
      </c>
      <c r="S109" s="38">
        <f t="shared" si="65"/>
        <v>0</v>
      </c>
      <c r="T109" s="38">
        <f>Policy_Sched!$J109*J109</f>
        <v>0</v>
      </c>
      <c r="U109" s="42">
        <f t="shared" si="66"/>
        <v>0</v>
      </c>
      <c r="V109" s="42">
        <f t="shared" si="67"/>
        <v>0</v>
      </c>
      <c r="W109" s="38">
        <f>IF($A109&gt;LastT,0,N109+W110/(1+Policy_Sched!$K109))</f>
        <v>0</v>
      </c>
      <c r="X109" s="38">
        <f>IF($A109&gt;LastT,0,(-Q109+X110)/(1+Policy_Sched!$K109))</f>
        <v>0</v>
      </c>
      <c r="Y109" s="38">
        <f>IF($A109&gt;LastT,0,-V109+Y110/(1+Policy_Sched!$K109))</f>
        <v>0</v>
      </c>
      <c r="Z109" s="42">
        <f t="shared" si="68"/>
        <v>0</v>
      </c>
      <c r="AA109" s="38">
        <f>IF($A109&gt;LastT,0,N109-V109-Q109/(1+Policy_Sched!$K109)+Z110/(1+Policy_Sched!$K109))</f>
        <v>0</v>
      </c>
    </row>
    <row r="110" spans="1:27" x14ac:dyDescent="0.2">
      <c r="A110" s="30">
        <f t="shared" si="69"/>
        <v>103</v>
      </c>
      <c r="B110" s="31">
        <f t="shared" si="70"/>
        <v>0</v>
      </c>
      <c r="C110" s="31">
        <f>IF($A110&gt;LastT,0,IF(AND($D$3&lt;&gt;0,$A110&gt;=T0,Policy_Sched!$B110&lt;LastAge),1+$D$3*$E$3,1))</f>
        <v>0</v>
      </c>
      <c r="D110" s="36">
        <f>IF($A110&gt;LastT,0,IF($C$3="up",MIN(Policy_Sched!$E110*(1+IF($A110&gt;=T0,$E$3,0)),$F$3),IF($C$3="down",MAX(Policy_Sched!$E110*(1-IF($A110&gt;=T0,$E$3,0)),Policy_Sched!$E110-$F$3),Policy_Sched!$E110)))</f>
        <v>0</v>
      </c>
      <c r="E110" s="37">
        <f t="shared" si="71"/>
        <v>0</v>
      </c>
      <c r="F110" s="37">
        <f t="shared" si="54"/>
        <v>0</v>
      </c>
      <c r="G110" s="37">
        <f t="shared" si="55"/>
        <v>0</v>
      </c>
      <c r="H110" s="37">
        <f t="shared" si="56"/>
        <v>0</v>
      </c>
      <c r="I110" s="37">
        <f t="shared" si="57"/>
        <v>0</v>
      </c>
      <c r="J110" s="37">
        <f t="shared" si="58"/>
        <v>0</v>
      </c>
      <c r="K110" s="37">
        <f>IF($A110&gt;LastT,0,J110*Policy_Sched!$C110*Policy_Sched!$D110*C110)</f>
        <v>0</v>
      </c>
      <c r="L110" s="41">
        <f t="shared" si="59"/>
        <v>0</v>
      </c>
      <c r="M110" s="38">
        <f t="shared" si="60"/>
        <v>0</v>
      </c>
      <c r="N110" s="38">
        <f t="shared" si="61"/>
        <v>0</v>
      </c>
      <c r="O110" s="38">
        <f t="shared" si="62"/>
        <v>0</v>
      </c>
      <c r="P110" s="38">
        <f>Policy_Sched!$I110*(L110+I110)</f>
        <v>0</v>
      </c>
      <c r="Q110" s="42">
        <f t="shared" si="63"/>
        <v>0</v>
      </c>
      <c r="R110" s="38">
        <f t="shared" si="64"/>
        <v>0</v>
      </c>
      <c r="S110" s="38">
        <f t="shared" si="65"/>
        <v>0</v>
      </c>
      <c r="T110" s="38">
        <f>Policy_Sched!$J110*J110</f>
        <v>0</v>
      </c>
      <c r="U110" s="42">
        <f t="shared" si="66"/>
        <v>0</v>
      </c>
      <c r="V110" s="42">
        <f t="shared" si="67"/>
        <v>0</v>
      </c>
      <c r="W110" s="38">
        <f>IF($A110&gt;LastT,0,N110+W111/(1+Policy_Sched!$K110))</f>
        <v>0</v>
      </c>
      <c r="X110" s="38">
        <f>IF($A110&gt;LastT,0,(-Q110+X111)/(1+Policy_Sched!$K110))</f>
        <v>0</v>
      </c>
      <c r="Y110" s="38">
        <f>IF($A110&gt;LastT,0,-V110+Y111/(1+Policy_Sched!$K110))</f>
        <v>0</v>
      </c>
      <c r="Z110" s="42">
        <f t="shared" si="68"/>
        <v>0</v>
      </c>
      <c r="AA110" s="38">
        <f>IF($A110&gt;LastT,0,N110-V110-Q110/(1+Policy_Sched!$K110)+Z111/(1+Policy_Sched!$K110))</f>
        <v>0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AA110"/>
  <sheetViews>
    <sheetView workbookViewId="0">
      <pane xSplit="1" ySplit="6" topLeftCell="B7" activePane="bottomRight" state="frozen"/>
      <selection pane="topRight"/>
      <selection pane="bottomLeft"/>
      <selection pane="bottomRight"/>
    </sheetView>
  </sheetViews>
  <sheetFormatPr baseColWidth="10" defaultColWidth="8.83203125" defaultRowHeight="15" x14ac:dyDescent="0.2"/>
  <cols>
    <col min="1" max="1" width="5" customWidth="1"/>
    <col min="2" max="2" width="10" customWidth="1"/>
    <col min="3" max="5" width="11" customWidth="1"/>
    <col min="6" max="6" width="10" customWidth="1"/>
    <col min="7" max="7" width="11" customWidth="1"/>
    <col min="8" max="9" width="10" customWidth="1"/>
    <col min="10" max="13" width="11" customWidth="1"/>
    <col min="14" max="17" width="12" customWidth="1"/>
    <col min="18" max="21" width="11" customWidth="1"/>
    <col min="22" max="22" width="12" customWidth="1"/>
    <col min="23" max="27" width="13" customWidth="1"/>
  </cols>
  <sheetData>
    <row r="1" spans="1:27" x14ac:dyDescent="0.2">
      <c r="A1" s="3" t="s">
        <v>393</v>
      </c>
    </row>
    <row r="2" spans="1:27" x14ac:dyDescent="0.2">
      <c r="B2" s="39" t="s">
        <v>334</v>
      </c>
      <c r="C2" s="39" t="s">
        <v>335</v>
      </c>
      <c r="D2" s="39" t="s">
        <v>336</v>
      </c>
      <c r="E2" s="39" t="s">
        <v>337</v>
      </c>
      <c r="F2" s="39" t="s">
        <v>338</v>
      </c>
      <c r="G2" s="39" t="s">
        <v>339</v>
      </c>
    </row>
    <row r="3" spans="1:27" x14ac:dyDescent="0.2">
      <c r="B3" s="7" t="s">
        <v>394</v>
      </c>
      <c r="C3" s="7"/>
      <c r="D3" s="7">
        <v>1</v>
      </c>
      <c r="E3" s="34">
        <f>IFERROR(INDEX(FactorVals,MATCH($B$3&amp;"|"&amp;$C$3&amp;"||",FactorKeys,0)),0)</f>
        <v>0.15</v>
      </c>
      <c r="F3" s="34">
        <f>IFERROR(INDEX(FactorVals,MATCH($B$3&amp;"|"&amp;$C$3&amp;"||limit",FactorKeys,0)),0)</f>
        <v>0</v>
      </c>
      <c r="G3" s="34">
        <f>IFERROR(INDEX(FactorVals,MATCH($B$3&amp;"|||inflation",FactorKeys,0)),0)</f>
        <v>0</v>
      </c>
    </row>
    <row r="4" spans="1:27" x14ac:dyDescent="0.2">
      <c r="B4" s="14" t="s">
        <v>334</v>
      </c>
      <c r="C4" s="14" t="s">
        <v>335</v>
      </c>
      <c r="E4" s="14" t="s">
        <v>341</v>
      </c>
    </row>
    <row r="5" spans="1:27" x14ac:dyDescent="0.2">
      <c r="A5" s="10" t="s">
        <v>185</v>
      </c>
      <c r="B5" s="10" t="s">
        <v>342</v>
      </c>
      <c r="C5" s="10" t="s">
        <v>343</v>
      </c>
      <c r="D5" s="10" t="s">
        <v>344</v>
      </c>
      <c r="E5" s="10" t="s">
        <v>345</v>
      </c>
      <c r="F5" s="10" t="s">
        <v>346</v>
      </c>
      <c r="G5" s="10" t="s">
        <v>347</v>
      </c>
      <c r="H5" s="10" t="s">
        <v>348</v>
      </c>
      <c r="I5" s="10" t="s">
        <v>349</v>
      </c>
      <c r="J5" s="10" t="s">
        <v>350</v>
      </c>
      <c r="K5" s="10" t="s">
        <v>351</v>
      </c>
      <c r="L5" s="10" t="s">
        <v>352</v>
      </c>
      <c r="M5" s="10" t="s">
        <v>353</v>
      </c>
      <c r="N5" s="10" t="s">
        <v>354</v>
      </c>
      <c r="O5" s="10" t="s">
        <v>355</v>
      </c>
      <c r="P5" s="10" t="s">
        <v>356</v>
      </c>
      <c r="Q5" s="10" t="s">
        <v>357</v>
      </c>
      <c r="R5" s="10" t="s">
        <v>358</v>
      </c>
      <c r="S5" s="10" t="s">
        <v>359</v>
      </c>
      <c r="T5" s="10" t="s">
        <v>360</v>
      </c>
      <c r="U5" s="10" t="s">
        <v>361</v>
      </c>
      <c r="V5" s="10" t="s">
        <v>362</v>
      </c>
      <c r="W5" s="10" t="s">
        <v>363</v>
      </c>
      <c r="X5" s="10" t="s">
        <v>364</v>
      </c>
      <c r="Y5" s="10" t="s">
        <v>365</v>
      </c>
      <c r="Z5" s="10" t="s">
        <v>366</v>
      </c>
      <c r="AA5" s="10" t="s">
        <v>367</v>
      </c>
    </row>
    <row r="6" spans="1:27" x14ac:dyDescent="0.2">
      <c r="A6" s="14" t="s">
        <v>185</v>
      </c>
      <c r="B6" s="14" t="s">
        <v>368</v>
      </c>
      <c r="C6" s="14" t="s">
        <v>369</v>
      </c>
      <c r="D6" s="14" t="s">
        <v>327</v>
      </c>
      <c r="E6" s="14" t="s">
        <v>370</v>
      </c>
      <c r="F6" s="14" t="s">
        <v>371</v>
      </c>
      <c r="G6" s="14" t="s">
        <v>372</v>
      </c>
      <c r="H6" s="14" t="s">
        <v>373</v>
      </c>
      <c r="I6" s="14" t="s">
        <v>374</v>
      </c>
      <c r="J6" s="14" t="s">
        <v>375</v>
      </c>
      <c r="K6" s="14" t="s">
        <v>376</v>
      </c>
      <c r="L6" s="14" t="s">
        <v>377</v>
      </c>
      <c r="M6" s="14" t="s">
        <v>378</v>
      </c>
      <c r="N6" s="14" t="s">
        <v>379</v>
      </c>
      <c r="O6" s="14" t="s">
        <v>380</v>
      </c>
      <c r="P6" s="14" t="s">
        <v>381</v>
      </c>
      <c r="Q6" s="14" t="s">
        <v>382</v>
      </c>
      <c r="R6" s="14" t="s">
        <v>383</v>
      </c>
      <c r="S6" s="14" t="s">
        <v>384</v>
      </c>
      <c r="T6" s="14" t="s">
        <v>385</v>
      </c>
      <c r="U6" s="14" t="s">
        <v>386</v>
      </c>
      <c r="V6" s="14" t="s">
        <v>387</v>
      </c>
      <c r="W6" s="14" t="s">
        <v>388</v>
      </c>
      <c r="X6" s="14" t="s">
        <v>389</v>
      </c>
      <c r="Y6" s="14" t="s">
        <v>390</v>
      </c>
      <c r="Z6" s="14" t="s">
        <v>391</v>
      </c>
      <c r="AA6" s="14" t="s">
        <v>392</v>
      </c>
    </row>
    <row r="7" spans="1:27" x14ac:dyDescent="0.2">
      <c r="A7" s="30">
        <v>0</v>
      </c>
      <c r="B7" s="40">
        <f>1</f>
        <v>1</v>
      </c>
      <c r="C7" s="31">
        <f>IF($A7&gt;LastT,0,IF(AND($D$3&lt;&gt;0,$A7&gt;=T0,Policy_Sched!$B7&lt;LastAge),1+$D$3*$E$3,1))</f>
        <v>1.1499999999999999</v>
      </c>
      <c r="D7" s="36">
        <f>IF($A7&gt;LastT,0,IF($C$3="up",MIN(Policy_Sched!$E7*(1+IF($A7&gt;=T0,$E$3,0)),$F$3),IF($C$3="down",MAX(Policy_Sched!$E7*(1-IF($A7&gt;=T0,$E$3,0)),Policy_Sched!$E7-$F$3),Policy_Sched!$E7)))</f>
        <v>0.08</v>
      </c>
      <c r="E7" s="41">
        <f>0</f>
        <v>0</v>
      </c>
      <c r="F7" s="37">
        <f t="shared" ref="F7:F38" si="0">IF($A7&gt;LastT,0,IF($A7=PolicyTerm,E7,0))</f>
        <v>0</v>
      </c>
      <c r="G7" s="37">
        <f t="shared" ref="G7:G38" si="1">IF($A7&gt;LastT,0,E7-F7)</f>
        <v>0</v>
      </c>
      <c r="H7" s="37">
        <f t="shared" ref="H7:H38" si="2">IF($A7=0,PolicyCount,0)</f>
        <v>1</v>
      </c>
      <c r="I7" s="37">
        <f t="shared" ref="I7:I38" si="3">IF($A7&gt;LastT,0,IF(AND($C$3="mass",$A7=T0),(G7+H7)*$E$3,0))</f>
        <v>0</v>
      </c>
      <c r="J7" s="37">
        <f t="shared" ref="J7:J38" si="4">IF($A7&gt;LastT,0,G7+H7-I7)</f>
        <v>1</v>
      </c>
      <c r="K7" s="37">
        <f>IF($A7&gt;LastT,0,J7*Policy_Sched!$C7*Policy_Sched!$D7*C7)</f>
        <v>6.1984999999999991E-4</v>
      </c>
      <c r="L7" s="41">
        <f t="shared" ref="L7:L38" si="5">J7*D7</f>
        <v>0.08</v>
      </c>
      <c r="M7" s="38">
        <f t="shared" ref="M7:M38" si="6">IF($A7&gt;LastT,0,(SizeAnnPrem*ExpsMaintAnnPrem+(SumAssured*ExpsMaintSA+ExpsMaintPol)*B7)*(1+IF($B$3="exps",$E$3,0)))</f>
        <v>1035.7416990934148</v>
      </c>
      <c r="N7" s="38">
        <f t="shared" ref="N7:N38" si="7">SizePremium*J7</f>
        <v>3574.1699093414809</v>
      </c>
      <c r="O7" s="38">
        <f t="shared" ref="O7:O38" si="8">SumAssured*K7</f>
        <v>619.84999999999991</v>
      </c>
      <c r="P7" s="38">
        <f>Policy_Sched!$I7*(L7+I7)</f>
        <v>17.898776561204809</v>
      </c>
      <c r="Q7" s="42">
        <f t="shared" ref="Q7:Q38" si="9">O7+P7</f>
        <v>637.74877656120475</v>
      </c>
      <c r="R7" s="38">
        <f t="shared" ref="R7:R38" si="10">IF($A7=0,SizeExpsAcq0*H7,0)</f>
        <v>3357.4169909341481</v>
      </c>
      <c r="S7" s="38">
        <f t="shared" ref="S7:S38" si="11">IF($A7=0,SizeExpsCommInit0*J7,0)</f>
        <v>714.83398186829618</v>
      </c>
      <c r="T7" s="38">
        <f>Policy_Sched!$J7*J7</f>
        <v>0</v>
      </c>
      <c r="U7" s="42">
        <f t="shared" ref="U7:U38" si="12">M7*J7</f>
        <v>1035.7416990934148</v>
      </c>
      <c r="V7" s="42">
        <f t="shared" ref="V7:V38" si="13">S7+T7+R7+U7</f>
        <v>5107.9926718958595</v>
      </c>
      <c r="W7" s="38">
        <f>IF($A7&gt;LastT,0,N7+W8/(1+Policy_Sched!$K7))</f>
        <v>29311.028924270235</v>
      </c>
      <c r="X7" s="38">
        <f>IF($A7&gt;LastT,0,(-Q7+X8)/(1+Policy_Sched!$K7))</f>
        <v>-8175.7019340985044</v>
      </c>
      <c r="Y7" s="38">
        <f>IF($A7&gt;LastT,0,-V7+Y8/(1+Policy_Sched!$K7))</f>
        <v>-13127.702710364658</v>
      </c>
      <c r="Z7" s="42">
        <f t="shared" ref="Z7:Z38" si="14">W7+Y7+X7</f>
        <v>8007.6242798070725</v>
      </c>
      <c r="AA7" s="38">
        <f>IF($A7&gt;LastT,0,N7-V7-Q7/(1+Policy_Sched!$K7)+Z8/(1+Policy_Sched!$K7))</f>
        <v>8007.6242798070707</v>
      </c>
    </row>
    <row r="8" spans="1:27" x14ac:dyDescent="0.2">
      <c r="A8" s="30">
        <f t="shared" ref="A8:A39" si="15">A7+1</f>
        <v>1</v>
      </c>
      <c r="B8" s="31">
        <f t="shared" ref="B8:B39" si="16">IF($A8&gt;LastT,0,IF($B$3="exps",B7*(1+InflRate+IF($A8&gt;=T0,$G$3,0)),B7/(1+InflRate)))</f>
        <v>1</v>
      </c>
      <c r="C8" s="31">
        <f>IF($A8&gt;LastT,0,IF(AND($D$3&lt;&gt;0,$A8&gt;=T0,Policy_Sched!$B8&lt;LastAge),1+$D$3*$E$3,1))</f>
        <v>1.1499999999999999</v>
      </c>
      <c r="D8" s="36">
        <f>IF($A8&gt;LastT,0,IF($C$3="up",MIN(Policy_Sched!$E8*(1+IF($A8&gt;=T0,$E$3,0)),$F$3),IF($C$3="down",MAX(Policy_Sched!$E8*(1-IF($A8&gt;=T0,$E$3,0)),Policy_Sched!$E8-$F$3),Policy_Sched!$E8)))</f>
        <v>0.08</v>
      </c>
      <c r="E8" s="37">
        <f t="shared" ref="E8:E39" si="17">IF($A8&gt;LastT,0,J7-K7-L7)</f>
        <v>0.91938015000000006</v>
      </c>
      <c r="F8" s="37">
        <f t="shared" si="0"/>
        <v>0</v>
      </c>
      <c r="G8" s="37">
        <f t="shared" si="1"/>
        <v>0.91938015000000006</v>
      </c>
      <c r="H8" s="37">
        <f t="shared" si="2"/>
        <v>0</v>
      </c>
      <c r="I8" s="37">
        <f t="shared" si="3"/>
        <v>0</v>
      </c>
      <c r="J8" s="37">
        <f t="shared" si="4"/>
        <v>0.91938015000000006</v>
      </c>
      <c r="K8" s="37">
        <f>IF($A8&gt;LastT,0,J8*Policy_Sched!$C8*Policy_Sched!$D8*C8)</f>
        <v>6.0688283701500006E-4</v>
      </c>
      <c r="L8" s="41">
        <f t="shared" si="5"/>
        <v>7.3550412000000009E-2</v>
      </c>
      <c r="M8" s="38">
        <f t="shared" si="6"/>
        <v>1035.7416990934148</v>
      </c>
      <c r="N8" s="38">
        <f t="shared" si="7"/>
        <v>3286.0208673758575</v>
      </c>
      <c r="O8" s="38">
        <f t="shared" si="8"/>
        <v>606.88283701500006</v>
      </c>
      <c r="P8" s="38">
        <f>Policy_Sched!$I8*(L8+I8)</f>
        <v>48.008077078666425</v>
      </c>
      <c r="Q8" s="42">
        <f t="shared" si="9"/>
        <v>654.89091409366654</v>
      </c>
      <c r="R8" s="38">
        <f t="shared" si="10"/>
        <v>0</v>
      </c>
      <c r="S8" s="38">
        <f t="shared" si="11"/>
        <v>0</v>
      </c>
      <c r="T8" s="38">
        <f>Policy_Sched!$J8*J8</f>
        <v>164.30104336879288</v>
      </c>
      <c r="U8" s="42">
        <f t="shared" si="12"/>
        <v>952.24035867375869</v>
      </c>
      <c r="V8" s="42">
        <f t="shared" si="13"/>
        <v>1116.5414020425515</v>
      </c>
      <c r="W8" s="38">
        <f>IF($A8&gt;LastT,0,N8+W9/(1+Policy_Sched!$K8))</f>
        <v>26122.911900152681</v>
      </c>
      <c r="X8" s="38">
        <f>IF($A8&gt;LastT,0,(-Q8+X9)/(1+Policy_Sched!$K8))</f>
        <v>-7660.5886865487764</v>
      </c>
      <c r="Y8" s="38">
        <f>IF($A8&gt;LastT,0,-V8+Y9/(1+Policy_Sched!$K8))</f>
        <v>-8140.0056890458291</v>
      </c>
      <c r="Z8" s="42">
        <f t="shared" si="14"/>
        <v>10322.317524558075</v>
      </c>
      <c r="AA8" s="38">
        <f>IF($A8&gt;LastT,0,N8-V8-Q8/(1+Policy_Sched!$K8)+Z9/(1+Policy_Sched!$K8))</f>
        <v>10322.317524558075</v>
      </c>
    </row>
    <row r="9" spans="1:27" x14ac:dyDescent="0.2">
      <c r="A9" s="30">
        <f t="shared" si="15"/>
        <v>2</v>
      </c>
      <c r="B9" s="31">
        <f t="shared" si="16"/>
        <v>1</v>
      </c>
      <c r="C9" s="31">
        <f>IF($A9&gt;LastT,0,IF(AND($D$3&lt;&gt;0,$A9&gt;=T0,Policy_Sched!$B9&lt;LastAge),1+$D$3*$E$3,1))</f>
        <v>1.1499999999999999</v>
      </c>
      <c r="D9" s="36">
        <f>IF($A9&gt;LastT,0,IF($C$3="up",MIN(Policy_Sched!$E9*(1+IF($A9&gt;=T0,$E$3,0)),$F$3),IF($C$3="down",MAX(Policy_Sched!$E9*(1-IF($A9&gt;=T0,$E$3,0)),Policy_Sched!$E9-$F$3),Policy_Sched!$E9)))</f>
        <v>0.08</v>
      </c>
      <c r="E9" s="37">
        <f t="shared" si="17"/>
        <v>0.84522285516298501</v>
      </c>
      <c r="F9" s="37">
        <f t="shared" si="0"/>
        <v>0</v>
      </c>
      <c r="G9" s="37">
        <f t="shared" si="1"/>
        <v>0.84522285516298501</v>
      </c>
      <c r="H9" s="37">
        <f t="shared" si="2"/>
        <v>0</v>
      </c>
      <c r="I9" s="37">
        <f t="shared" si="3"/>
        <v>0</v>
      </c>
      <c r="J9" s="37">
        <f t="shared" si="4"/>
        <v>0.84522285516298501</v>
      </c>
      <c r="K9" s="37">
        <f>IF($A9&gt;LastT,0,J9*Policy_Sched!$C9*Policy_Sched!$D9*C9)</f>
        <v>5.9875587059745846E-4</v>
      </c>
      <c r="L9" s="41">
        <f t="shared" si="5"/>
        <v>6.7617828413038802E-2</v>
      </c>
      <c r="M9" s="38">
        <f t="shared" si="6"/>
        <v>1035.7416990934148</v>
      </c>
      <c r="N9" s="38">
        <f t="shared" si="7"/>
        <v>3020.9700956112338</v>
      </c>
      <c r="O9" s="38">
        <f t="shared" si="8"/>
        <v>598.75587059745851</v>
      </c>
      <c r="P9" s="38">
        <f>Policy_Sched!$I9*(L9+I9)</f>
        <v>70.263548659568045</v>
      </c>
      <c r="Q9" s="42">
        <f t="shared" si="9"/>
        <v>669.01941925702658</v>
      </c>
      <c r="R9" s="38">
        <f t="shared" si="10"/>
        <v>0</v>
      </c>
      <c r="S9" s="38">
        <f t="shared" si="11"/>
        <v>0</v>
      </c>
      <c r="T9" s="38">
        <f>Policy_Sched!$J9*J9</f>
        <v>151.0485047805617</v>
      </c>
      <c r="U9" s="42">
        <f t="shared" si="12"/>
        <v>875.4325561190974</v>
      </c>
      <c r="V9" s="42">
        <f t="shared" si="13"/>
        <v>1026.481060899659</v>
      </c>
      <c r="W9" s="38">
        <f>IF($A9&gt;LastT,0,N9+W10/(1+Policy_Sched!$K9))</f>
        <v>23179.444398268475</v>
      </c>
      <c r="X9" s="38">
        <f>IF($A9&gt;LastT,0,(-Q9+X10)/(1+Policy_Sched!$K9))</f>
        <v>-7120.6066027533407</v>
      </c>
      <c r="Y9" s="38">
        <f>IF($A9&gt;LastT,0,-V9+Y10/(1+Policy_Sched!$K9))</f>
        <v>-7128.8162513083262</v>
      </c>
      <c r="Z9" s="42">
        <f t="shared" si="14"/>
        <v>8930.0215442068074</v>
      </c>
      <c r="AA9" s="38">
        <f>IF($A9&gt;LastT,0,N9-V9-Q9/(1+Policy_Sched!$K9)+Z10/(1+Policy_Sched!$K9))</f>
        <v>8930.0215442068093</v>
      </c>
    </row>
    <row r="10" spans="1:27" x14ac:dyDescent="0.2">
      <c r="A10" s="30">
        <f t="shared" si="15"/>
        <v>3</v>
      </c>
      <c r="B10" s="31">
        <f t="shared" si="16"/>
        <v>1</v>
      </c>
      <c r="C10" s="31">
        <f>IF($A10&gt;LastT,0,IF(AND($D$3&lt;&gt;0,$A10&gt;=T0,Policy_Sched!$B10&lt;LastAge),1+$D$3*$E$3,1))</f>
        <v>1.1499999999999999</v>
      </c>
      <c r="D10" s="36">
        <f>IF($A10&gt;LastT,0,IF($C$3="up",MIN(Policy_Sched!$E10*(1+IF($A10&gt;=T0,$E$3,0)),$F$3),IF($C$3="down",MAX(Policy_Sched!$E10*(1-IF($A10&gt;=T0,$E$3,0)),Policy_Sched!$E10-$F$3),Policy_Sched!$E10)))</f>
        <v>0.08</v>
      </c>
      <c r="E10" s="37">
        <f t="shared" si="17"/>
        <v>0.77700627087934881</v>
      </c>
      <c r="F10" s="37">
        <f t="shared" si="0"/>
        <v>0</v>
      </c>
      <c r="G10" s="37">
        <f t="shared" si="1"/>
        <v>0.77700627087934881</v>
      </c>
      <c r="H10" s="37">
        <f t="shared" si="2"/>
        <v>0</v>
      </c>
      <c r="I10" s="37">
        <f t="shared" si="3"/>
        <v>0</v>
      </c>
      <c r="J10" s="37">
        <f t="shared" si="4"/>
        <v>0.77700627087934881</v>
      </c>
      <c r="K10" s="37">
        <f>IF($A10&gt;LastT,0,J10*Policy_Sched!$C10*Policy_Sched!$D10*C10)</f>
        <v>5.7545084421324567E-4</v>
      </c>
      <c r="L10" s="41">
        <f t="shared" si="5"/>
        <v>6.2160501670347909E-2</v>
      </c>
      <c r="M10" s="38">
        <f t="shared" si="6"/>
        <v>1035.7416990934148</v>
      </c>
      <c r="N10" s="38">
        <f t="shared" si="7"/>
        <v>2777.1524327466045</v>
      </c>
      <c r="O10" s="38">
        <f t="shared" si="8"/>
        <v>575.45084421324566</v>
      </c>
      <c r="P10" s="38">
        <f>Policy_Sched!$I10*(L10+I10)</f>
        <v>86.200581527813569</v>
      </c>
      <c r="Q10" s="42">
        <f t="shared" si="9"/>
        <v>661.65142574105926</v>
      </c>
      <c r="R10" s="38">
        <f t="shared" si="10"/>
        <v>0</v>
      </c>
      <c r="S10" s="38">
        <f t="shared" si="11"/>
        <v>0</v>
      </c>
      <c r="T10" s="38">
        <f>Policy_Sched!$J10*J10</f>
        <v>138.85762163733023</v>
      </c>
      <c r="U10" s="42">
        <f t="shared" si="12"/>
        <v>804.77779520681486</v>
      </c>
      <c r="V10" s="42">
        <f t="shared" si="13"/>
        <v>943.63541684414508</v>
      </c>
      <c r="W10" s="38">
        <f>IF($A10&gt;LastT,0,N10+W11/(1+Policy_Sched!$K10))</f>
        <v>20460.8514171971</v>
      </c>
      <c r="X10" s="38">
        <f>IF($A10&gt;LastT,0,(-Q10+X11)/(1+Policy_Sched!$K10))</f>
        <v>-6558.3962825376138</v>
      </c>
      <c r="Y10" s="38">
        <f>IF($A10&gt;LastT,0,-V10+Y11/(1+Policy_Sched!$K10))</f>
        <v>-6193.8702182647967</v>
      </c>
      <c r="Z10" s="42">
        <f t="shared" si="14"/>
        <v>7708.5849163946887</v>
      </c>
      <c r="AA10" s="38">
        <f>IF($A10&gt;LastT,0,N10-V10-Q10/(1+Policy_Sched!$K10)+Z11/(1+Policy_Sched!$K10))</f>
        <v>7708.5849163946905</v>
      </c>
    </row>
    <row r="11" spans="1:27" x14ac:dyDescent="0.2">
      <c r="A11" s="30">
        <f t="shared" si="15"/>
        <v>4</v>
      </c>
      <c r="B11" s="31">
        <f t="shared" si="16"/>
        <v>1</v>
      </c>
      <c r="C11" s="31">
        <f>IF($A11&gt;LastT,0,IF(AND($D$3&lt;&gt;0,$A11&gt;=T0,Policy_Sched!$B11&lt;LastAge),1+$D$3*$E$3,1))</f>
        <v>1.1499999999999999</v>
      </c>
      <c r="D11" s="36">
        <f>IF($A11&gt;LastT,0,IF($C$3="up",MIN(Policy_Sched!$E11*(1+IF($A11&gt;=T0,$E$3,0)),$F$3),IF($C$3="down",MAX(Policy_Sched!$E11*(1-IF($A11&gt;=T0,$E$3,0)),Policy_Sched!$E11-$F$3),Policy_Sched!$E11)))</f>
        <v>0.08</v>
      </c>
      <c r="E11" s="37">
        <f t="shared" si="17"/>
        <v>0.7142703183647876</v>
      </c>
      <c r="F11" s="37">
        <f t="shared" si="0"/>
        <v>0</v>
      </c>
      <c r="G11" s="37">
        <f t="shared" si="1"/>
        <v>0.7142703183647876</v>
      </c>
      <c r="H11" s="37">
        <f t="shared" si="2"/>
        <v>0</v>
      </c>
      <c r="I11" s="37">
        <f t="shared" si="3"/>
        <v>0</v>
      </c>
      <c r="J11" s="37">
        <f t="shared" si="4"/>
        <v>0.7142703183647876</v>
      </c>
      <c r="K11" s="37">
        <f>IF($A11&gt;LastT,0,J11*Policy_Sched!$C11*Policy_Sched!$D11*C11)</f>
        <v>5.4623822596947121E-4</v>
      </c>
      <c r="L11" s="41">
        <f t="shared" si="5"/>
        <v>5.7141625469183006E-2</v>
      </c>
      <c r="M11" s="38">
        <f t="shared" si="6"/>
        <v>1035.7416990934148</v>
      </c>
      <c r="N11" s="38">
        <f t="shared" si="7"/>
        <v>2552.9234790351834</v>
      </c>
      <c r="O11" s="38">
        <f t="shared" si="8"/>
        <v>546.23822596947116</v>
      </c>
      <c r="P11" s="38">
        <f>Policy_Sched!$I11*(L11+I11)</f>
        <v>97.690082771457384</v>
      </c>
      <c r="Q11" s="42">
        <f t="shared" si="9"/>
        <v>643.92830874092851</v>
      </c>
      <c r="R11" s="38">
        <f t="shared" si="10"/>
        <v>0</v>
      </c>
      <c r="S11" s="38">
        <f t="shared" si="11"/>
        <v>0</v>
      </c>
      <c r="T11" s="38">
        <f>Policy_Sched!$J11*J11</f>
        <v>127.64617395175918</v>
      </c>
      <c r="U11" s="42">
        <f t="shared" si="12"/>
        <v>739.79955315513939</v>
      </c>
      <c r="V11" s="42">
        <f t="shared" si="13"/>
        <v>867.44572710689863</v>
      </c>
      <c r="W11" s="38">
        <f>IF($A11&gt;LastT,0,N11+W12/(1+Policy_Sched!$K11))</f>
        <v>17948.954469217253</v>
      </c>
      <c r="X11" s="38">
        <f>IF($A11&gt;LastT,0,(-Q11+X12)/(1+Policy_Sched!$K11))</f>
        <v>-5995.1208010346181</v>
      </c>
      <c r="Y11" s="38">
        <f>IF($A11&gt;LastT,0,-V11+Y12/(1+Policy_Sched!$K11))</f>
        <v>-5328.9883234419613</v>
      </c>
      <c r="Z11" s="42">
        <f t="shared" si="14"/>
        <v>6624.8453447406737</v>
      </c>
      <c r="AA11" s="38">
        <f>IF($A11&gt;LastT,0,N11-V11-Q11/(1+Policy_Sched!$K11)+Z12/(1+Policy_Sched!$K11))</f>
        <v>6624.8453447406737</v>
      </c>
    </row>
    <row r="12" spans="1:27" x14ac:dyDescent="0.2">
      <c r="A12" s="30">
        <f t="shared" si="15"/>
        <v>5</v>
      </c>
      <c r="B12" s="31">
        <f t="shared" si="16"/>
        <v>1</v>
      </c>
      <c r="C12" s="31">
        <f>IF($A12&gt;LastT,0,IF(AND($D$3&lt;&gt;0,$A12&gt;=T0,Policy_Sched!$B12&lt;LastAge),1+$D$3*$E$3,1))</f>
        <v>1.1499999999999999</v>
      </c>
      <c r="D12" s="36">
        <f>IF($A12&gt;LastT,0,IF($C$3="up",MIN(Policy_Sched!$E12*(1+IF($A12&gt;=T0,$E$3,0)),$F$3),IF($C$3="down",MAX(Policy_Sched!$E12*(1-IF($A12&gt;=T0,$E$3,0)),Policy_Sched!$E12-$F$3),Policy_Sched!$E12)))</f>
        <v>0.08</v>
      </c>
      <c r="E12" s="37">
        <f t="shared" si="17"/>
        <v>0.65658245466963516</v>
      </c>
      <c r="F12" s="37">
        <f t="shared" si="0"/>
        <v>0</v>
      </c>
      <c r="G12" s="37">
        <f t="shared" si="1"/>
        <v>0.65658245466963516</v>
      </c>
      <c r="H12" s="37">
        <f t="shared" si="2"/>
        <v>0</v>
      </c>
      <c r="I12" s="37">
        <f t="shared" si="3"/>
        <v>0</v>
      </c>
      <c r="J12" s="37">
        <f t="shared" si="4"/>
        <v>0.65658245466963516</v>
      </c>
      <c r="K12" s="37">
        <f>IF($A12&gt;LastT,0,J12*Policy_Sched!$C12*Policy_Sched!$D12*C12)</f>
        <v>5.2326338724896569E-4</v>
      </c>
      <c r="L12" s="41">
        <f t="shared" si="5"/>
        <v>5.2526596373570815E-2</v>
      </c>
      <c r="M12" s="38">
        <f t="shared" si="6"/>
        <v>1035.7416990934148</v>
      </c>
      <c r="N12" s="38">
        <f t="shared" si="7"/>
        <v>2346.737252481777</v>
      </c>
      <c r="O12" s="38">
        <f t="shared" si="8"/>
        <v>523.26338724896573</v>
      </c>
      <c r="P12" s="38">
        <f>Policy_Sched!$I12*(L12+I12)</f>
        <v>105.42079152638713</v>
      </c>
      <c r="Q12" s="42">
        <f t="shared" si="9"/>
        <v>628.68417877535285</v>
      </c>
      <c r="R12" s="38">
        <f t="shared" si="10"/>
        <v>0</v>
      </c>
      <c r="S12" s="38">
        <f t="shared" si="11"/>
        <v>0</v>
      </c>
      <c r="T12" s="38">
        <f>Policy_Sched!$J12*J12</f>
        <v>0</v>
      </c>
      <c r="U12" s="42">
        <f t="shared" si="12"/>
        <v>680.04982719445297</v>
      </c>
      <c r="V12" s="42">
        <f t="shared" si="13"/>
        <v>680.04982719445297</v>
      </c>
      <c r="W12" s="38">
        <f>IF($A12&gt;LastT,0,N12+W13/(1+Policy_Sched!$K12))</f>
        <v>15626.971455034798</v>
      </c>
      <c r="X12" s="38">
        <f>IF($A12&gt;LastT,0,(-Q12+X13)/(1+Policy_Sched!$K12))</f>
        <v>-5441.119304309208</v>
      </c>
      <c r="Y12" s="38">
        <f>IF($A12&gt;LastT,0,-V12+Y13/(1+Policy_Sched!$K12))</f>
        <v>-4528.4657352800878</v>
      </c>
      <c r="Z12" s="42">
        <f t="shared" si="14"/>
        <v>5657.3864154455023</v>
      </c>
      <c r="AA12" s="38">
        <f>IF($A12&gt;LastT,0,N12-V12-Q12/(1+Policy_Sched!$K12)+Z13/(1+Policy_Sched!$K12))</f>
        <v>5657.3864154455023</v>
      </c>
    </row>
    <row r="13" spans="1:27" x14ac:dyDescent="0.2">
      <c r="A13" s="30">
        <f t="shared" si="15"/>
        <v>6</v>
      </c>
      <c r="B13" s="31">
        <f t="shared" si="16"/>
        <v>1</v>
      </c>
      <c r="C13" s="31">
        <f>IF($A13&gt;LastT,0,IF(AND($D$3&lt;&gt;0,$A13&gt;=T0,Policy_Sched!$B13&lt;LastAge),1+$D$3*$E$3,1))</f>
        <v>1.1499999999999999</v>
      </c>
      <c r="D13" s="36">
        <f>IF($A13&gt;LastT,0,IF($C$3="up",MIN(Policy_Sched!$E13*(1+IF($A13&gt;=T0,$E$3,0)),$F$3),IF($C$3="down",MAX(Policy_Sched!$E13*(1-IF($A13&gt;=T0,$E$3,0)),Policy_Sched!$E13-$F$3),Policy_Sched!$E13)))</f>
        <v>0.08</v>
      </c>
      <c r="E13" s="37">
        <f t="shared" si="17"/>
        <v>0.60353259490881539</v>
      </c>
      <c r="F13" s="37">
        <f t="shared" si="0"/>
        <v>0</v>
      </c>
      <c r="G13" s="37">
        <f t="shared" si="1"/>
        <v>0.60353259490881539</v>
      </c>
      <c r="H13" s="37">
        <f t="shared" si="2"/>
        <v>0</v>
      </c>
      <c r="I13" s="37">
        <f t="shared" si="3"/>
        <v>0</v>
      </c>
      <c r="J13" s="37">
        <f t="shared" si="4"/>
        <v>0.60353259490881539</v>
      </c>
      <c r="K13" s="37">
        <f>IF($A13&gt;LastT,0,J13*Policy_Sched!$C13*Policy_Sched!$D13*C13)</f>
        <v>5.1013592584667612E-4</v>
      </c>
      <c r="L13" s="41">
        <f t="shared" si="5"/>
        <v>4.828260759270523E-2</v>
      </c>
      <c r="M13" s="38">
        <f t="shared" si="6"/>
        <v>1035.7416990934148</v>
      </c>
      <c r="N13" s="38">
        <f t="shared" si="7"/>
        <v>2157.1280400298692</v>
      </c>
      <c r="O13" s="38">
        <f t="shared" si="8"/>
        <v>510.13592584667612</v>
      </c>
      <c r="P13" s="38">
        <f>Policy_Sched!$I13*(L13+I13)</f>
        <v>109.25979855037086</v>
      </c>
      <c r="Q13" s="42">
        <f t="shared" si="9"/>
        <v>619.39572439704693</v>
      </c>
      <c r="R13" s="38">
        <f t="shared" si="10"/>
        <v>0</v>
      </c>
      <c r="S13" s="38">
        <f t="shared" si="11"/>
        <v>0</v>
      </c>
      <c r="T13" s="38">
        <f>Policy_Sched!$J13*J13</f>
        <v>0</v>
      </c>
      <c r="U13" s="42">
        <f t="shared" si="12"/>
        <v>625.10387530911407</v>
      </c>
      <c r="V13" s="42">
        <f t="shared" si="13"/>
        <v>625.10387530911407</v>
      </c>
      <c r="W13" s="38">
        <f>IF($A13&gt;LastT,0,N13+W14/(1+Policy_Sched!$K13))</f>
        <v>13479.437715591315</v>
      </c>
      <c r="X13" s="38">
        <f>IF($A13&gt;LastT,0,(-Q13+X14)/(1+Policy_Sched!$K13))</f>
        <v>-4894.0519150984928</v>
      </c>
      <c r="Y13" s="38">
        <f>IF($A13&gt;LastT,0,-V13+Y14/(1+Policy_Sched!$K13))</f>
        <v>-3906.1421467069194</v>
      </c>
      <c r="Z13" s="42">
        <f t="shared" si="14"/>
        <v>4679.243653785903</v>
      </c>
      <c r="AA13" s="38">
        <f>IF($A13&gt;LastT,0,N13-V13-Q13/(1+Policy_Sched!$K13)+Z14/(1+Policy_Sched!$K13))</f>
        <v>4679.243653785903</v>
      </c>
    </row>
    <row r="14" spans="1:27" x14ac:dyDescent="0.2">
      <c r="A14" s="30">
        <f t="shared" si="15"/>
        <v>7</v>
      </c>
      <c r="B14" s="31">
        <f t="shared" si="16"/>
        <v>1</v>
      </c>
      <c r="C14" s="31">
        <f>IF($A14&gt;LastT,0,IF(AND($D$3&lt;&gt;0,$A14&gt;=T0,Policy_Sched!$B14&lt;LastAge),1+$D$3*$E$3,1))</f>
        <v>1.1499999999999999</v>
      </c>
      <c r="D14" s="36">
        <f>IF($A14&gt;LastT,0,IF($C$3="up",MIN(Policy_Sched!$E14*(1+IF($A14&gt;=T0,$E$3,0)),$F$3),IF($C$3="down",MAX(Policy_Sched!$E14*(1-IF($A14&gt;=T0,$E$3,0)),Policy_Sched!$E14-$F$3),Policy_Sched!$E14)))</f>
        <v>0.08</v>
      </c>
      <c r="E14" s="37">
        <f t="shared" si="17"/>
        <v>0.55473985139026349</v>
      </c>
      <c r="F14" s="37">
        <f t="shared" si="0"/>
        <v>0</v>
      </c>
      <c r="G14" s="37">
        <f t="shared" si="1"/>
        <v>0.55473985139026349</v>
      </c>
      <c r="H14" s="37">
        <f t="shared" si="2"/>
        <v>0</v>
      </c>
      <c r="I14" s="37">
        <f t="shared" si="3"/>
        <v>0</v>
      </c>
      <c r="J14" s="37">
        <f t="shared" si="4"/>
        <v>0.55473985139026349</v>
      </c>
      <c r="K14" s="37">
        <f>IF($A14&gt;LastT,0,J14*Policy_Sched!$C14*Policy_Sched!$D14*C14)</f>
        <v>5.0908476162084466E-4</v>
      </c>
      <c r="L14" s="41">
        <f t="shared" si="5"/>
        <v>4.4379188111221081E-2</v>
      </c>
      <c r="M14" s="38">
        <f t="shared" si="6"/>
        <v>1035.7416990934148</v>
      </c>
      <c r="N14" s="38">
        <f t="shared" si="7"/>
        <v>1982.7344843516446</v>
      </c>
      <c r="O14" s="38">
        <f t="shared" si="8"/>
        <v>509.08476162084463</v>
      </c>
      <c r="P14" s="38">
        <f>Policy_Sched!$I14*(L14+I14)</f>
        <v>108.76375706443098</v>
      </c>
      <c r="Q14" s="42">
        <f t="shared" si="9"/>
        <v>617.84851868527562</v>
      </c>
      <c r="R14" s="38">
        <f t="shared" si="10"/>
        <v>0</v>
      </c>
      <c r="S14" s="38">
        <f t="shared" si="11"/>
        <v>0</v>
      </c>
      <c r="T14" s="38">
        <f>Policy_Sched!$J14*J14</f>
        <v>0</v>
      </c>
      <c r="U14" s="42">
        <f t="shared" si="12"/>
        <v>574.5671962337799</v>
      </c>
      <c r="V14" s="42">
        <f t="shared" si="13"/>
        <v>574.5671962337799</v>
      </c>
      <c r="W14" s="38">
        <f>IF($A14&gt;LastT,0,N14+W15/(1+Policy_Sched!$K14))</f>
        <v>11492.144320694866</v>
      </c>
      <c r="X14" s="38">
        <f>IF($A14&gt;LastT,0,(-Q14+X15)/(1+Policy_Sched!$K14))</f>
        <v>-4348.0669694279222</v>
      </c>
      <c r="Y14" s="38">
        <f>IF($A14&gt;LastT,0,-V14+Y15/(1+Policy_Sched!$K14))</f>
        <v>-3330.2538454687719</v>
      </c>
      <c r="Z14" s="42">
        <f t="shared" si="14"/>
        <v>3813.8235057981719</v>
      </c>
      <c r="AA14" s="38">
        <f>IF($A14&gt;LastT,0,N14-V14-Q14/(1+Policy_Sched!$K14)+Z15/(1+Policy_Sched!$K14))</f>
        <v>3813.8235057981733</v>
      </c>
    </row>
    <row r="15" spans="1:27" x14ac:dyDescent="0.2">
      <c r="A15" s="30">
        <f t="shared" si="15"/>
        <v>8</v>
      </c>
      <c r="B15" s="31">
        <f t="shared" si="16"/>
        <v>1</v>
      </c>
      <c r="C15" s="31">
        <f>IF($A15&gt;LastT,0,IF(AND($D$3&lt;&gt;0,$A15&gt;=T0,Policy_Sched!$B15&lt;LastAge),1+$D$3*$E$3,1))</f>
        <v>1.1499999999999999</v>
      </c>
      <c r="D15" s="36">
        <f>IF($A15&gt;LastT,0,IF($C$3="up",MIN(Policy_Sched!$E15*(1+IF($A15&gt;=T0,$E$3,0)),$F$3),IF($C$3="down",MAX(Policy_Sched!$E15*(1-IF($A15&gt;=T0,$E$3,0)),Policy_Sched!$E15-$F$3),Policy_Sched!$E15)))</f>
        <v>0.08</v>
      </c>
      <c r="E15" s="37">
        <f t="shared" si="17"/>
        <v>0.50985157851742158</v>
      </c>
      <c r="F15" s="37">
        <f t="shared" si="0"/>
        <v>0</v>
      </c>
      <c r="G15" s="37">
        <f t="shared" si="1"/>
        <v>0.50985157851742158</v>
      </c>
      <c r="H15" s="37">
        <f t="shared" si="2"/>
        <v>0</v>
      </c>
      <c r="I15" s="37">
        <f t="shared" si="3"/>
        <v>0</v>
      </c>
      <c r="J15" s="37">
        <f t="shared" si="4"/>
        <v>0.50985157851742158</v>
      </c>
      <c r="K15" s="37">
        <f>IF($A15&gt;LastT,0,J15*Policy_Sched!$C15*Policy_Sched!$D15*C15)</f>
        <v>5.1303815088315542E-4</v>
      </c>
      <c r="L15" s="41">
        <f t="shared" si="5"/>
        <v>4.0788126281393729E-2</v>
      </c>
      <c r="M15" s="38">
        <f t="shared" si="6"/>
        <v>1035.7416990934148</v>
      </c>
      <c r="N15" s="38">
        <f t="shared" si="7"/>
        <v>1822.2961701672236</v>
      </c>
      <c r="O15" s="38">
        <f t="shared" si="8"/>
        <v>513.03815088315537</v>
      </c>
      <c r="P15" s="38">
        <f>Policy_Sched!$I15*(L15+I15)</f>
        <v>103.7300592152001</v>
      </c>
      <c r="Q15" s="42">
        <f t="shared" si="9"/>
        <v>616.76821009835544</v>
      </c>
      <c r="R15" s="38">
        <f t="shared" si="10"/>
        <v>0</v>
      </c>
      <c r="S15" s="38">
        <f t="shared" si="11"/>
        <v>0</v>
      </c>
      <c r="T15" s="38">
        <f>Policy_Sched!$J15*J15</f>
        <v>0</v>
      </c>
      <c r="U15" s="42">
        <f t="shared" si="12"/>
        <v>528.07454021909382</v>
      </c>
      <c r="V15" s="42">
        <f t="shared" si="13"/>
        <v>528.07454021909382</v>
      </c>
      <c r="W15" s="38">
        <f>IF($A15&gt;LastT,0,N15+W16/(1+Policy_Sched!$K15))</f>
        <v>9652.05098388837</v>
      </c>
      <c r="X15" s="38">
        <f>IF($A15&gt;LastT,0,(-Q15+X16)/(1+Policy_Sched!$K15))</f>
        <v>-3795.4394552840649</v>
      </c>
      <c r="Y15" s="38">
        <f>IF($A15&gt;LastT,0,-V15+Y16/(1+Policy_Sched!$K15))</f>
        <v>-2797.0219489735164</v>
      </c>
      <c r="Z15" s="42">
        <f t="shared" si="14"/>
        <v>3059.5895796307886</v>
      </c>
      <c r="AA15" s="38">
        <f>IF($A15&gt;LastT,0,N15-V15-Q15/(1+Policy_Sched!$K15)+Z16/(1+Policy_Sched!$K15))</f>
        <v>3059.5895796307891</v>
      </c>
    </row>
    <row r="16" spans="1:27" x14ac:dyDescent="0.2">
      <c r="A16" s="30">
        <f t="shared" si="15"/>
        <v>9</v>
      </c>
      <c r="B16" s="31">
        <f t="shared" si="16"/>
        <v>1</v>
      </c>
      <c r="C16" s="31">
        <f>IF($A16&gt;LastT,0,IF(AND($D$3&lt;&gt;0,$A16&gt;=T0,Policy_Sched!$B16&lt;LastAge),1+$D$3*$E$3,1))</f>
        <v>1.1499999999999999</v>
      </c>
      <c r="D16" s="36">
        <f>IF($A16&gt;LastT,0,IF($C$3="up",MIN(Policy_Sched!$E16*(1+IF($A16&gt;=T0,$E$3,0)),$F$3),IF($C$3="down",MAX(Policy_Sched!$E16*(1-IF($A16&gt;=T0,$E$3,0)),Policy_Sched!$E16-$F$3),Policy_Sched!$E16)))</f>
        <v>0.08</v>
      </c>
      <c r="E16" s="37">
        <f t="shared" si="17"/>
        <v>0.46855041408514475</v>
      </c>
      <c r="F16" s="37">
        <f t="shared" si="0"/>
        <v>0</v>
      </c>
      <c r="G16" s="37">
        <f t="shared" si="1"/>
        <v>0.46855041408514475</v>
      </c>
      <c r="H16" s="37">
        <f t="shared" si="2"/>
        <v>0</v>
      </c>
      <c r="I16" s="37">
        <f t="shared" si="3"/>
        <v>0</v>
      </c>
      <c r="J16" s="37">
        <f t="shared" si="4"/>
        <v>0.46855041408514475</v>
      </c>
      <c r="K16" s="37">
        <f>IF($A16&gt;LastT,0,J16*Policy_Sched!$C16*Policy_Sched!$D16*C16)</f>
        <v>5.1296899334041647E-4</v>
      </c>
      <c r="L16" s="41">
        <f t="shared" si="5"/>
        <v>3.7484033126811582E-2</v>
      </c>
      <c r="M16" s="38">
        <f t="shared" si="6"/>
        <v>1035.7416990934148</v>
      </c>
      <c r="N16" s="38">
        <f t="shared" si="7"/>
        <v>1674.6787910326152</v>
      </c>
      <c r="O16" s="38">
        <f t="shared" si="8"/>
        <v>512.96899334041643</v>
      </c>
      <c r="P16" s="38">
        <f>Policy_Sched!$I16*(L16+I16)</f>
        <v>94.718126873715846</v>
      </c>
      <c r="Q16" s="42">
        <f t="shared" si="9"/>
        <v>607.68712021413228</v>
      </c>
      <c r="R16" s="38">
        <f t="shared" si="10"/>
        <v>0</v>
      </c>
      <c r="S16" s="38">
        <f t="shared" si="11"/>
        <v>0</v>
      </c>
      <c r="T16" s="38">
        <f>Policy_Sched!$J16*J16</f>
        <v>0</v>
      </c>
      <c r="U16" s="42">
        <f t="shared" si="12"/>
        <v>485.29720199547091</v>
      </c>
      <c r="V16" s="42">
        <f t="shared" si="13"/>
        <v>485.29720199547091</v>
      </c>
      <c r="W16" s="38">
        <f>IF($A16&gt;LastT,0,N16+W17/(1+Policy_Sched!$K16))</f>
        <v>7947.2011359269636</v>
      </c>
      <c r="X16" s="38">
        <f>IF($A16&gt;LastT,0,(-Q16+X17)/(1+Policy_Sched!$K16))</f>
        <v>-3235.6028370149702</v>
      </c>
      <c r="Y16" s="38">
        <f>IF($A16&gt;LastT,0,-V16+Y17/(1+Policy_Sched!$K16))</f>
        <v>-2302.9816198857388</v>
      </c>
      <c r="Z16" s="42">
        <f t="shared" si="14"/>
        <v>2408.6166790262546</v>
      </c>
      <c r="AA16" s="38">
        <f>IF($A16&gt;LastT,0,N16-V16-Q16/(1+Policy_Sched!$K16)+Z17/(1+Policy_Sched!$K16))</f>
        <v>2408.6166790262532</v>
      </c>
    </row>
    <row r="17" spans="1:27" x14ac:dyDescent="0.2">
      <c r="A17" s="30">
        <f t="shared" si="15"/>
        <v>10</v>
      </c>
      <c r="B17" s="31">
        <f t="shared" si="16"/>
        <v>1</v>
      </c>
      <c r="C17" s="31">
        <f>IF($A17&gt;LastT,0,IF(AND($D$3&lt;&gt;0,$A17&gt;=T0,Policy_Sched!$B17&lt;LastAge),1+$D$3*$E$3,1))</f>
        <v>1.1499999999999999</v>
      </c>
      <c r="D17" s="36">
        <f>IF($A17&gt;LastT,0,IF($C$3="up",MIN(Policy_Sched!$E17*(1+IF($A17&gt;=T0,$E$3,0)),$F$3),IF($C$3="down",MAX(Policy_Sched!$E17*(1-IF($A17&gt;=T0,$E$3,0)),Policy_Sched!$E17-$F$3),Policy_Sched!$E17)))</f>
        <v>0.08</v>
      </c>
      <c r="E17" s="37">
        <f t="shared" si="17"/>
        <v>0.43055341196499275</v>
      </c>
      <c r="F17" s="37">
        <f t="shared" si="0"/>
        <v>0</v>
      </c>
      <c r="G17" s="37">
        <f t="shared" si="1"/>
        <v>0.43055341196499275</v>
      </c>
      <c r="H17" s="37">
        <f t="shared" si="2"/>
        <v>0</v>
      </c>
      <c r="I17" s="37">
        <f t="shared" si="3"/>
        <v>0</v>
      </c>
      <c r="J17" s="37">
        <f t="shared" si="4"/>
        <v>0.43055341196499275</v>
      </c>
      <c r="K17" s="37">
        <f>IF($A17&gt;LastT,0,J17*Policy_Sched!$C17*Policy_Sched!$D17*C17)</f>
        <v>5.0949538004877414E-4</v>
      </c>
      <c r="L17" s="41">
        <f t="shared" si="5"/>
        <v>3.4444272957199422E-2</v>
      </c>
      <c r="M17" s="38">
        <f t="shared" si="6"/>
        <v>1035.7416990934148</v>
      </c>
      <c r="N17" s="38">
        <f t="shared" si="7"/>
        <v>1538.8710494095835</v>
      </c>
      <c r="O17" s="38">
        <f t="shared" si="8"/>
        <v>509.49538004877411</v>
      </c>
      <c r="P17" s="38">
        <f>Policy_Sched!$I17*(L17+I17)</f>
        <v>82.618367264832443</v>
      </c>
      <c r="Q17" s="42">
        <f t="shared" si="9"/>
        <v>592.11374731360661</v>
      </c>
      <c r="R17" s="38">
        <f t="shared" si="10"/>
        <v>0</v>
      </c>
      <c r="S17" s="38">
        <f t="shared" si="11"/>
        <v>0</v>
      </c>
      <c r="T17" s="38">
        <f>Policy_Sched!$J17*J17</f>
        <v>0</v>
      </c>
      <c r="U17" s="42">
        <f t="shared" si="12"/>
        <v>445.94212245908858</v>
      </c>
      <c r="V17" s="42">
        <f t="shared" si="13"/>
        <v>445.94212245908858</v>
      </c>
      <c r="W17" s="38">
        <f>IF($A17&gt;LastT,0,N17+W18/(1+Policy_Sched!$K17))</f>
        <v>6366.6101800677625</v>
      </c>
      <c r="X17" s="38">
        <f>IF($A17&gt;LastT,0,(-Q17+X18)/(1+Policy_Sched!$K17))</f>
        <v>-2676.4497593560623</v>
      </c>
      <c r="Y17" s="38">
        <f>IF($A17&gt;LastT,0,-V17+Y18/(1+Policy_Sched!$K17))</f>
        <v>-1844.9496841586219</v>
      </c>
      <c r="Z17" s="42">
        <f t="shared" si="14"/>
        <v>1845.2107365530778</v>
      </c>
      <c r="AA17" s="38">
        <f>IF($A17&gt;LastT,0,N17-V17-Q17/(1+Policy_Sched!$K17)+Z18/(1+Policy_Sched!$K17))</f>
        <v>1845.2107365530785</v>
      </c>
    </row>
    <row r="18" spans="1:27" x14ac:dyDescent="0.2">
      <c r="A18" s="30">
        <f t="shared" si="15"/>
        <v>11</v>
      </c>
      <c r="B18" s="31">
        <f t="shared" si="16"/>
        <v>1</v>
      </c>
      <c r="C18" s="31">
        <f>IF($A18&gt;LastT,0,IF(AND($D$3&lt;&gt;0,$A18&gt;=T0,Policy_Sched!$B18&lt;LastAge),1+$D$3*$E$3,1))</f>
        <v>1.1499999999999999</v>
      </c>
      <c r="D18" s="36">
        <f>IF($A18&gt;LastT,0,IF($C$3="up",MIN(Policy_Sched!$E18*(1+IF($A18&gt;=T0,$E$3,0)),$F$3),IF($C$3="down",MAX(Policy_Sched!$E18*(1-IF($A18&gt;=T0,$E$3,0)),Policy_Sched!$E18-$F$3),Policy_Sched!$E18)))</f>
        <v>0.08</v>
      </c>
      <c r="E18" s="37">
        <f t="shared" si="17"/>
        <v>0.39559964362774452</v>
      </c>
      <c r="F18" s="37">
        <f t="shared" si="0"/>
        <v>0</v>
      </c>
      <c r="G18" s="37">
        <f t="shared" si="1"/>
        <v>0.39559964362774452</v>
      </c>
      <c r="H18" s="37">
        <f t="shared" si="2"/>
        <v>0</v>
      </c>
      <c r="I18" s="37">
        <f t="shared" si="3"/>
        <v>0</v>
      </c>
      <c r="J18" s="37">
        <f t="shared" si="4"/>
        <v>0.39559964362774452</v>
      </c>
      <c r="K18" s="37">
        <f>IF($A18&gt;LastT,0,J18*Policy_Sched!$C18*Policy_Sched!$D18*C18)</f>
        <v>5.0634776386133148E-4</v>
      </c>
      <c r="L18" s="41">
        <f t="shared" si="5"/>
        <v>3.1647971490219563E-2</v>
      </c>
      <c r="M18" s="38">
        <f t="shared" si="6"/>
        <v>1035.7416990934148</v>
      </c>
      <c r="N18" s="38">
        <f t="shared" si="7"/>
        <v>1413.9403424004977</v>
      </c>
      <c r="O18" s="38">
        <f t="shared" si="8"/>
        <v>506.34776386133149</v>
      </c>
      <c r="P18" s="38">
        <f>Policy_Sched!$I18*(L18+I18)</f>
        <v>68.032273592838948</v>
      </c>
      <c r="Q18" s="42">
        <f t="shared" si="9"/>
        <v>574.38003745417041</v>
      </c>
      <c r="R18" s="38">
        <f t="shared" si="10"/>
        <v>0</v>
      </c>
      <c r="S18" s="38">
        <f t="shared" si="11"/>
        <v>0</v>
      </c>
      <c r="T18" s="38">
        <f>Policy_Sched!$J18*J18</f>
        <v>0</v>
      </c>
      <c r="U18" s="42">
        <f t="shared" si="12"/>
        <v>409.73904705174948</v>
      </c>
      <c r="V18" s="42">
        <f t="shared" si="13"/>
        <v>409.73904705174948</v>
      </c>
      <c r="W18" s="38">
        <f>IF($A18&gt;LastT,0,N18+W19/(1+Policy_Sched!$K18))</f>
        <v>4900.1552176180512</v>
      </c>
      <c r="X18" s="38">
        <f>IF($A18&gt;LastT,0,(-Q18+X19)/(1+Policy_Sched!$K18))</f>
        <v>-2124.4827584327959</v>
      </c>
      <c r="Y18" s="38">
        <f>IF($A18&gt;LastT,0,-V18+Y19/(1+Policy_Sched!$K18))</f>
        <v>-1419.9926751250264</v>
      </c>
      <c r="Z18" s="42">
        <f t="shared" si="14"/>
        <v>1355.6797840602289</v>
      </c>
      <c r="AA18" s="38">
        <f>IF($A18&gt;LastT,0,N18-V18-Q18/(1+Policy_Sched!$K18)+Z19/(1+Policy_Sched!$K18))</f>
        <v>1355.6797840602289</v>
      </c>
    </row>
    <row r="19" spans="1:27" x14ac:dyDescent="0.2">
      <c r="A19" s="30">
        <f t="shared" si="15"/>
        <v>12</v>
      </c>
      <c r="B19" s="31">
        <f t="shared" si="16"/>
        <v>1</v>
      </c>
      <c r="C19" s="31">
        <f>IF($A19&gt;LastT,0,IF(AND($D$3&lt;&gt;0,$A19&gt;=T0,Policy_Sched!$B19&lt;LastAge),1+$D$3*$E$3,1))</f>
        <v>1.1499999999999999</v>
      </c>
      <c r="D19" s="36">
        <f>IF($A19&gt;LastT,0,IF($C$3="up",MIN(Policy_Sched!$E19*(1+IF($A19&gt;=T0,$E$3,0)),$F$3),IF($C$3="down",MAX(Policy_Sched!$E19*(1-IF($A19&gt;=T0,$E$3,0)),Policy_Sched!$E19-$F$3),Policy_Sched!$E19)))</f>
        <v>0.08</v>
      </c>
      <c r="E19" s="37">
        <f t="shared" si="17"/>
        <v>0.36344532437366361</v>
      </c>
      <c r="F19" s="37">
        <f t="shared" si="0"/>
        <v>0</v>
      </c>
      <c r="G19" s="37">
        <f t="shared" si="1"/>
        <v>0.36344532437366361</v>
      </c>
      <c r="H19" s="37">
        <f t="shared" si="2"/>
        <v>0</v>
      </c>
      <c r="I19" s="37">
        <f t="shared" si="3"/>
        <v>0</v>
      </c>
      <c r="J19" s="37">
        <f t="shared" si="4"/>
        <v>0.36344532437366361</v>
      </c>
      <c r="K19" s="37">
        <f>IF($A19&gt;LastT,0,J19*Policy_Sched!$C19*Policy_Sched!$D19*C19)</f>
        <v>5.0615213098898252E-4</v>
      </c>
      <c r="L19" s="41">
        <f t="shared" si="5"/>
        <v>2.9075625949893089E-2</v>
      </c>
      <c r="M19" s="38">
        <f t="shared" si="6"/>
        <v>1035.7416990934148</v>
      </c>
      <c r="N19" s="38">
        <f t="shared" si="7"/>
        <v>1299.0153420672025</v>
      </c>
      <c r="O19" s="38">
        <f t="shared" si="8"/>
        <v>506.15213098898255</v>
      </c>
      <c r="P19" s="38">
        <f>Policy_Sched!$I19*(L19+I19)</f>
        <v>51.200048250758151</v>
      </c>
      <c r="Q19" s="42">
        <f t="shared" si="9"/>
        <v>557.35217923974074</v>
      </c>
      <c r="R19" s="38">
        <f t="shared" si="10"/>
        <v>0</v>
      </c>
      <c r="S19" s="38">
        <f t="shared" si="11"/>
        <v>0</v>
      </c>
      <c r="T19" s="38">
        <f>Policy_Sched!$J19*J19</f>
        <v>0</v>
      </c>
      <c r="U19" s="42">
        <f t="shared" si="12"/>
        <v>376.43547779433561</v>
      </c>
      <c r="V19" s="42">
        <f t="shared" si="13"/>
        <v>376.43547779433561</v>
      </c>
      <c r="W19" s="38">
        <f>IF($A19&gt;LastT,0,N19+W20/(1+Policy_Sched!$K19))</f>
        <v>3538.5080983458165</v>
      </c>
      <c r="X19" s="38">
        <f>IF($A19&gt;LastT,0,(-Q19+X20)/(1+Policy_Sched!$K19))</f>
        <v>-1581.9699623551173</v>
      </c>
      <c r="Y19" s="38">
        <f>IF($A19&gt;LastT,0,-V19+Y20/(1+Policy_Sched!$K19))</f>
        <v>-1025.4074324943758</v>
      </c>
      <c r="Z19" s="42">
        <f t="shared" si="14"/>
        <v>931.13070349632335</v>
      </c>
      <c r="AA19" s="38">
        <f>IF($A19&gt;LastT,0,N19-V19-Q19/(1+Policy_Sched!$K19)+Z20/(1+Policy_Sched!$K19))</f>
        <v>931.13070349632289</v>
      </c>
    </row>
    <row r="20" spans="1:27" x14ac:dyDescent="0.2">
      <c r="A20" s="30">
        <f t="shared" si="15"/>
        <v>13</v>
      </c>
      <c r="B20" s="31">
        <f t="shared" si="16"/>
        <v>1</v>
      </c>
      <c r="C20" s="31">
        <f>IF($A20&gt;LastT,0,IF(AND($D$3&lt;&gt;0,$A20&gt;=T0,Policy_Sched!$B20&lt;LastAge),1+$D$3*$E$3,1))</f>
        <v>1.1499999999999999</v>
      </c>
      <c r="D20" s="36">
        <f>IF($A20&gt;LastT,0,IF($C$3="up",MIN(Policy_Sched!$E20*(1+IF($A20&gt;=T0,$E$3,0)),$F$3),IF($C$3="down",MAX(Policy_Sched!$E20*(1-IF($A20&gt;=T0,$E$3,0)),Policy_Sched!$E20-$F$3),Policy_Sched!$E20)))</f>
        <v>0.08</v>
      </c>
      <c r="E20" s="37">
        <f t="shared" si="17"/>
        <v>0.33386354629278153</v>
      </c>
      <c r="F20" s="37">
        <f t="shared" si="0"/>
        <v>0</v>
      </c>
      <c r="G20" s="37">
        <f t="shared" si="1"/>
        <v>0.33386354629278153</v>
      </c>
      <c r="H20" s="37">
        <f t="shared" si="2"/>
        <v>0</v>
      </c>
      <c r="I20" s="37">
        <f t="shared" si="3"/>
        <v>0</v>
      </c>
      <c r="J20" s="37">
        <f t="shared" si="4"/>
        <v>0.33386354629278153</v>
      </c>
      <c r="K20" s="37">
        <f>IF($A20&gt;LastT,0,J20*Policy_Sched!$C20*Policy_Sched!$D20*C20)</f>
        <v>5.1064429405480924E-4</v>
      </c>
      <c r="L20" s="41">
        <f t="shared" si="5"/>
        <v>2.6709083703422523E-2</v>
      </c>
      <c r="M20" s="38">
        <f t="shared" si="6"/>
        <v>1035.7416990934148</v>
      </c>
      <c r="N20" s="38">
        <f t="shared" si="7"/>
        <v>1193.2850409856962</v>
      </c>
      <c r="O20" s="38">
        <f t="shared" si="8"/>
        <v>510.64429405480922</v>
      </c>
      <c r="P20" s="38">
        <f>Policy_Sched!$I20*(L20+I20)</f>
        <v>32.117006694657661</v>
      </c>
      <c r="Q20" s="42">
        <f t="shared" si="9"/>
        <v>542.76130074946684</v>
      </c>
      <c r="R20" s="38">
        <f t="shared" si="10"/>
        <v>0</v>
      </c>
      <c r="S20" s="38">
        <f t="shared" si="11"/>
        <v>0</v>
      </c>
      <c r="T20" s="38">
        <f>Policy_Sched!$J20*J20</f>
        <v>0</v>
      </c>
      <c r="U20" s="42">
        <f t="shared" si="12"/>
        <v>345.7963967026385</v>
      </c>
      <c r="V20" s="42">
        <f t="shared" si="13"/>
        <v>345.7963967026385</v>
      </c>
      <c r="W20" s="38">
        <f>IF($A20&gt;LastT,0,N20+W21/(1+Policy_Sched!$K20))</f>
        <v>2273.0851476227926</v>
      </c>
      <c r="X20" s="38">
        <f>IF($A20&gt;LastT,0,(-Q20+X21)/(1+Policy_Sched!$K20))</f>
        <v>-1048.3473325507032</v>
      </c>
      <c r="Y20" s="38">
        <f>IF($A20&gt;LastT,0,-V20+Y21/(1+Policy_Sched!$K20))</f>
        <v>-658.70653402054074</v>
      </c>
      <c r="Z20" s="42">
        <f t="shared" si="14"/>
        <v>566.0312810515486</v>
      </c>
      <c r="AA20" s="38">
        <f>IF($A20&gt;LastT,0,N20-V20-Q20/(1+Policy_Sched!$K20)+Z21/(1+Policy_Sched!$K20))</f>
        <v>566.03128105154883</v>
      </c>
    </row>
    <row r="21" spans="1:27" x14ac:dyDescent="0.2">
      <c r="A21" s="30">
        <f t="shared" si="15"/>
        <v>14</v>
      </c>
      <c r="B21" s="31">
        <f t="shared" si="16"/>
        <v>1</v>
      </c>
      <c r="C21" s="31">
        <f>IF($A21&gt;LastT,0,IF(AND($D$3&lt;&gt;0,$A21&gt;=T0,Policy_Sched!$B21&lt;LastAge),1+$D$3*$E$3,1))</f>
        <v>1.1499999999999999</v>
      </c>
      <c r="D21" s="36">
        <f>IF($A21&gt;LastT,0,IF($C$3="up",MIN(Policy_Sched!$E21*(1+IF($A21&gt;=T0,$E$3,0)),$F$3),IF($C$3="down",MAX(Policy_Sched!$E21*(1-IF($A21&gt;=T0,$E$3,0)),Policy_Sched!$E21-$F$3),Policy_Sched!$E21)))</f>
        <v>0.08</v>
      </c>
      <c r="E21" s="37">
        <f t="shared" si="17"/>
        <v>0.30664381829530424</v>
      </c>
      <c r="F21" s="37">
        <f t="shared" si="0"/>
        <v>0</v>
      </c>
      <c r="G21" s="37">
        <f t="shared" si="1"/>
        <v>0.30664381829530424</v>
      </c>
      <c r="H21" s="37">
        <f t="shared" si="2"/>
        <v>0</v>
      </c>
      <c r="I21" s="37">
        <f t="shared" si="3"/>
        <v>0</v>
      </c>
      <c r="J21" s="37">
        <f t="shared" si="4"/>
        <v>0.30664381829530424</v>
      </c>
      <c r="K21" s="37">
        <f>IF($A21&gt;LastT,0,J21*Policy_Sched!$C21*Policy_Sched!$D21*C21)</f>
        <v>5.183813748282117E-4</v>
      </c>
      <c r="L21" s="41">
        <f t="shared" si="5"/>
        <v>2.4531505463624339E-2</v>
      </c>
      <c r="M21" s="38">
        <f t="shared" si="6"/>
        <v>1035.7416990934148</v>
      </c>
      <c r="N21" s="38">
        <f t="shared" si="7"/>
        <v>1095.997108236653</v>
      </c>
      <c r="O21" s="38">
        <f t="shared" si="8"/>
        <v>518.38137482821173</v>
      </c>
      <c r="P21" s="38">
        <f>Policy_Sched!$I21*(L21+I21)</f>
        <v>10.749535588127637</v>
      </c>
      <c r="Q21" s="42">
        <f t="shared" si="9"/>
        <v>529.13091041633936</v>
      </c>
      <c r="R21" s="38">
        <f t="shared" si="10"/>
        <v>0</v>
      </c>
      <c r="S21" s="38">
        <f t="shared" si="11"/>
        <v>0</v>
      </c>
      <c r="T21" s="38">
        <f>Policy_Sched!$J21*J21</f>
        <v>0</v>
      </c>
      <c r="U21" s="42">
        <f t="shared" si="12"/>
        <v>317.60378937767075</v>
      </c>
      <c r="V21" s="42">
        <f t="shared" si="13"/>
        <v>317.60378937767075</v>
      </c>
      <c r="W21" s="38">
        <f>IF($A21&gt;LastT,0,N21+W22/(1+Policy_Sched!$K21))</f>
        <v>1095.997108236653</v>
      </c>
      <c r="X21" s="38">
        <f>IF($A21&gt;LastT,0,(-Q21+X22)/(1+Policy_Sched!$K21))</f>
        <v>-521.31124178949699</v>
      </c>
      <c r="Y21" s="38">
        <f>IF($A21&gt;LastT,0,-V21+Y22/(1+Policy_Sched!$K21))</f>
        <v>-317.60378937767075</v>
      </c>
      <c r="Z21" s="42">
        <f t="shared" si="14"/>
        <v>257.08207706948531</v>
      </c>
      <c r="AA21" s="38">
        <f>IF($A21&gt;LastT,0,N21-V21-Q21/(1+Policy_Sched!$K21)+Z22/(1+Policy_Sched!$K21))</f>
        <v>257.08207706948531</v>
      </c>
    </row>
    <row r="22" spans="1:27" x14ac:dyDescent="0.2">
      <c r="A22" s="30">
        <f t="shared" si="15"/>
        <v>15</v>
      </c>
      <c r="B22" s="31">
        <f t="shared" si="16"/>
        <v>1</v>
      </c>
      <c r="C22" s="31">
        <f>IF($A22&gt;LastT,0,IF(AND($D$3&lt;&gt;0,$A22&gt;=T0,Policy_Sched!$B22&lt;LastAge),1+$D$3*$E$3,1))</f>
        <v>1.1499999999999999</v>
      </c>
      <c r="D22" s="36">
        <f>IF($A22&gt;LastT,0,IF($C$3="up",MIN(Policy_Sched!$E22*(1+IF($A22&gt;=T0,$E$3,0)),$F$3),IF($C$3="down",MAX(Policy_Sched!$E22*(1-IF($A22&gt;=T0,$E$3,0)),Policy_Sched!$E22-$F$3),Policy_Sched!$E22)))</f>
        <v>0.08</v>
      </c>
      <c r="E22" s="37">
        <f t="shared" si="17"/>
        <v>0.28159393145685169</v>
      </c>
      <c r="F22" s="37">
        <f t="shared" si="0"/>
        <v>0.28159393145685169</v>
      </c>
      <c r="G22" s="37">
        <f t="shared" si="1"/>
        <v>0</v>
      </c>
      <c r="H22" s="37">
        <f t="shared" si="2"/>
        <v>0</v>
      </c>
      <c r="I22" s="37">
        <f t="shared" si="3"/>
        <v>0</v>
      </c>
      <c r="J22" s="37">
        <f t="shared" si="4"/>
        <v>0</v>
      </c>
      <c r="K22" s="37">
        <f>IF($A22&gt;LastT,0,J22*Policy_Sched!$C22*Policy_Sched!$D22*C22)</f>
        <v>0</v>
      </c>
      <c r="L22" s="41">
        <f t="shared" si="5"/>
        <v>0</v>
      </c>
      <c r="M22" s="38">
        <f t="shared" si="6"/>
        <v>1035.7416990934148</v>
      </c>
      <c r="N22" s="38">
        <f t="shared" si="7"/>
        <v>0</v>
      </c>
      <c r="O22" s="38">
        <f t="shared" si="8"/>
        <v>0</v>
      </c>
      <c r="P22" s="38">
        <f>Policy_Sched!$I22*(L22+I22)</f>
        <v>0</v>
      </c>
      <c r="Q22" s="42">
        <f t="shared" si="9"/>
        <v>0</v>
      </c>
      <c r="R22" s="38">
        <f t="shared" si="10"/>
        <v>0</v>
      </c>
      <c r="S22" s="38">
        <f t="shared" si="11"/>
        <v>0</v>
      </c>
      <c r="T22" s="38">
        <f>Policy_Sched!$J22*J22</f>
        <v>0</v>
      </c>
      <c r="U22" s="42">
        <f t="shared" si="12"/>
        <v>0</v>
      </c>
      <c r="V22" s="42">
        <f t="shared" si="13"/>
        <v>0</v>
      </c>
      <c r="W22" s="38">
        <f>IF($A22&gt;LastT,0,N22+W23/(1+Policy_Sched!$K22))</f>
        <v>0</v>
      </c>
      <c r="X22" s="38">
        <f>IF($A22&gt;LastT,0,(-Q22+X23)/(1+Policy_Sched!$K22))</f>
        <v>0</v>
      </c>
      <c r="Y22" s="38">
        <f>IF($A22&gt;LastT,0,-V22+Y23/(1+Policy_Sched!$K22))</f>
        <v>0</v>
      </c>
      <c r="Z22" s="42">
        <f t="shared" si="14"/>
        <v>0</v>
      </c>
      <c r="AA22" s="38">
        <f>IF($A22&gt;LastT,0,N22-V22-Q22/(1+Policy_Sched!$K22)+Z23/(1+Policy_Sched!$K22))</f>
        <v>0</v>
      </c>
    </row>
    <row r="23" spans="1:27" x14ac:dyDescent="0.2">
      <c r="A23" s="30">
        <f t="shared" si="15"/>
        <v>16</v>
      </c>
      <c r="B23" s="31">
        <f t="shared" si="16"/>
        <v>0</v>
      </c>
      <c r="C23" s="31">
        <f>IF($A23&gt;LastT,0,IF(AND($D$3&lt;&gt;0,$A23&gt;=T0,Policy_Sched!$B23&lt;LastAge),1+$D$3*$E$3,1))</f>
        <v>0</v>
      </c>
      <c r="D23" s="36">
        <f>IF($A23&gt;LastT,0,IF($C$3="up",MIN(Policy_Sched!$E23*(1+IF($A23&gt;=T0,$E$3,0)),$F$3),IF($C$3="down",MAX(Policy_Sched!$E23*(1-IF($A23&gt;=T0,$E$3,0)),Policy_Sched!$E23-$F$3),Policy_Sched!$E23)))</f>
        <v>0</v>
      </c>
      <c r="E23" s="37">
        <f t="shared" si="17"/>
        <v>0</v>
      </c>
      <c r="F23" s="37">
        <f t="shared" si="0"/>
        <v>0</v>
      </c>
      <c r="G23" s="37">
        <f t="shared" si="1"/>
        <v>0</v>
      </c>
      <c r="H23" s="37">
        <f t="shared" si="2"/>
        <v>0</v>
      </c>
      <c r="I23" s="37">
        <f t="shared" si="3"/>
        <v>0</v>
      </c>
      <c r="J23" s="37">
        <f t="shared" si="4"/>
        <v>0</v>
      </c>
      <c r="K23" s="37">
        <f>IF($A23&gt;LastT,0,J23*Policy_Sched!$C23*Policy_Sched!$D23*C23)</f>
        <v>0</v>
      </c>
      <c r="L23" s="41">
        <f t="shared" si="5"/>
        <v>0</v>
      </c>
      <c r="M23" s="38">
        <f t="shared" si="6"/>
        <v>0</v>
      </c>
      <c r="N23" s="38">
        <f t="shared" si="7"/>
        <v>0</v>
      </c>
      <c r="O23" s="38">
        <f t="shared" si="8"/>
        <v>0</v>
      </c>
      <c r="P23" s="38">
        <f>Policy_Sched!$I23*(L23+I23)</f>
        <v>0</v>
      </c>
      <c r="Q23" s="42">
        <f t="shared" si="9"/>
        <v>0</v>
      </c>
      <c r="R23" s="38">
        <f t="shared" si="10"/>
        <v>0</v>
      </c>
      <c r="S23" s="38">
        <f t="shared" si="11"/>
        <v>0</v>
      </c>
      <c r="T23" s="38">
        <f>Policy_Sched!$J23*J23</f>
        <v>0</v>
      </c>
      <c r="U23" s="42">
        <f t="shared" si="12"/>
        <v>0</v>
      </c>
      <c r="V23" s="42">
        <f t="shared" si="13"/>
        <v>0</v>
      </c>
      <c r="W23" s="38">
        <f>IF($A23&gt;LastT,0,N23+W24/(1+Policy_Sched!$K23))</f>
        <v>0</v>
      </c>
      <c r="X23" s="38">
        <f>IF($A23&gt;LastT,0,(-Q23+X24)/(1+Policy_Sched!$K23))</f>
        <v>0</v>
      </c>
      <c r="Y23" s="38">
        <f>IF($A23&gt;LastT,0,-V23+Y24/(1+Policy_Sched!$K23))</f>
        <v>0</v>
      </c>
      <c r="Z23" s="42">
        <f t="shared" si="14"/>
        <v>0</v>
      </c>
      <c r="AA23" s="38">
        <f>IF($A23&gt;LastT,0,N23-V23-Q23/(1+Policy_Sched!$K23)+Z24/(1+Policy_Sched!$K23))</f>
        <v>0</v>
      </c>
    </row>
    <row r="24" spans="1:27" x14ac:dyDescent="0.2">
      <c r="A24" s="30">
        <f t="shared" si="15"/>
        <v>17</v>
      </c>
      <c r="B24" s="31">
        <f t="shared" si="16"/>
        <v>0</v>
      </c>
      <c r="C24" s="31">
        <f>IF($A24&gt;LastT,0,IF(AND($D$3&lt;&gt;0,$A24&gt;=T0,Policy_Sched!$B24&lt;LastAge),1+$D$3*$E$3,1))</f>
        <v>0</v>
      </c>
      <c r="D24" s="36">
        <f>IF($A24&gt;LastT,0,IF($C$3="up",MIN(Policy_Sched!$E24*(1+IF($A24&gt;=T0,$E$3,0)),$F$3),IF($C$3="down",MAX(Policy_Sched!$E24*(1-IF($A24&gt;=T0,$E$3,0)),Policy_Sched!$E24-$F$3),Policy_Sched!$E24)))</f>
        <v>0</v>
      </c>
      <c r="E24" s="37">
        <f t="shared" si="17"/>
        <v>0</v>
      </c>
      <c r="F24" s="37">
        <f t="shared" si="0"/>
        <v>0</v>
      </c>
      <c r="G24" s="37">
        <f t="shared" si="1"/>
        <v>0</v>
      </c>
      <c r="H24" s="37">
        <f t="shared" si="2"/>
        <v>0</v>
      </c>
      <c r="I24" s="37">
        <f t="shared" si="3"/>
        <v>0</v>
      </c>
      <c r="J24" s="37">
        <f t="shared" si="4"/>
        <v>0</v>
      </c>
      <c r="K24" s="37">
        <f>IF($A24&gt;LastT,0,J24*Policy_Sched!$C24*Policy_Sched!$D24*C24)</f>
        <v>0</v>
      </c>
      <c r="L24" s="41">
        <f t="shared" si="5"/>
        <v>0</v>
      </c>
      <c r="M24" s="38">
        <f t="shared" si="6"/>
        <v>0</v>
      </c>
      <c r="N24" s="38">
        <f t="shared" si="7"/>
        <v>0</v>
      </c>
      <c r="O24" s="38">
        <f t="shared" si="8"/>
        <v>0</v>
      </c>
      <c r="P24" s="38">
        <f>Policy_Sched!$I24*(L24+I24)</f>
        <v>0</v>
      </c>
      <c r="Q24" s="42">
        <f t="shared" si="9"/>
        <v>0</v>
      </c>
      <c r="R24" s="38">
        <f t="shared" si="10"/>
        <v>0</v>
      </c>
      <c r="S24" s="38">
        <f t="shared" si="11"/>
        <v>0</v>
      </c>
      <c r="T24" s="38">
        <f>Policy_Sched!$J24*J24</f>
        <v>0</v>
      </c>
      <c r="U24" s="42">
        <f t="shared" si="12"/>
        <v>0</v>
      </c>
      <c r="V24" s="42">
        <f t="shared" si="13"/>
        <v>0</v>
      </c>
      <c r="W24" s="38">
        <f>IF($A24&gt;LastT,0,N24+W25/(1+Policy_Sched!$K24))</f>
        <v>0</v>
      </c>
      <c r="X24" s="38">
        <f>IF($A24&gt;LastT,0,(-Q24+X25)/(1+Policy_Sched!$K24))</f>
        <v>0</v>
      </c>
      <c r="Y24" s="38">
        <f>IF($A24&gt;LastT,0,-V24+Y25/(1+Policy_Sched!$K24))</f>
        <v>0</v>
      </c>
      <c r="Z24" s="42">
        <f t="shared" si="14"/>
        <v>0</v>
      </c>
      <c r="AA24" s="38">
        <f>IF($A24&gt;LastT,0,N24-V24-Q24/(1+Policy_Sched!$K24)+Z25/(1+Policy_Sched!$K24))</f>
        <v>0</v>
      </c>
    </row>
    <row r="25" spans="1:27" x14ac:dyDescent="0.2">
      <c r="A25" s="30">
        <f t="shared" si="15"/>
        <v>18</v>
      </c>
      <c r="B25" s="31">
        <f t="shared" si="16"/>
        <v>0</v>
      </c>
      <c r="C25" s="31">
        <f>IF($A25&gt;LastT,0,IF(AND($D$3&lt;&gt;0,$A25&gt;=T0,Policy_Sched!$B25&lt;LastAge),1+$D$3*$E$3,1))</f>
        <v>0</v>
      </c>
      <c r="D25" s="36">
        <f>IF($A25&gt;LastT,0,IF($C$3="up",MIN(Policy_Sched!$E25*(1+IF($A25&gt;=T0,$E$3,0)),$F$3),IF($C$3="down",MAX(Policy_Sched!$E25*(1-IF($A25&gt;=T0,$E$3,0)),Policy_Sched!$E25-$F$3),Policy_Sched!$E25)))</f>
        <v>0</v>
      </c>
      <c r="E25" s="37">
        <f t="shared" si="17"/>
        <v>0</v>
      </c>
      <c r="F25" s="37">
        <f t="shared" si="0"/>
        <v>0</v>
      </c>
      <c r="G25" s="37">
        <f t="shared" si="1"/>
        <v>0</v>
      </c>
      <c r="H25" s="37">
        <f t="shared" si="2"/>
        <v>0</v>
      </c>
      <c r="I25" s="37">
        <f t="shared" si="3"/>
        <v>0</v>
      </c>
      <c r="J25" s="37">
        <f t="shared" si="4"/>
        <v>0</v>
      </c>
      <c r="K25" s="37">
        <f>IF($A25&gt;LastT,0,J25*Policy_Sched!$C25*Policy_Sched!$D25*C25)</f>
        <v>0</v>
      </c>
      <c r="L25" s="41">
        <f t="shared" si="5"/>
        <v>0</v>
      </c>
      <c r="M25" s="38">
        <f t="shared" si="6"/>
        <v>0</v>
      </c>
      <c r="N25" s="38">
        <f t="shared" si="7"/>
        <v>0</v>
      </c>
      <c r="O25" s="38">
        <f t="shared" si="8"/>
        <v>0</v>
      </c>
      <c r="P25" s="38">
        <f>Policy_Sched!$I25*(L25+I25)</f>
        <v>0</v>
      </c>
      <c r="Q25" s="42">
        <f t="shared" si="9"/>
        <v>0</v>
      </c>
      <c r="R25" s="38">
        <f t="shared" si="10"/>
        <v>0</v>
      </c>
      <c r="S25" s="38">
        <f t="shared" si="11"/>
        <v>0</v>
      </c>
      <c r="T25" s="38">
        <f>Policy_Sched!$J25*J25</f>
        <v>0</v>
      </c>
      <c r="U25" s="42">
        <f t="shared" si="12"/>
        <v>0</v>
      </c>
      <c r="V25" s="42">
        <f t="shared" si="13"/>
        <v>0</v>
      </c>
      <c r="W25" s="38">
        <f>IF($A25&gt;LastT,0,N25+W26/(1+Policy_Sched!$K25))</f>
        <v>0</v>
      </c>
      <c r="X25" s="38">
        <f>IF($A25&gt;LastT,0,(-Q25+X26)/(1+Policy_Sched!$K25))</f>
        <v>0</v>
      </c>
      <c r="Y25" s="38">
        <f>IF($A25&gt;LastT,0,-V25+Y26/(1+Policy_Sched!$K25))</f>
        <v>0</v>
      </c>
      <c r="Z25" s="42">
        <f t="shared" si="14"/>
        <v>0</v>
      </c>
      <c r="AA25" s="38">
        <f>IF($A25&gt;LastT,0,N25-V25-Q25/(1+Policy_Sched!$K25)+Z26/(1+Policy_Sched!$K25))</f>
        <v>0</v>
      </c>
    </row>
    <row r="26" spans="1:27" x14ac:dyDescent="0.2">
      <c r="A26" s="30">
        <f t="shared" si="15"/>
        <v>19</v>
      </c>
      <c r="B26" s="31">
        <f t="shared" si="16"/>
        <v>0</v>
      </c>
      <c r="C26" s="31">
        <f>IF($A26&gt;LastT,0,IF(AND($D$3&lt;&gt;0,$A26&gt;=T0,Policy_Sched!$B26&lt;LastAge),1+$D$3*$E$3,1))</f>
        <v>0</v>
      </c>
      <c r="D26" s="36">
        <f>IF($A26&gt;LastT,0,IF($C$3="up",MIN(Policy_Sched!$E26*(1+IF($A26&gt;=T0,$E$3,0)),$F$3),IF($C$3="down",MAX(Policy_Sched!$E26*(1-IF($A26&gt;=T0,$E$3,0)),Policy_Sched!$E26-$F$3),Policy_Sched!$E26)))</f>
        <v>0</v>
      </c>
      <c r="E26" s="37">
        <f t="shared" si="17"/>
        <v>0</v>
      </c>
      <c r="F26" s="37">
        <f t="shared" si="0"/>
        <v>0</v>
      </c>
      <c r="G26" s="37">
        <f t="shared" si="1"/>
        <v>0</v>
      </c>
      <c r="H26" s="37">
        <f t="shared" si="2"/>
        <v>0</v>
      </c>
      <c r="I26" s="37">
        <f t="shared" si="3"/>
        <v>0</v>
      </c>
      <c r="J26" s="37">
        <f t="shared" si="4"/>
        <v>0</v>
      </c>
      <c r="K26" s="37">
        <f>IF($A26&gt;LastT,0,J26*Policy_Sched!$C26*Policy_Sched!$D26*C26)</f>
        <v>0</v>
      </c>
      <c r="L26" s="41">
        <f t="shared" si="5"/>
        <v>0</v>
      </c>
      <c r="M26" s="38">
        <f t="shared" si="6"/>
        <v>0</v>
      </c>
      <c r="N26" s="38">
        <f t="shared" si="7"/>
        <v>0</v>
      </c>
      <c r="O26" s="38">
        <f t="shared" si="8"/>
        <v>0</v>
      </c>
      <c r="P26" s="38">
        <f>Policy_Sched!$I26*(L26+I26)</f>
        <v>0</v>
      </c>
      <c r="Q26" s="42">
        <f t="shared" si="9"/>
        <v>0</v>
      </c>
      <c r="R26" s="38">
        <f t="shared" si="10"/>
        <v>0</v>
      </c>
      <c r="S26" s="38">
        <f t="shared" si="11"/>
        <v>0</v>
      </c>
      <c r="T26" s="38">
        <f>Policy_Sched!$J26*J26</f>
        <v>0</v>
      </c>
      <c r="U26" s="42">
        <f t="shared" si="12"/>
        <v>0</v>
      </c>
      <c r="V26" s="42">
        <f t="shared" si="13"/>
        <v>0</v>
      </c>
      <c r="W26" s="38">
        <f>IF($A26&gt;LastT,0,N26+W27/(1+Policy_Sched!$K26))</f>
        <v>0</v>
      </c>
      <c r="X26" s="38">
        <f>IF($A26&gt;LastT,0,(-Q26+X27)/(1+Policy_Sched!$K26))</f>
        <v>0</v>
      </c>
      <c r="Y26" s="38">
        <f>IF($A26&gt;LastT,0,-V26+Y27/(1+Policy_Sched!$K26))</f>
        <v>0</v>
      </c>
      <c r="Z26" s="42">
        <f t="shared" si="14"/>
        <v>0</v>
      </c>
      <c r="AA26" s="38">
        <f>IF($A26&gt;LastT,0,N26-V26-Q26/(1+Policy_Sched!$K26)+Z27/(1+Policy_Sched!$K26))</f>
        <v>0</v>
      </c>
    </row>
    <row r="27" spans="1:27" x14ac:dyDescent="0.2">
      <c r="A27" s="30">
        <f t="shared" si="15"/>
        <v>20</v>
      </c>
      <c r="B27" s="31">
        <f t="shared" si="16"/>
        <v>0</v>
      </c>
      <c r="C27" s="31">
        <f>IF($A27&gt;LastT,0,IF(AND($D$3&lt;&gt;0,$A27&gt;=T0,Policy_Sched!$B27&lt;LastAge),1+$D$3*$E$3,1))</f>
        <v>0</v>
      </c>
      <c r="D27" s="36">
        <f>IF($A27&gt;LastT,0,IF($C$3="up",MIN(Policy_Sched!$E27*(1+IF($A27&gt;=T0,$E$3,0)),$F$3),IF($C$3="down",MAX(Policy_Sched!$E27*(1-IF($A27&gt;=T0,$E$3,0)),Policy_Sched!$E27-$F$3),Policy_Sched!$E27)))</f>
        <v>0</v>
      </c>
      <c r="E27" s="37">
        <f t="shared" si="17"/>
        <v>0</v>
      </c>
      <c r="F27" s="37">
        <f t="shared" si="0"/>
        <v>0</v>
      </c>
      <c r="G27" s="37">
        <f t="shared" si="1"/>
        <v>0</v>
      </c>
      <c r="H27" s="37">
        <f t="shared" si="2"/>
        <v>0</v>
      </c>
      <c r="I27" s="37">
        <f t="shared" si="3"/>
        <v>0</v>
      </c>
      <c r="J27" s="37">
        <f t="shared" si="4"/>
        <v>0</v>
      </c>
      <c r="K27" s="37">
        <f>IF($A27&gt;LastT,0,J27*Policy_Sched!$C27*Policy_Sched!$D27*C27)</f>
        <v>0</v>
      </c>
      <c r="L27" s="41">
        <f t="shared" si="5"/>
        <v>0</v>
      </c>
      <c r="M27" s="38">
        <f t="shared" si="6"/>
        <v>0</v>
      </c>
      <c r="N27" s="38">
        <f t="shared" si="7"/>
        <v>0</v>
      </c>
      <c r="O27" s="38">
        <f t="shared" si="8"/>
        <v>0</v>
      </c>
      <c r="P27" s="38">
        <f>Policy_Sched!$I27*(L27+I27)</f>
        <v>0</v>
      </c>
      <c r="Q27" s="42">
        <f t="shared" si="9"/>
        <v>0</v>
      </c>
      <c r="R27" s="38">
        <f t="shared" si="10"/>
        <v>0</v>
      </c>
      <c r="S27" s="38">
        <f t="shared" si="11"/>
        <v>0</v>
      </c>
      <c r="T27" s="38">
        <f>Policy_Sched!$J27*J27</f>
        <v>0</v>
      </c>
      <c r="U27" s="42">
        <f t="shared" si="12"/>
        <v>0</v>
      </c>
      <c r="V27" s="42">
        <f t="shared" si="13"/>
        <v>0</v>
      </c>
      <c r="W27" s="38">
        <f>IF($A27&gt;LastT,0,N27+W28/(1+Policy_Sched!$K27))</f>
        <v>0</v>
      </c>
      <c r="X27" s="38">
        <f>IF($A27&gt;LastT,0,(-Q27+X28)/(1+Policy_Sched!$K27))</f>
        <v>0</v>
      </c>
      <c r="Y27" s="38">
        <f>IF($A27&gt;LastT,0,-V27+Y28/(1+Policy_Sched!$K27))</f>
        <v>0</v>
      </c>
      <c r="Z27" s="42">
        <f t="shared" si="14"/>
        <v>0</v>
      </c>
      <c r="AA27" s="38">
        <f>IF($A27&gt;LastT,0,N27-V27-Q27/(1+Policy_Sched!$K27)+Z28/(1+Policy_Sched!$K27))</f>
        <v>0</v>
      </c>
    </row>
    <row r="28" spans="1:27" x14ac:dyDescent="0.2">
      <c r="A28" s="30">
        <f t="shared" si="15"/>
        <v>21</v>
      </c>
      <c r="B28" s="31">
        <f t="shared" si="16"/>
        <v>0</v>
      </c>
      <c r="C28" s="31">
        <f>IF($A28&gt;LastT,0,IF(AND($D$3&lt;&gt;0,$A28&gt;=T0,Policy_Sched!$B28&lt;LastAge),1+$D$3*$E$3,1))</f>
        <v>0</v>
      </c>
      <c r="D28" s="36">
        <f>IF($A28&gt;LastT,0,IF($C$3="up",MIN(Policy_Sched!$E28*(1+IF($A28&gt;=T0,$E$3,0)),$F$3),IF($C$3="down",MAX(Policy_Sched!$E28*(1-IF($A28&gt;=T0,$E$3,0)),Policy_Sched!$E28-$F$3),Policy_Sched!$E28)))</f>
        <v>0</v>
      </c>
      <c r="E28" s="37">
        <f t="shared" si="17"/>
        <v>0</v>
      </c>
      <c r="F28" s="37">
        <f t="shared" si="0"/>
        <v>0</v>
      </c>
      <c r="G28" s="37">
        <f t="shared" si="1"/>
        <v>0</v>
      </c>
      <c r="H28" s="37">
        <f t="shared" si="2"/>
        <v>0</v>
      </c>
      <c r="I28" s="37">
        <f t="shared" si="3"/>
        <v>0</v>
      </c>
      <c r="J28" s="37">
        <f t="shared" si="4"/>
        <v>0</v>
      </c>
      <c r="K28" s="37">
        <f>IF($A28&gt;LastT,0,J28*Policy_Sched!$C28*Policy_Sched!$D28*C28)</f>
        <v>0</v>
      </c>
      <c r="L28" s="41">
        <f t="shared" si="5"/>
        <v>0</v>
      </c>
      <c r="M28" s="38">
        <f t="shared" si="6"/>
        <v>0</v>
      </c>
      <c r="N28" s="38">
        <f t="shared" si="7"/>
        <v>0</v>
      </c>
      <c r="O28" s="38">
        <f t="shared" si="8"/>
        <v>0</v>
      </c>
      <c r="P28" s="38">
        <f>Policy_Sched!$I28*(L28+I28)</f>
        <v>0</v>
      </c>
      <c r="Q28" s="42">
        <f t="shared" si="9"/>
        <v>0</v>
      </c>
      <c r="R28" s="38">
        <f t="shared" si="10"/>
        <v>0</v>
      </c>
      <c r="S28" s="38">
        <f t="shared" si="11"/>
        <v>0</v>
      </c>
      <c r="T28" s="38">
        <f>Policy_Sched!$J28*J28</f>
        <v>0</v>
      </c>
      <c r="U28" s="42">
        <f t="shared" si="12"/>
        <v>0</v>
      </c>
      <c r="V28" s="42">
        <f t="shared" si="13"/>
        <v>0</v>
      </c>
      <c r="W28" s="38">
        <f>IF($A28&gt;LastT,0,N28+W29/(1+Policy_Sched!$K28))</f>
        <v>0</v>
      </c>
      <c r="X28" s="38">
        <f>IF($A28&gt;LastT,0,(-Q28+X29)/(1+Policy_Sched!$K28))</f>
        <v>0</v>
      </c>
      <c r="Y28" s="38">
        <f>IF($A28&gt;LastT,0,-V28+Y29/(1+Policy_Sched!$K28))</f>
        <v>0</v>
      </c>
      <c r="Z28" s="42">
        <f t="shared" si="14"/>
        <v>0</v>
      </c>
      <c r="AA28" s="38">
        <f>IF($A28&gt;LastT,0,N28-V28-Q28/(1+Policy_Sched!$K28)+Z29/(1+Policy_Sched!$K28))</f>
        <v>0</v>
      </c>
    </row>
    <row r="29" spans="1:27" x14ac:dyDescent="0.2">
      <c r="A29" s="30">
        <f t="shared" si="15"/>
        <v>22</v>
      </c>
      <c r="B29" s="31">
        <f t="shared" si="16"/>
        <v>0</v>
      </c>
      <c r="C29" s="31">
        <f>IF($A29&gt;LastT,0,IF(AND($D$3&lt;&gt;0,$A29&gt;=T0,Policy_Sched!$B29&lt;LastAge),1+$D$3*$E$3,1))</f>
        <v>0</v>
      </c>
      <c r="D29" s="36">
        <f>IF($A29&gt;LastT,0,IF($C$3="up",MIN(Policy_Sched!$E29*(1+IF($A29&gt;=T0,$E$3,0)),$F$3),IF($C$3="down",MAX(Policy_Sched!$E29*(1-IF($A29&gt;=T0,$E$3,0)),Policy_Sched!$E29-$F$3),Policy_Sched!$E29)))</f>
        <v>0</v>
      </c>
      <c r="E29" s="37">
        <f t="shared" si="17"/>
        <v>0</v>
      </c>
      <c r="F29" s="37">
        <f t="shared" si="0"/>
        <v>0</v>
      </c>
      <c r="G29" s="37">
        <f t="shared" si="1"/>
        <v>0</v>
      </c>
      <c r="H29" s="37">
        <f t="shared" si="2"/>
        <v>0</v>
      </c>
      <c r="I29" s="37">
        <f t="shared" si="3"/>
        <v>0</v>
      </c>
      <c r="J29" s="37">
        <f t="shared" si="4"/>
        <v>0</v>
      </c>
      <c r="K29" s="37">
        <f>IF($A29&gt;LastT,0,J29*Policy_Sched!$C29*Policy_Sched!$D29*C29)</f>
        <v>0</v>
      </c>
      <c r="L29" s="41">
        <f t="shared" si="5"/>
        <v>0</v>
      </c>
      <c r="M29" s="38">
        <f t="shared" si="6"/>
        <v>0</v>
      </c>
      <c r="N29" s="38">
        <f t="shared" si="7"/>
        <v>0</v>
      </c>
      <c r="O29" s="38">
        <f t="shared" si="8"/>
        <v>0</v>
      </c>
      <c r="P29" s="38">
        <f>Policy_Sched!$I29*(L29+I29)</f>
        <v>0</v>
      </c>
      <c r="Q29" s="42">
        <f t="shared" si="9"/>
        <v>0</v>
      </c>
      <c r="R29" s="38">
        <f t="shared" si="10"/>
        <v>0</v>
      </c>
      <c r="S29" s="38">
        <f t="shared" si="11"/>
        <v>0</v>
      </c>
      <c r="T29" s="38">
        <f>Policy_Sched!$J29*J29</f>
        <v>0</v>
      </c>
      <c r="U29" s="42">
        <f t="shared" si="12"/>
        <v>0</v>
      </c>
      <c r="V29" s="42">
        <f t="shared" si="13"/>
        <v>0</v>
      </c>
      <c r="W29" s="38">
        <f>IF($A29&gt;LastT,0,N29+W30/(1+Policy_Sched!$K29))</f>
        <v>0</v>
      </c>
      <c r="X29" s="38">
        <f>IF($A29&gt;LastT,0,(-Q29+X30)/(1+Policy_Sched!$K29))</f>
        <v>0</v>
      </c>
      <c r="Y29" s="38">
        <f>IF($A29&gt;LastT,0,-V29+Y30/(1+Policy_Sched!$K29))</f>
        <v>0</v>
      </c>
      <c r="Z29" s="42">
        <f t="shared" si="14"/>
        <v>0</v>
      </c>
      <c r="AA29" s="38">
        <f>IF($A29&gt;LastT,0,N29-V29-Q29/(1+Policy_Sched!$K29)+Z30/(1+Policy_Sched!$K29))</f>
        <v>0</v>
      </c>
    </row>
    <row r="30" spans="1:27" x14ac:dyDescent="0.2">
      <c r="A30" s="30">
        <f t="shared" si="15"/>
        <v>23</v>
      </c>
      <c r="B30" s="31">
        <f t="shared" si="16"/>
        <v>0</v>
      </c>
      <c r="C30" s="31">
        <f>IF($A30&gt;LastT,0,IF(AND($D$3&lt;&gt;0,$A30&gt;=T0,Policy_Sched!$B30&lt;LastAge),1+$D$3*$E$3,1))</f>
        <v>0</v>
      </c>
      <c r="D30" s="36">
        <f>IF($A30&gt;LastT,0,IF($C$3="up",MIN(Policy_Sched!$E30*(1+IF($A30&gt;=T0,$E$3,0)),$F$3),IF($C$3="down",MAX(Policy_Sched!$E30*(1-IF($A30&gt;=T0,$E$3,0)),Policy_Sched!$E30-$F$3),Policy_Sched!$E30)))</f>
        <v>0</v>
      </c>
      <c r="E30" s="37">
        <f t="shared" si="17"/>
        <v>0</v>
      </c>
      <c r="F30" s="37">
        <f t="shared" si="0"/>
        <v>0</v>
      </c>
      <c r="G30" s="37">
        <f t="shared" si="1"/>
        <v>0</v>
      </c>
      <c r="H30" s="37">
        <f t="shared" si="2"/>
        <v>0</v>
      </c>
      <c r="I30" s="37">
        <f t="shared" si="3"/>
        <v>0</v>
      </c>
      <c r="J30" s="37">
        <f t="shared" si="4"/>
        <v>0</v>
      </c>
      <c r="K30" s="37">
        <f>IF($A30&gt;LastT,0,J30*Policy_Sched!$C30*Policy_Sched!$D30*C30)</f>
        <v>0</v>
      </c>
      <c r="L30" s="41">
        <f t="shared" si="5"/>
        <v>0</v>
      </c>
      <c r="M30" s="38">
        <f t="shared" si="6"/>
        <v>0</v>
      </c>
      <c r="N30" s="38">
        <f t="shared" si="7"/>
        <v>0</v>
      </c>
      <c r="O30" s="38">
        <f t="shared" si="8"/>
        <v>0</v>
      </c>
      <c r="P30" s="38">
        <f>Policy_Sched!$I30*(L30+I30)</f>
        <v>0</v>
      </c>
      <c r="Q30" s="42">
        <f t="shared" si="9"/>
        <v>0</v>
      </c>
      <c r="R30" s="38">
        <f t="shared" si="10"/>
        <v>0</v>
      </c>
      <c r="S30" s="38">
        <f t="shared" si="11"/>
        <v>0</v>
      </c>
      <c r="T30" s="38">
        <f>Policy_Sched!$J30*J30</f>
        <v>0</v>
      </c>
      <c r="U30" s="42">
        <f t="shared" si="12"/>
        <v>0</v>
      </c>
      <c r="V30" s="42">
        <f t="shared" si="13"/>
        <v>0</v>
      </c>
      <c r="W30" s="38">
        <f>IF($A30&gt;LastT,0,N30+W31/(1+Policy_Sched!$K30))</f>
        <v>0</v>
      </c>
      <c r="X30" s="38">
        <f>IF($A30&gt;LastT,0,(-Q30+X31)/(1+Policy_Sched!$K30))</f>
        <v>0</v>
      </c>
      <c r="Y30" s="38">
        <f>IF($A30&gt;LastT,0,-V30+Y31/(1+Policy_Sched!$K30))</f>
        <v>0</v>
      </c>
      <c r="Z30" s="42">
        <f t="shared" si="14"/>
        <v>0</v>
      </c>
      <c r="AA30" s="38">
        <f>IF($A30&gt;LastT,0,N30-V30-Q30/(1+Policy_Sched!$K30)+Z31/(1+Policy_Sched!$K30))</f>
        <v>0</v>
      </c>
    </row>
    <row r="31" spans="1:27" x14ac:dyDescent="0.2">
      <c r="A31" s="30">
        <f t="shared" si="15"/>
        <v>24</v>
      </c>
      <c r="B31" s="31">
        <f t="shared" si="16"/>
        <v>0</v>
      </c>
      <c r="C31" s="31">
        <f>IF($A31&gt;LastT,0,IF(AND($D$3&lt;&gt;0,$A31&gt;=T0,Policy_Sched!$B31&lt;LastAge),1+$D$3*$E$3,1))</f>
        <v>0</v>
      </c>
      <c r="D31" s="36">
        <f>IF($A31&gt;LastT,0,IF($C$3="up",MIN(Policy_Sched!$E31*(1+IF($A31&gt;=T0,$E$3,0)),$F$3),IF($C$3="down",MAX(Policy_Sched!$E31*(1-IF($A31&gt;=T0,$E$3,0)),Policy_Sched!$E31-$F$3),Policy_Sched!$E31)))</f>
        <v>0</v>
      </c>
      <c r="E31" s="37">
        <f t="shared" si="17"/>
        <v>0</v>
      </c>
      <c r="F31" s="37">
        <f t="shared" si="0"/>
        <v>0</v>
      </c>
      <c r="G31" s="37">
        <f t="shared" si="1"/>
        <v>0</v>
      </c>
      <c r="H31" s="37">
        <f t="shared" si="2"/>
        <v>0</v>
      </c>
      <c r="I31" s="37">
        <f t="shared" si="3"/>
        <v>0</v>
      </c>
      <c r="J31" s="37">
        <f t="shared" si="4"/>
        <v>0</v>
      </c>
      <c r="K31" s="37">
        <f>IF($A31&gt;LastT,0,J31*Policy_Sched!$C31*Policy_Sched!$D31*C31)</f>
        <v>0</v>
      </c>
      <c r="L31" s="41">
        <f t="shared" si="5"/>
        <v>0</v>
      </c>
      <c r="M31" s="38">
        <f t="shared" si="6"/>
        <v>0</v>
      </c>
      <c r="N31" s="38">
        <f t="shared" si="7"/>
        <v>0</v>
      </c>
      <c r="O31" s="38">
        <f t="shared" si="8"/>
        <v>0</v>
      </c>
      <c r="P31" s="38">
        <f>Policy_Sched!$I31*(L31+I31)</f>
        <v>0</v>
      </c>
      <c r="Q31" s="42">
        <f t="shared" si="9"/>
        <v>0</v>
      </c>
      <c r="R31" s="38">
        <f t="shared" si="10"/>
        <v>0</v>
      </c>
      <c r="S31" s="38">
        <f t="shared" si="11"/>
        <v>0</v>
      </c>
      <c r="T31" s="38">
        <f>Policy_Sched!$J31*J31</f>
        <v>0</v>
      </c>
      <c r="U31" s="42">
        <f t="shared" si="12"/>
        <v>0</v>
      </c>
      <c r="V31" s="42">
        <f t="shared" si="13"/>
        <v>0</v>
      </c>
      <c r="W31" s="38">
        <f>IF($A31&gt;LastT,0,N31+W32/(1+Policy_Sched!$K31))</f>
        <v>0</v>
      </c>
      <c r="X31" s="38">
        <f>IF($A31&gt;LastT,0,(-Q31+X32)/(1+Policy_Sched!$K31))</f>
        <v>0</v>
      </c>
      <c r="Y31" s="38">
        <f>IF($A31&gt;LastT,0,-V31+Y32/(1+Policy_Sched!$K31))</f>
        <v>0</v>
      </c>
      <c r="Z31" s="42">
        <f t="shared" si="14"/>
        <v>0</v>
      </c>
      <c r="AA31" s="38">
        <f>IF($A31&gt;LastT,0,N31-V31-Q31/(1+Policy_Sched!$K31)+Z32/(1+Policy_Sched!$K31))</f>
        <v>0</v>
      </c>
    </row>
    <row r="32" spans="1:27" x14ac:dyDescent="0.2">
      <c r="A32" s="30">
        <f t="shared" si="15"/>
        <v>25</v>
      </c>
      <c r="B32" s="31">
        <f t="shared" si="16"/>
        <v>0</v>
      </c>
      <c r="C32" s="31">
        <f>IF($A32&gt;LastT,0,IF(AND($D$3&lt;&gt;0,$A32&gt;=T0,Policy_Sched!$B32&lt;LastAge),1+$D$3*$E$3,1))</f>
        <v>0</v>
      </c>
      <c r="D32" s="36">
        <f>IF($A32&gt;LastT,0,IF($C$3="up",MIN(Policy_Sched!$E32*(1+IF($A32&gt;=T0,$E$3,0)),$F$3),IF($C$3="down",MAX(Policy_Sched!$E32*(1-IF($A32&gt;=T0,$E$3,0)),Policy_Sched!$E32-$F$3),Policy_Sched!$E32)))</f>
        <v>0</v>
      </c>
      <c r="E32" s="37">
        <f t="shared" si="17"/>
        <v>0</v>
      </c>
      <c r="F32" s="37">
        <f t="shared" si="0"/>
        <v>0</v>
      </c>
      <c r="G32" s="37">
        <f t="shared" si="1"/>
        <v>0</v>
      </c>
      <c r="H32" s="37">
        <f t="shared" si="2"/>
        <v>0</v>
      </c>
      <c r="I32" s="37">
        <f t="shared" si="3"/>
        <v>0</v>
      </c>
      <c r="J32" s="37">
        <f t="shared" si="4"/>
        <v>0</v>
      </c>
      <c r="K32" s="37">
        <f>IF($A32&gt;LastT,0,J32*Policy_Sched!$C32*Policy_Sched!$D32*C32)</f>
        <v>0</v>
      </c>
      <c r="L32" s="41">
        <f t="shared" si="5"/>
        <v>0</v>
      </c>
      <c r="M32" s="38">
        <f t="shared" si="6"/>
        <v>0</v>
      </c>
      <c r="N32" s="38">
        <f t="shared" si="7"/>
        <v>0</v>
      </c>
      <c r="O32" s="38">
        <f t="shared" si="8"/>
        <v>0</v>
      </c>
      <c r="P32" s="38">
        <f>Policy_Sched!$I32*(L32+I32)</f>
        <v>0</v>
      </c>
      <c r="Q32" s="42">
        <f t="shared" si="9"/>
        <v>0</v>
      </c>
      <c r="R32" s="38">
        <f t="shared" si="10"/>
        <v>0</v>
      </c>
      <c r="S32" s="38">
        <f t="shared" si="11"/>
        <v>0</v>
      </c>
      <c r="T32" s="38">
        <f>Policy_Sched!$J32*J32</f>
        <v>0</v>
      </c>
      <c r="U32" s="42">
        <f t="shared" si="12"/>
        <v>0</v>
      </c>
      <c r="V32" s="42">
        <f t="shared" si="13"/>
        <v>0</v>
      </c>
      <c r="W32" s="38">
        <f>IF($A32&gt;LastT,0,N32+W33/(1+Policy_Sched!$K32))</f>
        <v>0</v>
      </c>
      <c r="X32" s="38">
        <f>IF($A32&gt;LastT,0,(-Q32+X33)/(1+Policy_Sched!$K32))</f>
        <v>0</v>
      </c>
      <c r="Y32" s="38">
        <f>IF($A32&gt;LastT,0,-V32+Y33/(1+Policy_Sched!$K32))</f>
        <v>0</v>
      </c>
      <c r="Z32" s="42">
        <f t="shared" si="14"/>
        <v>0</v>
      </c>
      <c r="AA32" s="38">
        <f>IF($A32&gt;LastT,0,N32-V32-Q32/(1+Policy_Sched!$K32)+Z33/(1+Policy_Sched!$K32))</f>
        <v>0</v>
      </c>
    </row>
    <row r="33" spans="1:27" x14ac:dyDescent="0.2">
      <c r="A33" s="30">
        <f t="shared" si="15"/>
        <v>26</v>
      </c>
      <c r="B33" s="31">
        <f t="shared" si="16"/>
        <v>0</v>
      </c>
      <c r="C33" s="31">
        <f>IF($A33&gt;LastT,0,IF(AND($D$3&lt;&gt;0,$A33&gt;=T0,Policy_Sched!$B33&lt;LastAge),1+$D$3*$E$3,1))</f>
        <v>0</v>
      </c>
      <c r="D33" s="36">
        <f>IF($A33&gt;LastT,0,IF($C$3="up",MIN(Policy_Sched!$E33*(1+IF($A33&gt;=T0,$E$3,0)),$F$3),IF($C$3="down",MAX(Policy_Sched!$E33*(1-IF($A33&gt;=T0,$E$3,0)),Policy_Sched!$E33-$F$3),Policy_Sched!$E33)))</f>
        <v>0</v>
      </c>
      <c r="E33" s="37">
        <f t="shared" si="17"/>
        <v>0</v>
      </c>
      <c r="F33" s="37">
        <f t="shared" si="0"/>
        <v>0</v>
      </c>
      <c r="G33" s="37">
        <f t="shared" si="1"/>
        <v>0</v>
      </c>
      <c r="H33" s="37">
        <f t="shared" si="2"/>
        <v>0</v>
      </c>
      <c r="I33" s="37">
        <f t="shared" si="3"/>
        <v>0</v>
      </c>
      <c r="J33" s="37">
        <f t="shared" si="4"/>
        <v>0</v>
      </c>
      <c r="K33" s="37">
        <f>IF($A33&gt;LastT,0,J33*Policy_Sched!$C33*Policy_Sched!$D33*C33)</f>
        <v>0</v>
      </c>
      <c r="L33" s="41">
        <f t="shared" si="5"/>
        <v>0</v>
      </c>
      <c r="M33" s="38">
        <f t="shared" si="6"/>
        <v>0</v>
      </c>
      <c r="N33" s="38">
        <f t="shared" si="7"/>
        <v>0</v>
      </c>
      <c r="O33" s="38">
        <f t="shared" si="8"/>
        <v>0</v>
      </c>
      <c r="P33" s="38">
        <f>Policy_Sched!$I33*(L33+I33)</f>
        <v>0</v>
      </c>
      <c r="Q33" s="42">
        <f t="shared" si="9"/>
        <v>0</v>
      </c>
      <c r="R33" s="38">
        <f t="shared" si="10"/>
        <v>0</v>
      </c>
      <c r="S33" s="38">
        <f t="shared" si="11"/>
        <v>0</v>
      </c>
      <c r="T33" s="38">
        <f>Policy_Sched!$J33*J33</f>
        <v>0</v>
      </c>
      <c r="U33" s="42">
        <f t="shared" si="12"/>
        <v>0</v>
      </c>
      <c r="V33" s="42">
        <f t="shared" si="13"/>
        <v>0</v>
      </c>
      <c r="W33" s="38">
        <f>IF($A33&gt;LastT,0,N33+W34/(1+Policy_Sched!$K33))</f>
        <v>0</v>
      </c>
      <c r="X33" s="38">
        <f>IF($A33&gt;LastT,0,(-Q33+X34)/(1+Policy_Sched!$K33))</f>
        <v>0</v>
      </c>
      <c r="Y33" s="38">
        <f>IF($A33&gt;LastT,0,-V33+Y34/(1+Policy_Sched!$K33))</f>
        <v>0</v>
      </c>
      <c r="Z33" s="42">
        <f t="shared" si="14"/>
        <v>0</v>
      </c>
      <c r="AA33" s="38">
        <f>IF($A33&gt;LastT,0,N33-V33-Q33/(1+Policy_Sched!$K33)+Z34/(1+Policy_Sched!$K33))</f>
        <v>0</v>
      </c>
    </row>
    <row r="34" spans="1:27" x14ac:dyDescent="0.2">
      <c r="A34" s="30">
        <f t="shared" si="15"/>
        <v>27</v>
      </c>
      <c r="B34" s="31">
        <f t="shared" si="16"/>
        <v>0</v>
      </c>
      <c r="C34" s="31">
        <f>IF($A34&gt;LastT,0,IF(AND($D$3&lt;&gt;0,$A34&gt;=T0,Policy_Sched!$B34&lt;LastAge),1+$D$3*$E$3,1))</f>
        <v>0</v>
      </c>
      <c r="D34" s="36">
        <f>IF($A34&gt;LastT,0,IF($C$3="up",MIN(Policy_Sched!$E34*(1+IF($A34&gt;=T0,$E$3,0)),$F$3),IF($C$3="down",MAX(Policy_Sched!$E34*(1-IF($A34&gt;=T0,$E$3,0)),Policy_Sched!$E34-$F$3),Policy_Sched!$E34)))</f>
        <v>0</v>
      </c>
      <c r="E34" s="37">
        <f t="shared" si="17"/>
        <v>0</v>
      </c>
      <c r="F34" s="37">
        <f t="shared" si="0"/>
        <v>0</v>
      </c>
      <c r="G34" s="37">
        <f t="shared" si="1"/>
        <v>0</v>
      </c>
      <c r="H34" s="37">
        <f t="shared" si="2"/>
        <v>0</v>
      </c>
      <c r="I34" s="37">
        <f t="shared" si="3"/>
        <v>0</v>
      </c>
      <c r="J34" s="37">
        <f t="shared" si="4"/>
        <v>0</v>
      </c>
      <c r="K34" s="37">
        <f>IF($A34&gt;LastT,0,J34*Policy_Sched!$C34*Policy_Sched!$D34*C34)</f>
        <v>0</v>
      </c>
      <c r="L34" s="41">
        <f t="shared" si="5"/>
        <v>0</v>
      </c>
      <c r="M34" s="38">
        <f t="shared" si="6"/>
        <v>0</v>
      </c>
      <c r="N34" s="38">
        <f t="shared" si="7"/>
        <v>0</v>
      </c>
      <c r="O34" s="38">
        <f t="shared" si="8"/>
        <v>0</v>
      </c>
      <c r="P34" s="38">
        <f>Policy_Sched!$I34*(L34+I34)</f>
        <v>0</v>
      </c>
      <c r="Q34" s="42">
        <f t="shared" si="9"/>
        <v>0</v>
      </c>
      <c r="R34" s="38">
        <f t="shared" si="10"/>
        <v>0</v>
      </c>
      <c r="S34" s="38">
        <f t="shared" si="11"/>
        <v>0</v>
      </c>
      <c r="T34" s="38">
        <f>Policy_Sched!$J34*J34</f>
        <v>0</v>
      </c>
      <c r="U34" s="42">
        <f t="shared" si="12"/>
        <v>0</v>
      </c>
      <c r="V34" s="42">
        <f t="shared" si="13"/>
        <v>0</v>
      </c>
      <c r="W34" s="38">
        <f>IF($A34&gt;LastT,0,N34+W35/(1+Policy_Sched!$K34))</f>
        <v>0</v>
      </c>
      <c r="X34" s="38">
        <f>IF($A34&gt;LastT,0,(-Q34+X35)/(1+Policy_Sched!$K34))</f>
        <v>0</v>
      </c>
      <c r="Y34" s="38">
        <f>IF($A34&gt;LastT,0,-V34+Y35/(1+Policy_Sched!$K34))</f>
        <v>0</v>
      </c>
      <c r="Z34" s="42">
        <f t="shared" si="14"/>
        <v>0</v>
      </c>
      <c r="AA34" s="38">
        <f>IF($A34&gt;LastT,0,N34-V34-Q34/(1+Policy_Sched!$K34)+Z35/(1+Policy_Sched!$K34))</f>
        <v>0</v>
      </c>
    </row>
    <row r="35" spans="1:27" x14ac:dyDescent="0.2">
      <c r="A35" s="30">
        <f t="shared" si="15"/>
        <v>28</v>
      </c>
      <c r="B35" s="31">
        <f t="shared" si="16"/>
        <v>0</v>
      </c>
      <c r="C35" s="31">
        <f>IF($A35&gt;LastT,0,IF(AND($D$3&lt;&gt;0,$A35&gt;=T0,Policy_Sched!$B35&lt;LastAge),1+$D$3*$E$3,1))</f>
        <v>0</v>
      </c>
      <c r="D35" s="36">
        <f>IF($A35&gt;LastT,0,IF($C$3="up",MIN(Policy_Sched!$E35*(1+IF($A35&gt;=T0,$E$3,0)),$F$3),IF($C$3="down",MAX(Policy_Sched!$E35*(1-IF($A35&gt;=T0,$E$3,0)),Policy_Sched!$E35-$F$3),Policy_Sched!$E35)))</f>
        <v>0</v>
      </c>
      <c r="E35" s="37">
        <f t="shared" si="17"/>
        <v>0</v>
      </c>
      <c r="F35" s="37">
        <f t="shared" si="0"/>
        <v>0</v>
      </c>
      <c r="G35" s="37">
        <f t="shared" si="1"/>
        <v>0</v>
      </c>
      <c r="H35" s="37">
        <f t="shared" si="2"/>
        <v>0</v>
      </c>
      <c r="I35" s="37">
        <f t="shared" si="3"/>
        <v>0</v>
      </c>
      <c r="J35" s="37">
        <f t="shared" si="4"/>
        <v>0</v>
      </c>
      <c r="K35" s="37">
        <f>IF($A35&gt;LastT,0,J35*Policy_Sched!$C35*Policy_Sched!$D35*C35)</f>
        <v>0</v>
      </c>
      <c r="L35" s="41">
        <f t="shared" si="5"/>
        <v>0</v>
      </c>
      <c r="M35" s="38">
        <f t="shared" si="6"/>
        <v>0</v>
      </c>
      <c r="N35" s="38">
        <f t="shared" si="7"/>
        <v>0</v>
      </c>
      <c r="O35" s="38">
        <f t="shared" si="8"/>
        <v>0</v>
      </c>
      <c r="P35" s="38">
        <f>Policy_Sched!$I35*(L35+I35)</f>
        <v>0</v>
      </c>
      <c r="Q35" s="42">
        <f t="shared" si="9"/>
        <v>0</v>
      </c>
      <c r="R35" s="38">
        <f t="shared" si="10"/>
        <v>0</v>
      </c>
      <c r="S35" s="38">
        <f t="shared" si="11"/>
        <v>0</v>
      </c>
      <c r="T35" s="38">
        <f>Policy_Sched!$J35*J35</f>
        <v>0</v>
      </c>
      <c r="U35" s="42">
        <f t="shared" si="12"/>
        <v>0</v>
      </c>
      <c r="V35" s="42">
        <f t="shared" si="13"/>
        <v>0</v>
      </c>
      <c r="W35" s="38">
        <f>IF($A35&gt;LastT,0,N35+W36/(1+Policy_Sched!$K35))</f>
        <v>0</v>
      </c>
      <c r="X35" s="38">
        <f>IF($A35&gt;LastT,0,(-Q35+X36)/(1+Policy_Sched!$K35))</f>
        <v>0</v>
      </c>
      <c r="Y35" s="38">
        <f>IF($A35&gt;LastT,0,-V35+Y36/(1+Policy_Sched!$K35))</f>
        <v>0</v>
      </c>
      <c r="Z35" s="42">
        <f t="shared" si="14"/>
        <v>0</v>
      </c>
      <c r="AA35" s="38">
        <f>IF($A35&gt;LastT,0,N35-V35-Q35/(1+Policy_Sched!$K35)+Z36/(1+Policy_Sched!$K35))</f>
        <v>0</v>
      </c>
    </row>
    <row r="36" spans="1:27" x14ac:dyDescent="0.2">
      <c r="A36" s="30">
        <f t="shared" si="15"/>
        <v>29</v>
      </c>
      <c r="B36" s="31">
        <f t="shared" si="16"/>
        <v>0</v>
      </c>
      <c r="C36" s="31">
        <f>IF($A36&gt;LastT,0,IF(AND($D$3&lt;&gt;0,$A36&gt;=T0,Policy_Sched!$B36&lt;LastAge),1+$D$3*$E$3,1))</f>
        <v>0</v>
      </c>
      <c r="D36" s="36">
        <f>IF($A36&gt;LastT,0,IF($C$3="up",MIN(Policy_Sched!$E36*(1+IF($A36&gt;=T0,$E$3,0)),$F$3),IF($C$3="down",MAX(Policy_Sched!$E36*(1-IF($A36&gt;=T0,$E$3,0)),Policy_Sched!$E36-$F$3),Policy_Sched!$E36)))</f>
        <v>0</v>
      </c>
      <c r="E36" s="37">
        <f t="shared" si="17"/>
        <v>0</v>
      </c>
      <c r="F36" s="37">
        <f t="shared" si="0"/>
        <v>0</v>
      </c>
      <c r="G36" s="37">
        <f t="shared" si="1"/>
        <v>0</v>
      </c>
      <c r="H36" s="37">
        <f t="shared" si="2"/>
        <v>0</v>
      </c>
      <c r="I36" s="37">
        <f t="shared" si="3"/>
        <v>0</v>
      </c>
      <c r="J36" s="37">
        <f t="shared" si="4"/>
        <v>0</v>
      </c>
      <c r="K36" s="37">
        <f>IF($A36&gt;LastT,0,J36*Policy_Sched!$C36*Policy_Sched!$D36*C36)</f>
        <v>0</v>
      </c>
      <c r="L36" s="41">
        <f t="shared" si="5"/>
        <v>0</v>
      </c>
      <c r="M36" s="38">
        <f t="shared" si="6"/>
        <v>0</v>
      </c>
      <c r="N36" s="38">
        <f t="shared" si="7"/>
        <v>0</v>
      </c>
      <c r="O36" s="38">
        <f t="shared" si="8"/>
        <v>0</v>
      </c>
      <c r="P36" s="38">
        <f>Policy_Sched!$I36*(L36+I36)</f>
        <v>0</v>
      </c>
      <c r="Q36" s="42">
        <f t="shared" si="9"/>
        <v>0</v>
      </c>
      <c r="R36" s="38">
        <f t="shared" si="10"/>
        <v>0</v>
      </c>
      <c r="S36" s="38">
        <f t="shared" si="11"/>
        <v>0</v>
      </c>
      <c r="T36" s="38">
        <f>Policy_Sched!$J36*J36</f>
        <v>0</v>
      </c>
      <c r="U36" s="42">
        <f t="shared" si="12"/>
        <v>0</v>
      </c>
      <c r="V36" s="42">
        <f t="shared" si="13"/>
        <v>0</v>
      </c>
      <c r="W36" s="38">
        <f>IF($A36&gt;LastT,0,N36+W37/(1+Policy_Sched!$K36))</f>
        <v>0</v>
      </c>
      <c r="X36" s="38">
        <f>IF($A36&gt;LastT,0,(-Q36+X37)/(1+Policy_Sched!$K36))</f>
        <v>0</v>
      </c>
      <c r="Y36" s="38">
        <f>IF($A36&gt;LastT,0,-V36+Y37/(1+Policy_Sched!$K36))</f>
        <v>0</v>
      </c>
      <c r="Z36" s="42">
        <f t="shared" si="14"/>
        <v>0</v>
      </c>
      <c r="AA36" s="38">
        <f>IF($A36&gt;LastT,0,N36-V36-Q36/(1+Policy_Sched!$K36)+Z37/(1+Policy_Sched!$K36))</f>
        <v>0</v>
      </c>
    </row>
    <row r="37" spans="1:27" x14ac:dyDescent="0.2">
      <c r="A37" s="30">
        <f t="shared" si="15"/>
        <v>30</v>
      </c>
      <c r="B37" s="31">
        <f t="shared" si="16"/>
        <v>0</v>
      </c>
      <c r="C37" s="31">
        <f>IF($A37&gt;LastT,0,IF(AND($D$3&lt;&gt;0,$A37&gt;=T0,Policy_Sched!$B37&lt;LastAge),1+$D$3*$E$3,1))</f>
        <v>0</v>
      </c>
      <c r="D37" s="36">
        <f>IF($A37&gt;LastT,0,IF($C$3="up",MIN(Policy_Sched!$E37*(1+IF($A37&gt;=T0,$E$3,0)),$F$3),IF($C$3="down",MAX(Policy_Sched!$E37*(1-IF($A37&gt;=T0,$E$3,0)),Policy_Sched!$E37-$F$3),Policy_Sched!$E37)))</f>
        <v>0</v>
      </c>
      <c r="E37" s="37">
        <f t="shared" si="17"/>
        <v>0</v>
      </c>
      <c r="F37" s="37">
        <f t="shared" si="0"/>
        <v>0</v>
      </c>
      <c r="G37" s="37">
        <f t="shared" si="1"/>
        <v>0</v>
      </c>
      <c r="H37" s="37">
        <f t="shared" si="2"/>
        <v>0</v>
      </c>
      <c r="I37" s="37">
        <f t="shared" si="3"/>
        <v>0</v>
      </c>
      <c r="J37" s="37">
        <f t="shared" si="4"/>
        <v>0</v>
      </c>
      <c r="K37" s="37">
        <f>IF($A37&gt;LastT,0,J37*Policy_Sched!$C37*Policy_Sched!$D37*C37)</f>
        <v>0</v>
      </c>
      <c r="L37" s="41">
        <f t="shared" si="5"/>
        <v>0</v>
      </c>
      <c r="M37" s="38">
        <f t="shared" si="6"/>
        <v>0</v>
      </c>
      <c r="N37" s="38">
        <f t="shared" si="7"/>
        <v>0</v>
      </c>
      <c r="O37" s="38">
        <f t="shared" si="8"/>
        <v>0</v>
      </c>
      <c r="P37" s="38">
        <f>Policy_Sched!$I37*(L37+I37)</f>
        <v>0</v>
      </c>
      <c r="Q37" s="42">
        <f t="shared" si="9"/>
        <v>0</v>
      </c>
      <c r="R37" s="38">
        <f t="shared" si="10"/>
        <v>0</v>
      </c>
      <c r="S37" s="38">
        <f t="shared" si="11"/>
        <v>0</v>
      </c>
      <c r="T37" s="38">
        <f>Policy_Sched!$J37*J37</f>
        <v>0</v>
      </c>
      <c r="U37" s="42">
        <f t="shared" si="12"/>
        <v>0</v>
      </c>
      <c r="V37" s="42">
        <f t="shared" si="13"/>
        <v>0</v>
      </c>
      <c r="W37" s="38">
        <f>IF($A37&gt;LastT,0,N37+W38/(1+Policy_Sched!$K37))</f>
        <v>0</v>
      </c>
      <c r="X37" s="38">
        <f>IF($A37&gt;LastT,0,(-Q37+X38)/(1+Policy_Sched!$K37))</f>
        <v>0</v>
      </c>
      <c r="Y37" s="38">
        <f>IF($A37&gt;LastT,0,-V37+Y38/(1+Policy_Sched!$K37))</f>
        <v>0</v>
      </c>
      <c r="Z37" s="42">
        <f t="shared" si="14"/>
        <v>0</v>
      </c>
      <c r="AA37" s="38">
        <f>IF($A37&gt;LastT,0,N37-V37-Q37/(1+Policy_Sched!$K37)+Z38/(1+Policy_Sched!$K37))</f>
        <v>0</v>
      </c>
    </row>
    <row r="38" spans="1:27" x14ac:dyDescent="0.2">
      <c r="A38" s="30">
        <f t="shared" si="15"/>
        <v>31</v>
      </c>
      <c r="B38" s="31">
        <f t="shared" si="16"/>
        <v>0</v>
      </c>
      <c r="C38" s="31">
        <f>IF($A38&gt;LastT,0,IF(AND($D$3&lt;&gt;0,$A38&gt;=T0,Policy_Sched!$B38&lt;LastAge),1+$D$3*$E$3,1))</f>
        <v>0</v>
      </c>
      <c r="D38" s="36">
        <f>IF($A38&gt;LastT,0,IF($C$3="up",MIN(Policy_Sched!$E38*(1+IF($A38&gt;=T0,$E$3,0)),$F$3),IF($C$3="down",MAX(Policy_Sched!$E38*(1-IF($A38&gt;=T0,$E$3,0)),Policy_Sched!$E38-$F$3),Policy_Sched!$E38)))</f>
        <v>0</v>
      </c>
      <c r="E38" s="37">
        <f t="shared" si="17"/>
        <v>0</v>
      </c>
      <c r="F38" s="37">
        <f t="shared" si="0"/>
        <v>0</v>
      </c>
      <c r="G38" s="37">
        <f t="shared" si="1"/>
        <v>0</v>
      </c>
      <c r="H38" s="37">
        <f t="shared" si="2"/>
        <v>0</v>
      </c>
      <c r="I38" s="37">
        <f t="shared" si="3"/>
        <v>0</v>
      </c>
      <c r="J38" s="37">
        <f t="shared" si="4"/>
        <v>0</v>
      </c>
      <c r="K38" s="37">
        <f>IF($A38&gt;LastT,0,J38*Policy_Sched!$C38*Policy_Sched!$D38*C38)</f>
        <v>0</v>
      </c>
      <c r="L38" s="41">
        <f t="shared" si="5"/>
        <v>0</v>
      </c>
      <c r="M38" s="38">
        <f t="shared" si="6"/>
        <v>0</v>
      </c>
      <c r="N38" s="38">
        <f t="shared" si="7"/>
        <v>0</v>
      </c>
      <c r="O38" s="38">
        <f t="shared" si="8"/>
        <v>0</v>
      </c>
      <c r="P38" s="38">
        <f>Policy_Sched!$I38*(L38+I38)</f>
        <v>0</v>
      </c>
      <c r="Q38" s="42">
        <f t="shared" si="9"/>
        <v>0</v>
      </c>
      <c r="R38" s="38">
        <f t="shared" si="10"/>
        <v>0</v>
      </c>
      <c r="S38" s="38">
        <f t="shared" si="11"/>
        <v>0</v>
      </c>
      <c r="T38" s="38">
        <f>Policy_Sched!$J38*J38</f>
        <v>0</v>
      </c>
      <c r="U38" s="42">
        <f t="shared" si="12"/>
        <v>0</v>
      </c>
      <c r="V38" s="42">
        <f t="shared" si="13"/>
        <v>0</v>
      </c>
      <c r="W38" s="38">
        <f>IF($A38&gt;LastT,0,N38+W39/(1+Policy_Sched!$K38))</f>
        <v>0</v>
      </c>
      <c r="X38" s="38">
        <f>IF($A38&gt;LastT,0,(-Q38+X39)/(1+Policy_Sched!$K38))</f>
        <v>0</v>
      </c>
      <c r="Y38" s="38">
        <f>IF($A38&gt;LastT,0,-V38+Y39/(1+Policy_Sched!$K38))</f>
        <v>0</v>
      </c>
      <c r="Z38" s="42">
        <f t="shared" si="14"/>
        <v>0</v>
      </c>
      <c r="AA38" s="38">
        <f>IF($A38&gt;LastT,0,N38-V38-Q38/(1+Policy_Sched!$K38)+Z39/(1+Policy_Sched!$K38))</f>
        <v>0</v>
      </c>
    </row>
    <row r="39" spans="1:27" x14ac:dyDescent="0.2">
      <c r="A39" s="30">
        <f t="shared" si="15"/>
        <v>32</v>
      </c>
      <c r="B39" s="31">
        <f t="shared" si="16"/>
        <v>0</v>
      </c>
      <c r="C39" s="31">
        <f>IF($A39&gt;LastT,0,IF(AND($D$3&lt;&gt;0,$A39&gt;=T0,Policy_Sched!$B39&lt;LastAge),1+$D$3*$E$3,1))</f>
        <v>0</v>
      </c>
      <c r="D39" s="36">
        <f>IF($A39&gt;LastT,0,IF($C$3="up",MIN(Policy_Sched!$E39*(1+IF($A39&gt;=T0,$E$3,0)),$F$3),IF($C$3="down",MAX(Policy_Sched!$E39*(1-IF($A39&gt;=T0,$E$3,0)),Policy_Sched!$E39-$F$3),Policy_Sched!$E39)))</f>
        <v>0</v>
      </c>
      <c r="E39" s="37">
        <f t="shared" si="17"/>
        <v>0</v>
      </c>
      <c r="F39" s="37">
        <f t="shared" ref="F39:F70" si="18">IF($A39&gt;LastT,0,IF($A39=PolicyTerm,E39,0))</f>
        <v>0</v>
      </c>
      <c r="G39" s="37">
        <f t="shared" ref="G39:G70" si="19">IF($A39&gt;LastT,0,E39-F39)</f>
        <v>0</v>
      </c>
      <c r="H39" s="37">
        <f t="shared" ref="H39:H70" si="20">IF($A39=0,PolicyCount,0)</f>
        <v>0</v>
      </c>
      <c r="I39" s="37">
        <f t="shared" ref="I39:I70" si="21">IF($A39&gt;LastT,0,IF(AND($C$3="mass",$A39=T0),(G39+H39)*$E$3,0))</f>
        <v>0</v>
      </c>
      <c r="J39" s="37">
        <f t="shared" ref="J39:J70" si="22">IF($A39&gt;LastT,0,G39+H39-I39)</f>
        <v>0</v>
      </c>
      <c r="K39" s="37">
        <f>IF($A39&gt;LastT,0,J39*Policy_Sched!$C39*Policy_Sched!$D39*C39)</f>
        <v>0</v>
      </c>
      <c r="L39" s="41">
        <f t="shared" ref="L39:L70" si="23">J39*D39</f>
        <v>0</v>
      </c>
      <c r="M39" s="38">
        <f t="shared" ref="M39:M70" si="24">IF($A39&gt;LastT,0,(SizeAnnPrem*ExpsMaintAnnPrem+(SumAssured*ExpsMaintSA+ExpsMaintPol)*B39)*(1+IF($B$3="exps",$E$3,0)))</f>
        <v>0</v>
      </c>
      <c r="N39" s="38">
        <f t="shared" ref="N39:N70" si="25">SizePremium*J39</f>
        <v>0</v>
      </c>
      <c r="O39" s="38">
        <f t="shared" ref="O39:O70" si="26">SumAssured*K39</f>
        <v>0</v>
      </c>
      <c r="P39" s="38">
        <f>Policy_Sched!$I39*(L39+I39)</f>
        <v>0</v>
      </c>
      <c r="Q39" s="42">
        <f t="shared" ref="Q39:Q70" si="27">O39+P39</f>
        <v>0</v>
      </c>
      <c r="R39" s="38">
        <f t="shared" ref="R39:R70" si="28">IF($A39=0,SizeExpsAcq0*H39,0)</f>
        <v>0</v>
      </c>
      <c r="S39" s="38">
        <f t="shared" ref="S39:S70" si="29">IF($A39=0,SizeExpsCommInit0*J39,0)</f>
        <v>0</v>
      </c>
      <c r="T39" s="38">
        <f>Policy_Sched!$J39*J39</f>
        <v>0</v>
      </c>
      <c r="U39" s="42">
        <f t="shared" ref="U39:U70" si="30">M39*J39</f>
        <v>0</v>
      </c>
      <c r="V39" s="42">
        <f t="shared" ref="V39:V70" si="31">S39+T39+R39+U39</f>
        <v>0</v>
      </c>
      <c r="W39" s="38">
        <f>IF($A39&gt;LastT,0,N39+W40/(1+Policy_Sched!$K39))</f>
        <v>0</v>
      </c>
      <c r="X39" s="38">
        <f>IF($A39&gt;LastT,0,(-Q39+X40)/(1+Policy_Sched!$K39))</f>
        <v>0</v>
      </c>
      <c r="Y39" s="38">
        <f>IF($A39&gt;LastT,0,-V39+Y40/(1+Policy_Sched!$K39))</f>
        <v>0</v>
      </c>
      <c r="Z39" s="42">
        <f t="shared" ref="Z39:Z70" si="32">W39+Y39+X39</f>
        <v>0</v>
      </c>
      <c r="AA39" s="38">
        <f>IF($A39&gt;LastT,0,N39-V39-Q39/(1+Policy_Sched!$K39)+Z40/(1+Policy_Sched!$K39))</f>
        <v>0</v>
      </c>
    </row>
    <row r="40" spans="1:27" x14ac:dyDescent="0.2">
      <c r="A40" s="30">
        <f t="shared" ref="A40:A71" si="33">A39+1</f>
        <v>33</v>
      </c>
      <c r="B40" s="31">
        <f t="shared" ref="B40:B71" si="34">IF($A40&gt;LastT,0,IF($B$3="exps",B39*(1+InflRate+IF($A40&gt;=T0,$G$3,0)),B39/(1+InflRate)))</f>
        <v>0</v>
      </c>
      <c r="C40" s="31">
        <f>IF($A40&gt;LastT,0,IF(AND($D$3&lt;&gt;0,$A40&gt;=T0,Policy_Sched!$B40&lt;LastAge),1+$D$3*$E$3,1))</f>
        <v>0</v>
      </c>
      <c r="D40" s="36">
        <f>IF($A40&gt;LastT,0,IF($C$3="up",MIN(Policy_Sched!$E40*(1+IF($A40&gt;=T0,$E$3,0)),$F$3),IF($C$3="down",MAX(Policy_Sched!$E40*(1-IF($A40&gt;=T0,$E$3,0)),Policy_Sched!$E40-$F$3),Policy_Sched!$E40)))</f>
        <v>0</v>
      </c>
      <c r="E40" s="37">
        <f t="shared" ref="E40:E71" si="35">IF($A40&gt;LastT,0,J39-K39-L39)</f>
        <v>0</v>
      </c>
      <c r="F40" s="37">
        <f t="shared" si="18"/>
        <v>0</v>
      </c>
      <c r="G40" s="37">
        <f t="shared" si="19"/>
        <v>0</v>
      </c>
      <c r="H40" s="37">
        <f t="shared" si="20"/>
        <v>0</v>
      </c>
      <c r="I40" s="37">
        <f t="shared" si="21"/>
        <v>0</v>
      </c>
      <c r="J40" s="37">
        <f t="shared" si="22"/>
        <v>0</v>
      </c>
      <c r="K40" s="37">
        <f>IF($A40&gt;LastT,0,J40*Policy_Sched!$C40*Policy_Sched!$D40*C40)</f>
        <v>0</v>
      </c>
      <c r="L40" s="41">
        <f t="shared" si="23"/>
        <v>0</v>
      </c>
      <c r="M40" s="38">
        <f t="shared" si="24"/>
        <v>0</v>
      </c>
      <c r="N40" s="38">
        <f t="shared" si="25"/>
        <v>0</v>
      </c>
      <c r="O40" s="38">
        <f t="shared" si="26"/>
        <v>0</v>
      </c>
      <c r="P40" s="38">
        <f>Policy_Sched!$I40*(L40+I40)</f>
        <v>0</v>
      </c>
      <c r="Q40" s="42">
        <f t="shared" si="27"/>
        <v>0</v>
      </c>
      <c r="R40" s="38">
        <f t="shared" si="28"/>
        <v>0</v>
      </c>
      <c r="S40" s="38">
        <f t="shared" si="29"/>
        <v>0</v>
      </c>
      <c r="T40" s="38">
        <f>Policy_Sched!$J40*J40</f>
        <v>0</v>
      </c>
      <c r="U40" s="42">
        <f t="shared" si="30"/>
        <v>0</v>
      </c>
      <c r="V40" s="42">
        <f t="shared" si="31"/>
        <v>0</v>
      </c>
      <c r="W40" s="38">
        <f>IF($A40&gt;LastT,0,N40+W41/(1+Policy_Sched!$K40))</f>
        <v>0</v>
      </c>
      <c r="X40" s="38">
        <f>IF($A40&gt;LastT,0,(-Q40+X41)/(1+Policy_Sched!$K40))</f>
        <v>0</v>
      </c>
      <c r="Y40" s="38">
        <f>IF($A40&gt;LastT,0,-V40+Y41/(1+Policy_Sched!$K40))</f>
        <v>0</v>
      </c>
      <c r="Z40" s="42">
        <f t="shared" si="32"/>
        <v>0</v>
      </c>
      <c r="AA40" s="38">
        <f>IF($A40&gt;LastT,0,N40-V40-Q40/(1+Policy_Sched!$K40)+Z41/(1+Policy_Sched!$K40))</f>
        <v>0</v>
      </c>
    </row>
    <row r="41" spans="1:27" x14ac:dyDescent="0.2">
      <c r="A41" s="30">
        <f t="shared" si="33"/>
        <v>34</v>
      </c>
      <c r="B41" s="31">
        <f t="shared" si="34"/>
        <v>0</v>
      </c>
      <c r="C41" s="31">
        <f>IF($A41&gt;LastT,0,IF(AND($D$3&lt;&gt;0,$A41&gt;=T0,Policy_Sched!$B41&lt;LastAge),1+$D$3*$E$3,1))</f>
        <v>0</v>
      </c>
      <c r="D41" s="36">
        <f>IF($A41&gt;LastT,0,IF($C$3="up",MIN(Policy_Sched!$E41*(1+IF($A41&gt;=T0,$E$3,0)),$F$3),IF($C$3="down",MAX(Policy_Sched!$E41*(1-IF($A41&gt;=T0,$E$3,0)),Policy_Sched!$E41-$F$3),Policy_Sched!$E41)))</f>
        <v>0</v>
      </c>
      <c r="E41" s="37">
        <f t="shared" si="35"/>
        <v>0</v>
      </c>
      <c r="F41" s="37">
        <f t="shared" si="18"/>
        <v>0</v>
      </c>
      <c r="G41" s="37">
        <f t="shared" si="19"/>
        <v>0</v>
      </c>
      <c r="H41" s="37">
        <f t="shared" si="20"/>
        <v>0</v>
      </c>
      <c r="I41" s="37">
        <f t="shared" si="21"/>
        <v>0</v>
      </c>
      <c r="J41" s="37">
        <f t="shared" si="22"/>
        <v>0</v>
      </c>
      <c r="K41" s="37">
        <f>IF($A41&gt;LastT,0,J41*Policy_Sched!$C41*Policy_Sched!$D41*C41)</f>
        <v>0</v>
      </c>
      <c r="L41" s="41">
        <f t="shared" si="23"/>
        <v>0</v>
      </c>
      <c r="M41" s="38">
        <f t="shared" si="24"/>
        <v>0</v>
      </c>
      <c r="N41" s="38">
        <f t="shared" si="25"/>
        <v>0</v>
      </c>
      <c r="O41" s="38">
        <f t="shared" si="26"/>
        <v>0</v>
      </c>
      <c r="P41" s="38">
        <f>Policy_Sched!$I41*(L41+I41)</f>
        <v>0</v>
      </c>
      <c r="Q41" s="42">
        <f t="shared" si="27"/>
        <v>0</v>
      </c>
      <c r="R41" s="38">
        <f t="shared" si="28"/>
        <v>0</v>
      </c>
      <c r="S41" s="38">
        <f t="shared" si="29"/>
        <v>0</v>
      </c>
      <c r="T41" s="38">
        <f>Policy_Sched!$J41*J41</f>
        <v>0</v>
      </c>
      <c r="U41" s="42">
        <f t="shared" si="30"/>
        <v>0</v>
      </c>
      <c r="V41" s="42">
        <f t="shared" si="31"/>
        <v>0</v>
      </c>
      <c r="W41" s="38">
        <f>IF($A41&gt;LastT,0,N41+W42/(1+Policy_Sched!$K41))</f>
        <v>0</v>
      </c>
      <c r="X41" s="38">
        <f>IF($A41&gt;LastT,0,(-Q41+X42)/(1+Policy_Sched!$K41))</f>
        <v>0</v>
      </c>
      <c r="Y41" s="38">
        <f>IF($A41&gt;LastT,0,-V41+Y42/(1+Policy_Sched!$K41))</f>
        <v>0</v>
      </c>
      <c r="Z41" s="42">
        <f t="shared" si="32"/>
        <v>0</v>
      </c>
      <c r="AA41" s="38">
        <f>IF($A41&gt;LastT,0,N41-V41-Q41/(1+Policy_Sched!$K41)+Z42/(1+Policy_Sched!$K41))</f>
        <v>0</v>
      </c>
    </row>
    <row r="42" spans="1:27" x14ac:dyDescent="0.2">
      <c r="A42" s="30">
        <f t="shared" si="33"/>
        <v>35</v>
      </c>
      <c r="B42" s="31">
        <f t="shared" si="34"/>
        <v>0</v>
      </c>
      <c r="C42" s="31">
        <f>IF($A42&gt;LastT,0,IF(AND($D$3&lt;&gt;0,$A42&gt;=T0,Policy_Sched!$B42&lt;LastAge),1+$D$3*$E$3,1))</f>
        <v>0</v>
      </c>
      <c r="D42" s="36">
        <f>IF($A42&gt;LastT,0,IF($C$3="up",MIN(Policy_Sched!$E42*(1+IF($A42&gt;=T0,$E$3,0)),$F$3),IF($C$3="down",MAX(Policy_Sched!$E42*(1-IF($A42&gt;=T0,$E$3,0)),Policy_Sched!$E42-$F$3),Policy_Sched!$E42)))</f>
        <v>0</v>
      </c>
      <c r="E42" s="37">
        <f t="shared" si="35"/>
        <v>0</v>
      </c>
      <c r="F42" s="37">
        <f t="shared" si="18"/>
        <v>0</v>
      </c>
      <c r="G42" s="37">
        <f t="shared" si="19"/>
        <v>0</v>
      </c>
      <c r="H42" s="37">
        <f t="shared" si="20"/>
        <v>0</v>
      </c>
      <c r="I42" s="37">
        <f t="shared" si="21"/>
        <v>0</v>
      </c>
      <c r="J42" s="37">
        <f t="shared" si="22"/>
        <v>0</v>
      </c>
      <c r="K42" s="37">
        <f>IF($A42&gt;LastT,0,J42*Policy_Sched!$C42*Policy_Sched!$D42*C42)</f>
        <v>0</v>
      </c>
      <c r="L42" s="41">
        <f t="shared" si="23"/>
        <v>0</v>
      </c>
      <c r="M42" s="38">
        <f t="shared" si="24"/>
        <v>0</v>
      </c>
      <c r="N42" s="38">
        <f t="shared" si="25"/>
        <v>0</v>
      </c>
      <c r="O42" s="38">
        <f t="shared" si="26"/>
        <v>0</v>
      </c>
      <c r="P42" s="38">
        <f>Policy_Sched!$I42*(L42+I42)</f>
        <v>0</v>
      </c>
      <c r="Q42" s="42">
        <f t="shared" si="27"/>
        <v>0</v>
      </c>
      <c r="R42" s="38">
        <f t="shared" si="28"/>
        <v>0</v>
      </c>
      <c r="S42" s="38">
        <f t="shared" si="29"/>
        <v>0</v>
      </c>
      <c r="T42" s="38">
        <f>Policy_Sched!$J42*J42</f>
        <v>0</v>
      </c>
      <c r="U42" s="42">
        <f t="shared" si="30"/>
        <v>0</v>
      </c>
      <c r="V42" s="42">
        <f t="shared" si="31"/>
        <v>0</v>
      </c>
      <c r="W42" s="38">
        <f>IF($A42&gt;LastT,0,N42+W43/(1+Policy_Sched!$K42))</f>
        <v>0</v>
      </c>
      <c r="X42" s="38">
        <f>IF($A42&gt;LastT,0,(-Q42+X43)/(1+Policy_Sched!$K42))</f>
        <v>0</v>
      </c>
      <c r="Y42" s="38">
        <f>IF($A42&gt;LastT,0,-V42+Y43/(1+Policy_Sched!$K42))</f>
        <v>0</v>
      </c>
      <c r="Z42" s="42">
        <f t="shared" si="32"/>
        <v>0</v>
      </c>
      <c r="AA42" s="38">
        <f>IF($A42&gt;LastT,0,N42-V42-Q42/(1+Policy_Sched!$K42)+Z43/(1+Policy_Sched!$K42))</f>
        <v>0</v>
      </c>
    </row>
    <row r="43" spans="1:27" x14ac:dyDescent="0.2">
      <c r="A43" s="30">
        <f t="shared" si="33"/>
        <v>36</v>
      </c>
      <c r="B43" s="31">
        <f t="shared" si="34"/>
        <v>0</v>
      </c>
      <c r="C43" s="31">
        <f>IF($A43&gt;LastT,0,IF(AND($D$3&lt;&gt;0,$A43&gt;=T0,Policy_Sched!$B43&lt;LastAge),1+$D$3*$E$3,1))</f>
        <v>0</v>
      </c>
      <c r="D43" s="36">
        <f>IF($A43&gt;LastT,0,IF($C$3="up",MIN(Policy_Sched!$E43*(1+IF($A43&gt;=T0,$E$3,0)),$F$3),IF($C$3="down",MAX(Policy_Sched!$E43*(1-IF($A43&gt;=T0,$E$3,0)),Policy_Sched!$E43-$F$3),Policy_Sched!$E43)))</f>
        <v>0</v>
      </c>
      <c r="E43" s="37">
        <f t="shared" si="35"/>
        <v>0</v>
      </c>
      <c r="F43" s="37">
        <f t="shared" si="18"/>
        <v>0</v>
      </c>
      <c r="G43" s="37">
        <f t="shared" si="19"/>
        <v>0</v>
      </c>
      <c r="H43" s="37">
        <f t="shared" si="20"/>
        <v>0</v>
      </c>
      <c r="I43" s="37">
        <f t="shared" si="21"/>
        <v>0</v>
      </c>
      <c r="J43" s="37">
        <f t="shared" si="22"/>
        <v>0</v>
      </c>
      <c r="K43" s="37">
        <f>IF($A43&gt;LastT,0,J43*Policy_Sched!$C43*Policy_Sched!$D43*C43)</f>
        <v>0</v>
      </c>
      <c r="L43" s="41">
        <f t="shared" si="23"/>
        <v>0</v>
      </c>
      <c r="M43" s="38">
        <f t="shared" si="24"/>
        <v>0</v>
      </c>
      <c r="N43" s="38">
        <f t="shared" si="25"/>
        <v>0</v>
      </c>
      <c r="O43" s="38">
        <f t="shared" si="26"/>
        <v>0</v>
      </c>
      <c r="P43" s="38">
        <f>Policy_Sched!$I43*(L43+I43)</f>
        <v>0</v>
      </c>
      <c r="Q43" s="42">
        <f t="shared" si="27"/>
        <v>0</v>
      </c>
      <c r="R43" s="38">
        <f t="shared" si="28"/>
        <v>0</v>
      </c>
      <c r="S43" s="38">
        <f t="shared" si="29"/>
        <v>0</v>
      </c>
      <c r="T43" s="38">
        <f>Policy_Sched!$J43*J43</f>
        <v>0</v>
      </c>
      <c r="U43" s="42">
        <f t="shared" si="30"/>
        <v>0</v>
      </c>
      <c r="V43" s="42">
        <f t="shared" si="31"/>
        <v>0</v>
      </c>
      <c r="W43" s="38">
        <f>IF($A43&gt;LastT,0,N43+W44/(1+Policy_Sched!$K43))</f>
        <v>0</v>
      </c>
      <c r="X43" s="38">
        <f>IF($A43&gt;LastT,0,(-Q43+X44)/(1+Policy_Sched!$K43))</f>
        <v>0</v>
      </c>
      <c r="Y43" s="38">
        <f>IF($A43&gt;LastT,0,-V43+Y44/(1+Policy_Sched!$K43))</f>
        <v>0</v>
      </c>
      <c r="Z43" s="42">
        <f t="shared" si="32"/>
        <v>0</v>
      </c>
      <c r="AA43" s="38">
        <f>IF($A43&gt;LastT,0,N43-V43-Q43/(1+Policy_Sched!$K43)+Z44/(1+Policy_Sched!$K43))</f>
        <v>0</v>
      </c>
    </row>
    <row r="44" spans="1:27" x14ac:dyDescent="0.2">
      <c r="A44" s="30">
        <f t="shared" si="33"/>
        <v>37</v>
      </c>
      <c r="B44" s="31">
        <f t="shared" si="34"/>
        <v>0</v>
      </c>
      <c r="C44" s="31">
        <f>IF($A44&gt;LastT,0,IF(AND($D$3&lt;&gt;0,$A44&gt;=T0,Policy_Sched!$B44&lt;LastAge),1+$D$3*$E$3,1))</f>
        <v>0</v>
      </c>
      <c r="D44" s="36">
        <f>IF($A44&gt;LastT,0,IF($C$3="up",MIN(Policy_Sched!$E44*(1+IF($A44&gt;=T0,$E$3,0)),$F$3),IF($C$3="down",MAX(Policy_Sched!$E44*(1-IF($A44&gt;=T0,$E$3,0)),Policy_Sched!$E44-$F$3),Policy_Sched!$E44)))</f>
        <v>0</v>
      </c>
      <c r="E44" s="37">
        <f t="shared" si="35"/>
        <v>0</v>
      </c>
      <c r="F44" s="37">
        <f t="shared" si="18"/>
        <v>0</v>
      </c>
      <c r="G44" s="37">
        <f t="shared" si="19"/>
        <v>0</v>
      </c>
      <c r="H44" s="37">
        <f t="shared" si="20"/>
        <v>0</v>
      </c>
      <c r="I44" s="37">
        <f t="shared" si="21"/>
        <v>0</v>
      </c>
      <c r="J44" s="37">
        <f t="shared" si="22"/>
        <v>0</v>
      </c>
      <c r="K44" s="37">
        <f>IF($A44&gt;LastT,0,J44*Policy_Sched!$C44*Policy_Sched!$D44*C44)</f>
        <v>0</v>
      </c>
      <c r="L44" s="41">
        <f t="shared" si="23"/>
        <v>0</v>
      </c>
      <c r="M44" s="38">
        <f t="shared" si="24"/>
        <v>0</v>
      </c>
      <c r="N44" s="38">
        <f t="shared" si="25"/>
        <v>0</v>
      </c>
      <c r="O44" s="38">
        <f t="shared" si="26"/>
        <v>0</v>
      </c>
      <c r="P44" s="38">
        <f>Policy_Sched!$I44*(L44+I44)</f>
        <v>0</v>
      </c>
      <c r="Q44" s="42">
        <f t="shared" si="27"/>
        <v>0</v>
      </c>
      <c r="R44" s="38">
        <f t="shared" si="28"/>
        <v>0</v>
      </c>
      <c r="S44" s="38">
        <f t="shared" si="29"/>
        <v>0</v>
      </c>
      <c r="T44" s="38">
        <f>Policy_Sched!$J44*J44</f>
        <v>0</v>
      </c>
      <c r="U44" s="42">
        <f t="shared" si="30"/>
        <v>0</v>
      </c>
      <c r="V44" s="42">
        <f t="shared" si="31"/>
        <v>0</v>
      </c>
      <c r="W44" s="38">
        <f>IF($A44&gt;LastT,0,N44+W45/(1+Policy_Sched!$K44))</f>
        <v>0</v>
      </c>
      <c r="X44" s="38">
        <f>IF($A44&gt;LastT,0,(-Q44+X45)/(1+Policy_Sched!$K44))</f>
        <v>0</v>
      </c>
      <c r="Y44" s="38">
        <f>IF($A44&gt;LastT,0,-V44+Y45/(1+Policy_Sched!$K44))</f>
        <v>0</v>
      </c>
      <c r="Z44" s="42">
        <f t="shared" si="32"/>
        <v>0</v>
      </c>
      <c r="AA44" s="38">
        <f>IF($A44&gt;LastT,0,N44-V44-Q44/(1+Policy_Sched!$K44)+Z45/(1+Policy_Sched!$K44))</f>
        <v>0</v>
      </c>
    </row>
    <row r="45" spans="1:27" x14ac:dyDescent="0.2">
      <c r="A45" s="30">
        <f t="shared" si="33"/>
        <v>38</v>
      </c>
      <c r="B45" s="31">
        <f t="shared" si="34"/>
        <v>0</v>
      </c>
      <c r="C45" s="31">
        <f>IF($A45&gt;LastT,0,IF(AND($D$3&lt;&gt;0,$A45&gt;=T0,Policy_Sched!$B45&lt;LastAge),1+$D$3*$E$3,1))</f>
        <v>0</v>
      </c>
      <c r="D45" s="36">
        <f>IF($A45&gt;LastT,0,IF($C$3="up",MIN(Policy_Sched!$E45*(1+IF($A45&gt;=T0,$E$3,0)),$F$3),IF($C$3="down",MAX(Policy_Sched!$E45*(1-IF($A45&gt;=T0,$E$3,0)),Policy_Sched!$E45-$F$3),Policy_Sched!$E45)))</f>
        <v>0</v>
      </c>
      <c r="E45" s="37">
        <f t="shared" si="35"/>
        <v>0</v>
      </c>
      <c r="F45" s="37">
        <f t="shared" si="18"/>
        <v>0</v>
      </c>
      <c r="G45" s="37">
        <f t="shared" si="19"/>
        <v>0</v>
      </c>
      <c r="H45" s="37">
        <f t="shared" si="20"/>
        <v>0</v>
      </c>
      <c r="I45" s="37">
        <f t="shared" si="21"/>
        <v>0</v>
      </c>
      <c r="J45" s="37">
        <f t="shared" si="22"/>
        <v>0</v>
      </c>
      <c r="K45" s="37">
        <f>IF($A45&gt;LastT,0,J45*Policy_Sched!$C45*Policy_Sched!$D45*C45)</f>
        <v>0</v>
      </c>
      <c r="L45" s="41">
        <f t="shared" si="23"/>
        <v>0</v>
      </c>
      <c r="M45" s="38">
        <f t="shared" si="24"/>
        <v>0</v>
      </c>
      <c r="N45" s="38">
        <f t="shared" si="25"/>
        <v>0</v>
      </c>
      <c r="O45" s="38">
        <f t="shared" si="26"/>
        <v>0</v>
      </c>
      <c r="P45" s="38">
        <f>Policy_Sched!$I45*(L45+I45)</f>
        <v>0</v>
      </c>
      <c r="Q45" s="42">
        <f t="shared" si="27"/>
        <v>0</v>
      </c>
      <c r="R45" s="38">
        <f t="shared" si="28"/>
        <v>0</v>
      </c>
      <c r="S45" s="38">
        <f t="shared" si="29"/>
        <v>0</v>
      </c>
      <c r="T45" s="38">
        <f>Policy_Sched!$J45*J45</f>
        <v>0</v>
      </c>
      <c r="U45" s="42">
        <f t="shared" si="30"/>
        <v>0</v>
      </c>
      <c r="V45" s="42">
        <f t="shared" si="31"/>
        <v>0</v>
      </c>
      <c r="W45" s="38">
        <f>IF($A45&gt;LastT,0,N45+W46/(1+Policy_Sched!$K45))</f>
        <v>0</v>
      </c>
      <c r="X45" s="38">
        <f>IF($A45&gt;LastT,0,(-Q45+X46)/(1+Policy_Sched!$K45))</f>
        <v>0</v>
      </c>
      <c r="Y45" s="38">
        <f>IF($A45&gt;LastT,0,-V45+Y46/(1+Policy_Sched!$K45))</f>
        <v>0</v>
      </c>
      <c r="Z45" s="42">
        <f t="shared" si="32"/>
        <v>0</v>
      </c>
      <c r="AA45" s="38">
        <f>IF($A45&gt;LastT,0,N45-V45-Q45/(1+Policy_Sched!$K45)+Z46/(1+Policy_Sched!$K45))</f>
        <v>0</v>
      </c>
    </row>
    <row r="46" spans="1:27" x14ac:dyDescent="0.2">
      <c r="A46" s="30">
        <f t="shared" si="33"/>
        <v>39</v>
      </c>
      <c r="B46" s="31">
        <f t="shared" si="34"/>
        <v>0</v>
      </c>
      <c r="C46" s="31">
        <f>IF($A46&gt;LastT,0,IF(AND($D$3&lt;&gt;0,$A46&gt;=T0,Policy_Sched!$B46&lt;LastAge),1+$D$3*$E$3,1))</f>
        <v>0</v>
      </c>
      <c r="D46" s="36">
        <f>IF($A46&gt;LastT,0,IF($C$3="up",MIN(Policy_Sched!$E46*(1+IF($A46&gt;=T0,$E$3,0)),$F$3),IF($C$3="down",MAX(Policy_Sched!$E46*(1-IF($A46&gt;=T0,$E$3,0)),Policy_Sched!$E46-$F$3),Policy_Sched!$E46)))</f>
        <v>0</v>
      </c>
      <c r="E46" s="37">
        <f t="shared" si="35"/>
        <v>0</v>
      </c>
      <c r="F46" s="37">
        <f t="shared" si="18"/>
        <v>0</v>
      </c>
      <c r="G46" s="37">
        <f t="shared" si="19"/>
        <v>0</v>
      </c>
      <c r="H46" s="37">
        <f t="shared" si="20"/>
        <v>0</v>
      </c>
      <c r="I46" s="37">
        <f t="shared" si="21"/>
        <v>0</v>
      </c>
      <c r="J46" s="37">
        <f t="shared" si="22"/>
        <v>0</v>
      </c>
      <c r="K46" s="37">
        <f>IF($A46&gt;LastT,0,J46*Policy_Sched!$C46*Policy_Sched!$D46*C46)</f>
        <v>0</v>
      </c>
      <c r="L46" s="41">
        <f t="shared" si="23"/>
        <v>0</v>
      </c>
      <c r="M46" s="38">
        <f t="shared" si="24"/>
        <v>0</v>
      </c>
      <c r="N46" s="38">
        <f t="shared" si="25"/>
        <v>0</v>
      </c>
      <c r="O46" s="38">
        <f t="shared" si="26"/>
        <v>0</v>
      </c>
      <c r="P46" s="38">
        <f>Policy_Sched!$I46*(L46+I46)</f>
        <v>0</v>
      </c>
      <c r="Q46" s="42">
        <f t="shared" si="27"/>
        <v>0</v>
      </c>
      <c r="R46" s="38">
        <f t="shared" si="28"/>
        <v>0</v>
      </c>
      <c r="S46" s="38">
        <f t="shared" si="29"/>
        <v>0</v>
      </c>
      <c r="T46" s="38">
        <f>Policy_Sched!$J46*J46</f>
        <v>0</v>
      </c>
      <c r="U46" s="42">
        <f t="shared" si="30"/>
        <v>0</v>
      </c>
      <c r="V46" s="42">
        <f t="shared" si="31"/>
        <v>0</v>
      </c>
      <c r="W46" s="38">
        <f>IF($A46&gt;LastT,0,N46+W47/(1+Policy_Sched!$K46))</f>
        <v>0</v>
      </c>
      <c r="X46" s="38">
        <f>IF($A46&gt;LastT,0,(-Q46+X47)/(1+Policy_Sched!$K46))</f>
        <v>0</v>
      </c>
      <c r="Y46" s="38">
        <f>IF($A46&gt;LastT,0,-V46+Y47/(1+Policy_Sched!$K46))</f>
        <v>0</v>
      </c>
      <c r="Z46" s="42">
        <f t="shared" si="32"/>
        <v>0</v>
      </c>
      <c r="AA46" s="38">
        <f>IF($A46&gt;LastT,0,N46-V46-Q46/(1+Policy_Sched!$K46)+Z47/(1+Policy_Sched!$K46))</f>
        <v>0</v>
      </c>
    </row>
    <row r="47" spans="1:27" x14ac:dyDescent="0.2">
      <c r="A47" s="30">
        <f t="shared" si="33"/>
        <v>40</v>
      </c>
      <c r="B47" s="31">
        <f t="shared" si="34"/>
        <v>0</v>
      </c>
      <c r="C47" s="31">
        <f>IF($A47&gt;LastT,0,IF(AND($D$3&lt;&gt;0,$A47&gt;=T0,Policy_Sched!$B47&lt;LastAge),1+$D$3*$E$3,1))</f>
        <v>0</v>
      </c>
      <c r="D47" s="36">
        <f>IF($A47&gt;LastT,0,IF($C$3="up",MIN(Policy_Sched!$E47*(1+IF($A47&gt;=T0,$E$3,0)),$F$3),IF($C$3="down",MAX(Policy_Sched!$E47*(1-IF($A47&gt;=T0,$E$3,0)),Policy_Sched!$E47-$F$3),Policy_Sched!$E47)))</f>
        <v>0</v>
      </c>
      <c r="E47" s="37">
        <f t="shared" si="35"/>
        <v>0</v>
      </c>
      <c r="F47" s="37">
        <f t="shared" si="18"/>
        <v>0</v>
      </c>
      <c r="G47" s="37">
        <f t="shared" si="19"/>
        <v>0</v>
      </c>
      <c r="H47" s="37">
        <f t="shared" si="20"/>
        <v>0</v>
      </c>
      <c r="I47" s="37">
        <f t="shared" si="21"/>
        <v>0</v>
      </c>
      <c r="J47" s="37">
        <f t="shared" si="22"/>
        <v>0</v>
      </c>
      <c r="K47" s="37">
        <f>IF($A47&gt;LastT,0,J47*Policy_Sched!$C47*Policy_Sched!$D47*C47)</f>
        <v>0</v>
      </c>
      <c r="L47" s="41">
        <f t="shared" si="23"/>
        <v>0</v>
      </c>
      <c r="M47" s="38">
        <f t="shared" si="24"/>
        <v>0</v>
      </c>
      <c r="N47" s="38">
        <f t="shared" si="25"/>
        <v>0</v>
      </c>
      <c r="O47" s="38">
        <f t="shared" si="26"/>
        <v>0</v>
      </c>
      <c r="P47" s="38">
        <f>Policy_Sched!$I47*(L47+I47)</f>
        <v>0</v>
      </c>
      <c r="Q47" s="42">
        <f t="shared" si="27"/>
        <v>0</v>
      </c>
      <c r="R47" s="38">
        <f t="shared" si="28"/>
        <v>0</v>
      </c>
      <c r="S47" s="38">
        <f t="shared" si="29"/>
        <v>0</v>
      </c>
      <c r="T47" s="38">
        <f>Policy_Sched!$J47*J47</f>
        <v>0</v>
      </c>
      <c r="U47" s="42">
        <f t="shared" si="30"/>
        <v>0</v>
      </c>
      <c r="V47" s="42">
        <f t="shared" si="31"/>
        <v>0</v>
      </c>
      <c r="W47" s="38">
        <f>IF($A47&gt;LastT,0,N47+W48/(1+Policy_Sched!$K47))</f>
        <v>0</v>
      </c>
      <c r="X47" s="38">
        <f>IF($A47&gt;LastT,0,(-Q47+X48)/(1+Policy_Sched!$K47))</f>
        <v>0</v>
      </c>
      <c r="Y47" s="38">
        <f>IF($A47&gt;LastT,0,-V47+Y48/(1+Policy_Sched!$K47))</f>
        <v>0</v>
      </c>
      <c r="Z47" s="42">
        <f t="shared" si="32"/>
        <v>0</v>
      </c>
      <c r="AA47" s="38">
        <f>IF($A47&gt;LastT,0,N47-V47-Q47/(1+Policy_Sched!$K47)+Z48/(1+Policy_Sched!$K47))</f>
        <v>0</v>
      </c>
    </row>
    <row r="48" spans="1:27" x14ac:dyDescent="0.2">
      <c r="A48" s="30">
        <f t="shared" si="33"/>
        <v>41</v>
      </c>
      <c r="B48" s="31">
        <f t="shared" si="34"/>
        <v>0</v>
      </c>
      <c r="C48" s="31">
        <f>IF($A48&gt;LastT,0,IF(AND($D$3&lt;&gt;0,$A48&gt;=T0,Policy_Sched!$B48&lt;LastAge),1+$D$3*$E$3,1))</f>
        <v>0</v>
      </c>
      <c r="D48" s="36">
        <f>IF($A48&gt;LastT,0,IF($C$3="up",MIN(Policy_Sched!$E48*(1+IF($A48&gt;=T0,$E$3,0)),$F$3),IF($C$3="down",MAX(Policy_Sched!$E48*(1-IF($A48&gt;=T0,$E$3,0)),Policy_Sched!$E48-$F$3),Policy_Sched!$E48)))</f>
        <v>0</v>
      </c>
      <c r="E48" s="37">
        <f t="shared" si="35"/>
        <v>0</v>
      </c>
      <c r="F48" s="37">
        <f t="shared" si="18"/>
        <v>0</v>
      </c>
      <c r="G48" s="37">
        <f t="shared" si="19"/>
        <v>0</v>
      </c>
      <c r="H48" s="37">
        <f t="shared" si="20"/>
        <v>0</v>
      </c>
      <c r="I48" s="37">
        <f t="shared" si="21"/>
        <v>0</v>
      </c>
      <c r="J48" s="37">
        <f t="shared" si="22"/>
        <v>0</v>
      </c>
      <c r="K48" s="37">
        <f>IF($A48&gt;LastT,0,J48*Policy_Sched!$C48*Policy_Sched!$D48*C48)</f>
        <v>0</v>
      </c>
      <c r="L48" s="41">
        <f t="shared" si="23"/>
        <v>0</v>
      </c>
      <c r="M48" s="38">
        <f t="shared" si="24"/>
        <v>0</v>
      </c>
      <c r="N48" s="38">
        <f t="shared" si="25"/>
        <v>0</v>
      </c>
      <c r="O48" s="38">
        <f t="shared" si="26"/>
        <v>0</v>
      </c>
      <c r="P48" s="38">
        <f>Policy_Sched!$I48*(L48+I48)</f>
        <v>0</v>
      </c>
      <c r="Q48" s="42">
        <f t="shared" si="27"/>
        <v>0</v>
      </c>
      <c r="R48" s="38">
        <f t="shared" si="28"/>
        <v>0</v>
      </c>
      <c r="S48" s="38">
        <f t="shared" si="29"/>
        <v>0</v>
      </c>
      <c r="T48" s="38">
        <f>Policy_Sched!$J48*J48</f>
        <v>0</v>
      </c>
      <c r="U48" s="42">
        <f t="shared" si="30"/>
        <v>0</v>
      </c>
      <c r="V48" s="42">
        <f t="shared" si="31"/>
        <v>0</v>
      </c>
      <c r="W48" s="38">
        <f>IF($A48&gt;LastT,0,N48+W49/(1+Policy_Sched!$K48))</f>
        <v>0</v>
      </c>
      <c r="X48" s="38">
        <f>IF($A48&gt;LastT,0,(-Q48+X49)/(1+Policy_Sched!$K48))</f>
        <v>0</v>
      </c>
      <c r="Y48" s="38">
        <f>IF($A48&gt;LastT,0,-V48+Y49/(1+Policy_Sched!$K48))</f>
        <v>0</v>
      </c>
      <c r="Z48" s="42">
        <f t="shared" si="32"/>
        <v>0</v>
      </c>
      <c r="AA48" s="38">
        <f>IF($A48&gt;LastT,0,N48-V48-Q48/(1+Policy_Sched!$K48)+Z49/(1+Policy_Sched!$K48))</f>
        <v>0</v>
      </c>
    </row>
    <row r="49" spans="1:27" x14ac:dyDescent="0.2">
      <c r="A49" s="30">
        <f t="shared" si="33"/>
        <v>42</v>
      </c>
      <c r="B49" s="31">
        <f t="shared" si="34"/>
        <v>0</v>
      </c>
      <c r="C49" s="31">
        <f>IF($A49&gt;LastT,0,IF(AND($D$3&lt;&gt;0,$A49&gt;=T0,Policy_Sched!$B49&lt;LastAge),1+$D$3*$E$3,1))</f>
        <v>0</v>
      </c>
      <c r="D49" s="36">
        <f>IF($A49&gt;LastT,0,IF($C$3="up",MIN(Policy_Sched!$E49*(1+IF($A49&gt;=T0,$E$3,0)),$F$3),IF($C$3="down",MAX(Policy_Sched!$E49*(1-IF($A49&gt;=T0,$E$3,0)),Policy_Sched!$E49-$F$3),Policy_Sched!$E49)))</f>
        <v>0</v>
      </c>
      <c r="E49" s="37">
        <f t="shared" si="35"/>
        <v>0</v>
      </c>
      <c r="F49" s="37">
        <f t="shared" si="18"/>
        <v>0</v>
      </c>
      <c r="G49" s="37">
        <f t="shared" si="19"/>
        <v>0</v>
      </c>
      <c r="H49" s="37">
        <f t="shared" si="20"/>
        <v>0</v>
      </c>
      <c r="I49" s="37">
        <f t="shared" si="21"/>
        <v>0</v>
      </c>
      <c r="J49" s="37">
        <f t="shared" si="22"/>
        <v>0</v>
      </c>
      <c r="K49" s="37">
        <f>IF($A49&gt;LastT,0,J49*Policy_Sched!$C49*Policy_Sched!$D49*C49)</f>
        <v>0</v>
      </c>
      <c r="L49" s="41">
        <f t="shared" si="23"/>
        <v>0</v>
      </c>
      <c r="M49" s="38">
        <f t="shared" si="24"/>
        <v>0</v>
      </c>
      <c r="N49" s="38">
        <f t="shared" si="25"/>
        <v>0</v>
      </c>
      <c r="O49" s="38">
        <f t="shared" si="26"/>
        <v>0</v>
      </c>
      <c r="P49" s="38">
        <f>Policy_Sched!$I49*(L49+I49)</f>
        <v>0</v>
      </c>
      <c r="Q49" s="42">
        <f t="shared" si="27"/>
        <v>0</v>
      </c>
      <c r="R49" s="38">
        <f t="shared" si="28"/>
        <v>0</v>
      </c>
      <c r="S49" s="38">
        <f t="shared" si="29"/>
        <v>0</v>
      </c>
      <c r="T49" s="38">
        <f>Policy_Sched!$J49*J49</f>
        <v>0</v>
      </c>
      <c r="U49" s="42">
        <f t="shared" si="30"/>
        <v>0</v>
      </c>
      <c r="V49" s="42">
        <f t="shared" si="31"/>
        <v>0</v>
      </c>
      <c r="W49" s="38">
        <f>IF($A49&gt;LastT,0,N49+W50/(1+Policy_Sched!$K49))</f>
        <v>0</v>
      </c>
      <c r="X49" s="38">
        <f>IF($A49&gt;LastT,0,(-Q49+X50)/(1+Policy_Sched!$K49))</f>
        <v>0</v>
      </c>
      <c r="Y49" s="38">
        <f>IF($A49&gt;LastT,0,-V49+Y50/(1+Policy_Sched!$K49))</f>
        <v>0</v>
      </c>
      <c r="Z49" s="42">
        <f t="shared" si="32"/>
        <v>0</v>
      </c>
      <c r="AA49" s="38">
        <f>IF($A49&gt;LastT,0,N49-V49-Q49/(1+Policy_Sched!$K49)+Z50/(1+Policy_Sched!$K49))</f>
        <v>0</v>
      </c>
    </row>
    <row r="50" spans="1:27" x14ac:dyDescent="0.2">
      <c r="A50" s="30">
        <f t="shared" si="33"/>
        <v>43</v>
      </c>
      <c r="B50" s="31">
        <f t="shared" si="34"/>
        <v>0</v>
      </c>
      <c r="C50" s="31">
        <f>IF($A50&gt;LastT,0,IF(AND($D$3&lt;&gt;0,$A50&gt;=T0,Policy_Sched!$B50&lt;LastAge),1+$D$3*$E$3,1))</f>
        <v>0</v>
      </c>
      <c r="D50" s="36">
        <f>IF($A50&gt;LastT,0,IF($C$3="up",MIN(Policy_Sched!$E50*(1+IF($A50&gt;=T0,$E$3,0)),$F$3),IF($C$3="down",MAX(Policy_Sched!$E50*(1-IF($A50&gt;=T0,$E$3,0)),Policy_Sched!$E50-$F$3),Policy_Sched!$E50)))</f>
        <v>0</v>
      </c>
      <c r="E50" s="37">
        <f t="shared" si="35"/>
        <v>0</v>
      </c>
      <c r="F50" s="37">
        <f t="shared" si="18"/>
        <v>0</v>
      </c>
      <c r="G50" s="37">
        <f t="shared" si="19"/>
        <v>0</v>
      </c>
      <c r="H50" s="37">
        <f t="shared" si="20"/>
        <v>0</v>
      </c>
      <c r="I50" s="37">
        <f t="shared" si="21"/>
        <v>0</v>
      </c>
      <c r="J50" s="37">
        <f t="shared" si="22"/>
        <v>0</v>
      </c>
      <c r="K50" s="37">
        <f>IF($A50&gt;LastT,0,J50*Policy_Sched!$C50*Policy_Sched!$D50*C50)</f>
        <v>0</v>
      </c>
      <c r="L50" s="41">
        <f t="shared" si="23"/>
        <v>0</v>
      </c>
      <c r="M50" s="38">
        <f t="shared" si="24"/>
        <v>0</v>
      </c>
      <c r="N50" s="38">
        <f t="shared" si="25"/>
        <v>0</v>
      </c>
      <c r="O50" s="38">
        <f t="shared" si="26"/>
        <v>0</v>
      </c>
      <c r="P50" s="38">
        <f>Policy_Sched!$I50*(L50+I50)</f>
        <v>0</v>
      </c>
      <c r="Q50" s="42">
        <f t="shared" si="27"/>
        <v>0</v>
      </c>
      <c r="R50" s="38">
        <f t="shared" si="28"/>
        <v>0</v>
      </c>
      <c r="S50" s="38">
        <f t="shared" si="29"/>
        <v>0</v>
      </c>
      <c r="T50" s="38">
        <f>Policy_Sched!$J50*J50</f>
        <v>0</v>
      </c>
      <c r="U50" s="42">
        <f t="shared" si="30"/>
        <v>0</v>
      </c>
      <c r="V50" s="42">
        <f t="shared" si="31"/>
        <v>0</v>
      </c>
      <c r="W50" s="38">
        <f>IF($A50&gt;LastT,0,N50+W51/(1+Policy_Sched!$K50))</f>
        <v>0</v>
      </c>
      <c r="X50" s="38">
        <f>IF($A50&gt;LastT,0,(-Q50+X51)/(1+Policy_Sched!$K50))</f>
        <v>0</v>
      </c>
      <c r="Y50" s="38">
        <f>IF($A50&gt;LastT,0,-V50+Y51/(1+Policy_Sched!$K50))</f>
        <v>0</v>
      </c>
      <c r="Z50" s="42">
        <f t="shared" si="32"/>
        <v>0</v>
      </c>
      <c r="AA50" s="38">
        <f>IF($A50&gt;LastT,0,N50-V50-Q50/(1+Policy_Sched!$K50)+Z51/(1+Policy_Sched!$K50))</f>
        <v>0</v>
      </c>
    </row>
    <row r="51" spans="1:27" x14ac:dyDescent="0.2">
      <c r="A51" s="30">
        <f t="shared" si="33"/>
        <v>44</v>
      </c>
      <c r="B51" s="31">
        <f t="shared" si="34"/>
        <v>0</v>
      </c>
      <c r="C51" s="31">
        <f>IF($A51&gt;LastT,0,IF(AND($D$3&lt;&gt;0,$A51&gt;=T0,Policy_Sched!$B51&lt;LastAge),1+$D$3*$E$3,1))</f>
        <v>0</v>
      </c>
      <c r="D51" s="36">
        <f>IF($A51&gt;LastT,0,IF($C$3="up",MIN(Policy_Sched!$E51*(1+IF($A51&gt;=T0,$E$3,0)),$F$3),IF($C$3="down",MAX(Policy_Sched!$E51*(1-IF($A51&gt;=T0,$E$3,0)),Policy_Sched!$E51-$F$3),Policy_Sched!$E51)))</f>
        <v>0</v>
      </c>
      <c r="E51" s="37">
        <f t="shared" si="35"/>
        <v>0</v>
      </c>
      <c r="F51" s="37">
        <f t="shared" si="18"/>
        <v>0</v>
      </c>
      <c r="G51" s="37">
        <f t="shared" si="19"/>
        <v>0</v>
      </c>
      <c r="H51" s="37">
        <f t="shared" si="20"/>
        <v>0</v>
      </c>
      <c r="I51" s="37">
        <f t="shared" si="21"/>
        <v>0</v>
      </c>
      <c r="J51" s="37">
        <f t="shared" si="22"/>
        <v>0</v>
      </c>
      <c r="K51" s="37">
        <f>IF($A51&gt;LastT,0,J51*Policy_Sched!$C51*Policy_Sched!$D51*C51)</f>
        <v>0</v>
      </c>
      <c r="L51" s="41">
        <f t="shared" si="23"/>
        <v>0</v>
      </c>
      <c r="M51" s="38">
        <f t="shared" si="24"/>
        <v>0</v>
      </c>
      <c r="N51" s="38">
        <f t="shared" si="25"/>
        <v>0</v>
      </c>
      <c r="O51" s="38">
        <f t="shared" si="26"/>
        <v>0</v>
      </c>
      <c r="P51" s="38">
        <f>Policy_Sched!$I51*(L51+I51)</f>
        <v>0</v>
      </c>
      <c r="Q51" s="42">
        <f t="shared" si="27"/>
        <v>0</v>
      </c>
      <c r="R51" s="38">
        <f t="shared" si="28"/>
        <v>0</v>
      </c>
      <c r="S51" s="38">
        <f t="shared" si="29"/>
        <v>0</v>
      </c>
      <c r="T51" s="38">
        <f>Policy_Sched!$J51*J51</f>
        <v>0</v>
      </c>
      <c r="U51" s="42">
        <f t="shared" si="30"/>
        <v>0</v>
      </c>
      <c r="V51" s="42">
        <f t="shared" si="31"/>
        <v>0</v>
      </c>
      <c r="W51" s="38">
        <f>IF($A51&gt;LastT,0,N51+W52/(1+Policy_Sched!$K51))</f>
        <v>0</v>
      </c>
      <c r="X51" s="38">
        <f>IF($A51&gt;LastT,0,(-Q51+X52)/(1+Policy_Sched!$K51))</f>
        <v>0</v>
      </c>
      <c r="Y51" s="38">
        <f>IF($A51&gt;LastT,0,-V51+Y52/(1+Policy_Sched!$K51))</f>
        <v>0</v>
      </c>
      <c r="Z51" s="42">
        <f t="shared" si="32"/>
        <v>0</v>
      </c>
      <c r="AA51" s="38">
        <f>IF($A51&gt;LastT,0,N51-V51-Q51/(1+Policy_Sched!$K51)+Z52/(1+Policy_Sched!$K51))</f>
        <v>0</v>
      </c>
    </row>
    <row r="52" spans="1:27" x14ac:dyDescent="0.2">
      <c r="A52" s="30">
        <f t="shared" si="33"/>
        <v>45</v>
      </c>
      <c r="B52" s="31">
        <f t="shared" si="34"/>
        <v>0</v>
      </c>
      <c r="C52" s="31">
        <f>IF($A52&gt;LastT,0,IF(AND($D$3&lt;&gt;0,$A52&gt;=T0,Policy_Sched!$B52&lt;LastAge),1+$D$3*$E$3,1))</f>
        <v>0</v>
      </c>
      <c r="D52" s="36">
        <f>IF($A52&gt;LastT,0,IF($C$3="up",MIN(Policy_Sched!$E52*(1+IF($A52&gt;=T0,$E$3,0)),$F$3),IF($C$3="down",MAX(Policy_Sched!$E52*(1-IF($A52&gt;=T0,$E$3,0)),Policy_Sched!$E52-$F$3),Policy_Sched!$E52)))</f>
        <v>0</v>
      </c>
      <c r="E52" s="37">
        <f t="shared" si="35"/>
        <v>0</v>
      </c>
      <c r="F52" s="37">
        <f t="shared" si="18"/>
        <v>0</v>
      </c>
      <c r="G52" s="37">
        <f t="shared" si="19"/>
        <v>0</v>
      </c>
      <c r="H52" s="37">
        <f t="shared" si="20"/>
        <v>0</v>
      </c>
      <c r="I52" s="37">
        <f t="shared" si="21"/>
        <v>0</v>
      </c>
      <c r="J52" s="37">
        <f t="shared" si="22"/>
        <v>0</v>
      </c>
      <c r="K52" s="37">
        <f>IF($A52&gt;LastT,0,J52*Policy_Sched!$C52*Policy_Sched!$D52*C52)</f>
        <v>0</v>
      </c>
      <c r="L52" s="41">
        <f t="shared" si="23"/>
        <v>0</v>
      </c>
      <c r="M52" s="38">
        <f t="shared" si="24"/>
        <v>0</v>
      </c>
      <c r="N52" s="38">
        <f t="shared" si="25"/>
        <v>0</v>
      </c>
      <c r="O52" s="38">
        <f t="shared" si="26"/>
        <v>0</v>
      </c>
      <c r="P52" s="38">
        <f>Policy_Sched!$I52*(L52+I52)</f>
        <v>0</v>
      </c>
      <c r="Q52" s="42">
        <f t="shared" si="27"/>
        <v>0</v>
      </c>
      <c r="R52" s="38">
        <f t="shared" si="28"/>
        <v>0</v>
      </c>
      <c r="S52" s="38">
        <f t="shared" si="29"/>
        <v>0</v>
      </c>
      <c r="T52" s="38">
        <f>Policy_Sched!$J52*J52</f>
        <v>0</v>
      </c>
      <c r="U52" s="42">
        <f t="shared" si="30"/>
        <v>0</v>
      </c>
      <c r="V52" s="42">
        <f t="shared" si="31"/>
        <v>0</v>
      </c>
      <c r="W52" s="38">
        <f>IF($A52&gt;LastT,0,N52+W53/(1+Policy_Sched!$K52))</f>
        <v>0</v>
      </c>
      <c r="X52" s="38">
        <f>IF($A52&gt;LastT,0,(-Q52+X53)/(1+Policy_Sched!$K52))</f>
        <v>0</v>
      </c>
      <c r="Y52" s="38">
        <f>IF($A52&gt;LastT,0,-V52+Y53/(1+Policy_Sched!$K52))</f>
        <v>0</v>
      </c>
      <c r="Z52" s="42">
        <f t="shared" si="32"/>
        <v>0</v>
      </c>
      <c r="AA52" s="38">
        <f>IF($A52&gt;LastT,0,N52-V52-Q52/(1+Policy_Sched!$K52)+Z53/(1+Policy_Sched!$K52))</f>
        <v>0</v>
      </c>
    </row>
    <row r="53" spans="1:27" x14ac:dyDescent="0.2">
      <c r="A53" s="30">
        <f t="shared" si="33"/>
        <v>46</v>
      </c>
      <c r="B53" s="31">
        <f t="shared" si="34"/>
        <v>0</v>
      </c>
      <c r="C53" s="31">
        <f>IF($A53&gt;LastT,0,IF(AND($D$3&lt;&gt;0,$A53&gt;=T0,Policy_Sched!$B53&lt;LastAge),1+$D$3*$E$3,1))</f>
        <v>0</v>
      </c>
      <c r="D53" s="36">
        <f>IF($A53&gt;LastT,0,IF($C$3="up",MIN(Policy_Sched!$E53*(1+IF($A53&gt;=T0,$E$3,0)),$F$3),IF($C$3="down",MAX(Policy_Sched!$E53*(1-IF($A53&gt;=T0,$E$3,0)),Policy_Sched!$E53-$F$3),Policy_Sched!$E53)))</f>
        <v>0</v>
      </c>
      <c r="E53" s="37">
        <f t="shared" si="35"/>
        <v>0</v>
      </c>
      <c r="F53" s="37">
        <f t="shared" si="18"/>
        <v>0</v>
      </c>
      <c r="G53" s="37">
        <f t="shared" si="19"/>
        <v>0</v>
      </c>
      <c r="H53" s="37">
        <f t="shared" si="20"/>
        <v>0</v>
      </c>
      <c r="I53" s="37">
        <f t="shared" si="21"/>
        <v>0</v>
      </c>
      <c r="J53" s="37">
        <f t="shared" si="22"/>
        <v>0</v>
      </c>
      <c r="K53" s="37">
        <f>IF($A53&gt;LastT,0,J53*Policy_Sched!$C53*Policy_Sched!$D53*C53)</f>
        <v>0</v>
      </c>
      <c r="L53" s="41">
        <f t="shared" si="23"/>
        <v>0</v>
      </c>
      <c r="M53" s="38">
        <f t="shared" si="24"/>
        <v>0</v>
      </c>
      <c r="N53" s="38">
        <f t="shared" si="25"/>
        <v>0</v>
      </c>
      <c r="O53" s="38">
        <f t="shared" si="26"/>
        <v>0</v>
      </c>
      <c r="P53" s="38">
        <f>Policy_Sched!$I53*(L53+I53)</f>
        <v>0</v>
      </c>
      <c r="Q53" s="42">
        <f t="shared" si="27"/>
        <v>0</v>
      </c>
      <c r="R53" s="38">
        <f t="shared" si="28"/>
        <v>0</v>
      </c>
      <c r="S53" s="38">
        <f t="shared" si="29"/>
        <v>0</v>
      </c>
      <c r="T53" s="38">
        <f>Policy_Sched!$J53*J53</f>
        <v>0</v>
      </c>
      <c r="U53" s="42">
        <f t="shared" si="30"/>
        <v>0</v>
      </c>
      <c r="V53" s="42">
        <f t="shared" si="31"/>
        <v>0</v>
      </c>
      <c r="W53" s="38">
        <f>IF($A53&gt;LastT,0,N53+W54/(1+Policy_Sched!$K53))</f>
        <v>0</v>
      </c>
      <c r="X53" s="38">
        <f>IF($A53&gt;LastT,0,(-Q53+X54)/(1+Policy_Sched!$K53))</f>
        <v>0</v>
      </c>
      <c r="Y53" s="38">
        <f>IF($A53&gt;LastT,0,-V53+Y54/(1+Policy_Sched!$K53))</f>
        <v>0</v>
      </c>
      <c r="Z53" s="42">
        <f t="shared" si="32"/>
        <v>0</v>
      </c>
      <c r="AA53" s="38">
        <f>IF($A53&gt;LastT,0,N53-V53-Q53/(1+Policy_Sched!$K53)+Z54/(1+Policy_Sched!$K53))</f>
        <v>0</v>
      </c>
    </row>
    <row r="54" spans="1:27" x14ac:dyDescent="0.2">
      <c r="A54" s="30">
        <f t="shared" si="33"/>
        <v>47</v>
      </c>
      <c r="B54" s="31">
        <f t="shared" si="34"/>
        <v>0</v>
      </c>
      <c r="C54" s="31">
        <f>IF($A54&gt;LastT,0,IF(AND($D$3&lt;&gt;0,$A54&gt;=T0,Policy_Sched!$B54&lt;LastAge),1+$D$3*$E$3,1))</f>
        <v>0</v>
      </c>
      <c r="D54" s="36">
        <f>IF($A54&gt;LastT,0,IF($C$3="up",MIN(Policy_Sched!$E54*(1+IF($A54&gt;=T0,$E$3,0)),$F$3),IF($C$3="down",MAX(Policy_Sched!$E54*(1-IF($A54&gt;=T0,$E$3,0)),Policy_Sched!$E54-$F$3),Policy_Sched!$E54)))</f>
        <v>0</v>
      </c>
      <c r="E54" s="37">
        <f t="shared" si="35"/>
        <v>0</v>
      </c>
      <c r="F54" s="37">
        <f t="shared" si="18"/>
        <v>0</v>
      </c>
      <c r="G54" s="37">
        <f t="shared" si="19"/>
        <v>0</v>
      </c>
      <c r="H54" s="37">
        <f t="shared" si="20"/>
        <v>0</v>
      </c>
      <c r="I54" s="37">
        <f t="shared" si="21"/>
        <v>0</v>
      </c>
      <c r="J54" s="37">
        <f t="shared" si="22"/>
        <v>0</v>
      </c>
      <c r="K54" s="37">
        <f>IF($A54&gt;LastT,0,J54*Policy_Sched!$C54*Policy_Sched!$D54*C54)</f>
        <v>0</v>
      </c>
      <c r="L54" s="41">
        <f t="shared" si="23"/>
        <v>0</v>
      </c>
      <c r="M54" s="38">
        <f t="shared" si="24"/>
        <v>0</v>
      </c>
      <c r="N54" s="38">
        <f t="shared" si="25"/>
        <v>0</v>
      </c>
      <c r="O54" s="38">
        <f t="shared" si="26"/>
        <v>0</v>
      </c>
      <c r="P54" s="38">
        <f>Policy_Sched!$I54*(L54+I54)</f>
        <v>0</v>
      </c>
      <c r="Q54" s="42">
        <f t="shared" si="27"/>
        <v>0</v>
      </c>
      <c r="R54" s="38">
        <f t="shared" si="28"/>
        <v>0</v>
      </c>
      <c r="S54" s="38">
        <f t="shared" si="29"/>
        <v>0</v>
      </c>
      <c r="T54" s="38">
        <f>Policy_Sched!$J54*J54</f>
        <v>0</v>
      </c>
      <c r="U54" s="42">
        <f t="shared" si="30"/>
        <v>0</v>
      </c>
      <c r="V54" s="42">
        <f t="shared" si="31"/>
        <v>0</v>
      </c>
      <c r="W54" s="38">
        <f>IF($A54&gt;LastT,0,N54+W55/(1+Policy_Sched!$K54))</f>
        <v>0</v>
      </c>
      <c r="X54" s="38">
        <f>IF($A54&gt;LastT,0,(-Q54+X55)/(1+Policy_Sched!$K54))</f>
        <v>0</v>
      </c>
      <c r="Y54" s="38">
        <f>IF($A54&gt;LastT,0,-V54+Y55/(1+Policy_Sched!$K54))</f>
        <v>0</v>
      </c>
      <c r="Z54" s="42">
        <f t="shared" si="32"/>
        <v>0</v>
      </c>
      <c r="AA54" s="38">
        <f>IF($A54&gt;LastT,0,N54-V54-Q54/(1+Policy_Sched!$K54)+Z55/(1+Policy_Sched!$K54))</f>
        <v>0</v>
      </c>
    </row>
    <row r="55" spans="1:27" x14ac:dyDescent="0.2">
      <c r="A55" s="30">
        <f t="shared" si="33"/>
        <v>48</v>
      </c>
      <c r="B55" s="31">
        <f t="shared" si="34"/>
        <v>0</v>
      </c>
      <c r="C55" s="31">
        <f>IF($A55&gt;LastT,0,IF(AND($D$3&lt;&gt;0,$A55&gt;=T0,Policy_Sched!$B55&lt;LastAge),1+$D$3*$E$3,1))</f>
        <v>0</v>
      </c>
      <c r="D55" s="36">
        <f>IF($A55&gt;LastT,0,IF($C$3="up",MIN(Policy_Sched!$E55*(1+IF($A55&gt;=T0,$E$3,0)),$F$3),IF($C$3="down",MAX(Policy_Sched!$E55*(1-IF($A55&gt;=T0,$E$3,0)),Policy_Sched!$E55-$F$3),Policy_Sched!$E55)))</f>
        <v>0</v>
      </c>
      <c r="E55" s="37">
        <f t="shared" si="35"/>
        <v>0</v>
      </c>
      <c r="F55" s="37">
        <f t="shared" si="18"/>
        <v>0</v>
      </c>
      <c r="G55" s="37">
        <f t="shared" si="19"/>
        <v>0</v>
      </c>
      <c r="H55" s="37">
        <f t="shared" si="20"/>
        <v>0</v>
      </c>
      <c r="I55" s="37">
        <f t="shared" si="21"/>
        <v>0</v>
      </c>
      <c r="J55" s="37">
        <f t="shared" si="22"/>
        <v>0</v>
      </c>
      <c r="K55" s="37">
        <f>IF($A55&gt;LastT,0,J55*Policy_Sched!$C55*Policy_Sched!$D55*C55)</f>
        <v>0</v>
      </c>
      <c r="L55" s="41">
        <f t="shared" si="23"/>
        <v>0</v>
      </c>
      <c r="M55" s="38">
        <f t="shared" si="24"/>
        <v>0</v>
      </c>
      <c r="N55" s="38">
        <f t="shared" si="25"/>
        <v>0</v>
      </c>
      <c r="O55" s="38">
        <f t="shared" si="26"/>
        <v>0</v>
      </c>
      <c r="P55" s="38">
        <f>Policy_Sched!$I55*(L55+I55)</f>
        <v>0</v>
      </c>
      <c r="Q55" s="42">
        <f t="shared" si="27"/>
        <v>0</v>
      </c>
      <c r="R55" s="38">
        <f t="shared" si="28"/>
        <v>0</v>
      </c>
      <c r="S55" s="38">
        <f t="shared" si="29"/>
        <v>0</v>
      </c>
      <c r="T55" s="38">
        <f>Policy_Sched!$J55*J55</f>
        <v>0</v>
      </c>
      <c r="U55" s="42">
        <f t="shared" si="30"/>
        <v>0</v>
      </c>
      <c r="V55" s="42">
        <f t="shared" si="31"/>
        <v>0</v>
      </c>
      <c r="W55" s="38">
        <f>IF($A55&gt;LastT,0,N55+W56/(1+Policy_Sched!$K55))</f>
        <v>0</v>
      </c>
      <c r="X55" s="38">
        <f>IF($A55&gt;LastT,0,(-Q55+X56)/(1+Policy_Sched!$K55))</f>
        <v>0</v>
      </c>
      <c r="Y55" s="38">
        <f>IF($A55&gt;LastT,0,-V55+Y56/(1+Policy_Sched!$K55))</f>
        <v>0</v>
      </c>
      <c r="Z55" s="42">
        <f t="shared" si="32"/>
        <v>0</v>
      </c>
      <c r="AA55" s="38">
        <f>IF($A55&gt;LastT,0,N55-V55-Q55/(1+Policy_Sched!$K55)+Z56/(1+Policy_Sched!$K55))</f>
        <v>0</v>
      </c>
    </row>
    <row r="56" spans="1:27" x14ac:dyDescent="0.2">
      <c r="A56" s="30">
        <f t="shared" si="33"/>
        <v>49</v>
      </c>
      <c r="B56" s="31">
        <f t="shared" si="34"/>
        <v>0</v>
      </c>
      <c r="C56" s="31">
        <f>IF($A56&gt;LastT,0,IF(AND($D$3&lt;&gt;0,$A56&gt;=T0,Policy_Sched!$B56&lt;LastAge),1+$D$3*$E$3,1))</f>
        <v>0</v>
      </c>
      <c r="D56" s="36">
        <f>IF($A56&gt;LastT,0,IF($C$3="up",MIN(Policy_Sched!$E56*(1+IF($A56&gt;=T0,$E$3,0)),$F$3),IF($C$3="down",MAX(Policy_Sched!$E56*(1-IF($A56&gt;=T0,$E$3,0)),Policy_Sched!$E56-$F$3),Policy_Sched!$E56)))</f>
        <v>0</v>
      </c>
      <c r="E56" s="37">
        <f t="shared" si="35"/>
        <v>0</v>
      </c>
      <c r="F56" s="37">
        <f t="shared" si="18"/>
        <v>0</v>
      </c>
      <c r="G56" s="37">
        <f t="shared" si="19"/>
        <v>0</v>
      </c>
      <c r="H56" s="37">
        <f t="shared" si="20"/>
        <v>0</v>
      </c>
      <c r="I56" s="37">
        <f t="shared" si="21"/>
        <v>0</v>
      </c>
      <c r="J56" s="37">
        <f t="shared" si="22"/>
        <v>0</v>
      </c>
      <c r="K56" s="37">
        <f>IF($A56&gt;LastT,0,J56*Policy_Sched!$C56*Policy_Sched!$D56*C56)</f>
        <v>0</v>
      </c>
      <c r="L56" s="41">
        <f t="shared" si="23"/>
        <v>0</v>
      </c>
      <c r="M56" s="38">
        <f t="shared" si="24"/>
        <v>0</v>
      </c>
      <c r="N56" s="38">
        <f t="shared" si="25"/>
        <v>0</v>
      </c>
      <c r="O56" s="38">
        <f t="shared" si="26"/>
        <v>0</v>
      </c>
      <c r="P56" s="38">
        <f>Policy_Sched!$I56*(L56+I56)</f>
        <v>0</v>
      </c>
      <c r="Q56" s="42">
        <f t="shared" si="27"/>
        <v>0</v>
      </c>
      <c r="R56" s="38">
        <f t="shared" si="28"/>
        <v>0</v>
      </c>
      <c r="S56" s="38">
        <f t="shared" si="29"/>
        <v>0</v>
      </c>
      <c r="T56" s="38">
        <f>Policy_Sched!$J56*J56</f>
        <v>0</v>
      </c>
      <c r="U56" s="42">
        <f t="shared" si="30"/>
        <v>0</v>
      </c>
      <c r="V56" s="42">
        <f t="shared" si="31"/>
        <v>0</v>
      </c>
      <c r="W56" s="38">
        <f>IF($A56&gt;LastT,0,N56+W57/(1+Policy_Sched!$K56))</f>
        <v>0</v>
      </c>
      <c r="X56" s="38">
        <f>IF($A56&gt;LastT,0,(-Q56+X57)/(1+Policy_Sched!$K56))</f>
        <v>0</v>
      </c>
      <c r="Y56" s="38">
        <f>IF($A56&gt;LastT,0,-V56+Y57/(1+Policy_Sched!$K56))</f>
        <v>0</v>
      </c>
      <c r="Z56" s="42">
        <f t="shared" si="32"/>
        <v>0</v>
      </c>
      <c r="AA56" s="38">
        <f>IF($A56&gt;LastT,0,N56-V56-Q56/(1+Policy_Sched!$K56)+Z57/(1+Policy_Sched!$K56))</f>
        <v>0</v>
      </c>
    </row>
    <row r="57" spans="1:27" x14ac:dyDescent="0.2">
      <c r="A57" s="30">
        <f t="shared" si="33"/>
        <v>50</v>
      </c>
      <c r="B57" s="31">
        <f t="shared" si="34"/>
        <v>0</v>
      </c>
      <c r="C57" s="31">
        <f>IF($A57&gt;LastT,0,IF(AND($D$3&lt;&gt;0,$A57&gt;=T0,Policy_Sched!$B57&lt;LastAge),1+$D$3*$E$3,1))</f>
        <v>0</v>
      </c>
      <c r="D57" s="36">
        <f>IF($A57&gt;LastT,0,IF($C$3="up",MIN(Policy_Sched!$E57*(1+IF($A57&gt;=T0,$E$3,0)),$F$3),IF($C$3="down",MAX(Policy_Sched!$E57*(1-IF($A57&gt;=T0,$E$3,0)),Policy_Sched!$E57-$F$3),Policy_Sched!$E57)))</f>
        <v>0</v>
      </c>
      <c r="E57" s="37">
        <f t="shared" si="35"/>
        <v>0</v>
      </c>
      <c r="F57" s="37">
        <f t="shared" si="18"/>
        <v>0</v>
      </c>
      <c r="G57" s="37">
        <f t="shared" si="19"/>
        <v>0</v>
      </c>
      <c r="H57" s="37">
        <f t="shared" si="20"/>
        <v>0</v>
      </c>
      <c r="I57" s="37">
        <f t="shared" si="21"/>
        <v>0</v>
      </c>
      <c r="J57" s="37">
        <f t="shared" si="22"/>
        <v>0</v>
      </c>
      <c r="K57" s="37">
        <f>IF($A57&gt;LastT,0,J57*Policy_Sched!$C57*Policy_Sched!$D57*C57)</f>
        <v>0</v>
      </c>
      <c r="L57" s="41">
        <f t="shared" si="23"/>
        <v>0</v>
      </c>
      <c r="M57" s="38">
        <f t="shared" si="24"/>
        <v>0</v>
      </c>
      <c r="N57" s="38">
        <f t="shared" si="25"/>
        <v>0</v>
      </c>
      <c r="O57" s="38">
        <f t="shared" si="26"/>
        <v>0</v>
      </c>
      <c r="P57" s="38">
        <f>Policy_Sched!$I57*(L57+I57)</f>
        <v>0</v>
      </c>
      <c r="Q57" s="42">
        <f t="shared" si="27"/>
        <v>0</v>
      </c>
      <c r="R57" s="38">
        <f t="shared" si="28"/>
        <v>0</v>
      </c>
      <c r="S57" s="38">
        <f t="shared" si="29"/>
        <v>0</v>
      </c>
      <c r="T57" s="38">
        <f>Policy_Sched!$J57*J57</f>
        <v>0</v>
      </c>
      <c r="U57" s="42">
        <f t="shared" si="30"/>
        <v>0</v>
      </c>
      <c r="V57" s="42">
        <f t="shared" si="31"/>
        <v>0</v>
      </c>
      <c r="W57" s="38">
        <f>IF($A57&gt;LastT,0,N57+W58/(1+Policy_Sched!$K57))</f>
        <v>0</v>
      </c>
      <c r="X57" s="38">
        <f>IF($A57&gt;LastT,0,(-Q57+X58)/(1+Policy_Sched!$K57))</f>
        <v>0</v>
      </c>
      <c r="Y57" s="38">
        <f>IF($A57&gt;LastT,0,-V57+Y58/(1+Policy_Sched!$K57))</f>
        <v>0</v>
      </c>
      <c r="Z57" s="42">
        <f t="shared" si="32"/>
        <v>0</v>
      </c>
      <c r="AA57" s="38">
        <f>IF($A57&gt;LastT,0,N57-V57-Q57/(1+Policy_Sched!$K57)+Z58/(1+Policy_Sched!$K57))</f>
        <v>0</v>
      </c>
    </row>
    <row r="58" spans="1:27" x14ac:dyDescent="0.2">
      <c r="A58" s="30">
        <f t="shared" si="33"/>
        <v>51</v>
      </c>
      <c r="B58" s="31">
        <f t="shared" si="34"/>
        <v>0</v>
      </c>
      <c r="C58" s="31">
        <f>IF($A58&gt;LastT,0,IF(AND($D$3&lt;&gt;0,$A58&gt;=T0,Policy_Sched!$B58&lt;LastAge),1+$D$3*$E$3,1))</f>
        <v>0</v>
      </c>
      <c r="D58" s="36">
        <f>IF($A58&gt;LastT,0,IF($C$3="up",MIN(Policy_Sched!$E58*(1+IF($A58&gt;=T0,$E$3,0)),$F$3),IF($C$3="down",MAX(Policy_Sched!$E58*(1-IF($A58&gt;=T0,$E$3,0)),Policy_Sched!$E58-$F$3),Policy_Sched!$E58)))</f>
        <v>0</v>
      </c>
      <c r="E58" s="37">
        <f t="shared" si="35"/>
        <v>0</v>
      </c>
      <c r="F58" s="37">
        <f t="shared" si="18"/>
        <v>0</v>
      </c>
      <c r="G58" s="37">
        <f t="shared" si="19"/>
        <v>0</v>
      </c>
      <c r="H58" s="37">
        <f t="shared" si="20"/>
        <v>0</v>
      </c>
      <c r="I58" s="37">
        <f t="shared" si="21"/>
        <v>0</v>
      </c>
      <c r="J58" s="37">
        <f t="shared" si="22"/>
        <v>0</v>
      </c>
      <c r="K58" s="37">
        <f>IF($A58&gt;LastT,0,J58*Policy_Sched!$C58*Policy_Sched!$D58*C58)</f>
        <v>0</v>
      </c>
      <c r="L58" s="41">
        <f t="shared" si="23"/>
        <v>0</v>
      </c>
      <c r="M58" s="38">
        <f t="shared" si="24"/>
        <v>0</v>
      </c>
      <c r="N58" s="38">
        <f t="shared" si="25"/>
        <v>0</v>
      </c>
      <c r="O58" s="38">
        <f t="shared" si="26"/>
        <v>0</v>
      </c>
      <c r="P58" s="38">
        <f>Policy_Sched!$I58*(L58+I58)</f>
        <v>0</v>
      </c>
      <c r="Q58" s="42">
        <f t="shared" si="27"/>
        <v>0</v>
      </c>
      <c r="R58" s="38">
        <f t="shared" si="28"/>
        <v>0</v>
      </c>
      <c r="S58" s="38">
        <f t="shared" si="29"/>
        <v>0</v>
      </c>
      <c r="T58" s="38">
        <f>Policy_Sched!$J58*J58</f>
        <v>0</v>
      </c>
      <c r="U58" s="42">
        <f t="shared" si="30"/>
        <v>0</v>
      </c>
      <c r="V58" s="42">
        <f t="shared" si="31"/>
        <v>0</v>
      </c>
      <c r="W58" s="38">
        <f>IF($A58&gt;LastT,0,N58+W59/(1+Policy_Sched!$K58))</f>
        <v>0</v>
      </c>
      <c r="X58" s="38">
        <f>IF($A58&gt;LastT,0,(-Q58+X59)/(1+Policy_Sched!$K58))</f>
        <v>0</v>
      </c>
      <c r="Y58" s="38">
        <f>IF($A58&gt;LastT,0,-V58+Y59/(1+Policy_Sched!$K58))</f>
        <v>0</v>
      </c>
      <c r="Z58" s="42">
        <f t="shared" si="32"/>
        <v>0</v>
      </c>
      <c r="AA58" s="38">
        <f>IF($A58&gt;LastT,0,N58-V58-Q58/(1+Policy_Sched!$K58)+Z59/(1+Policy_Sched!$K58))</f>
        <v>0</v>
      </c>
    </row>
    <row r="59" spans="1:27" x14ac:dyDescent="0.2">
      <c r="A59" s="30">
        <f t="shared" si="33"/>
        <v>52</v>
      </c>
      <c r="B59" s="31">
        <f t="shared" si="34"/>
        <v>0</v>
      </c>
      <c r="C59" s="31">
        <f>IF($A59&gt;LastT,0,IF(AND($D$3&lt;&gt;0,$A59&gt;=T0,Policy_Sched!$B59&lt;LastAge),1+$D$3*$E$3,1))</f>
        <v>0</v>
      </c>
      <c r="D59" s="36">
        <f>IF($A59&gt;LastT,0,IF($C$3="up",MIN(Policy_Sched!$E59*(1+IF($A59&gt;=T0,$E$3,0)),$F$3),IF($C$3="down",MAX(Policy_Sched!$E59*(1-IF($A59&gt;=T0,$E$3,0)),Policy_Sched!$E59-$F$3),Policy_Sched!$E59)))</f>
        <v>0</v>
      </c>
      <c r="E59" s="37">
        <f t="shared" si="35"/>
        <v>0</v>
      </c>
      <c r="F59" s="37">
        <f t="shared" si="18"/>
        <v>0</v>
      </c>
      <c r="G59" s="37">
        <f t="shared" si="19"/>
        <v>0</v>
      </c>
      <c r="H59" s="37">
        <f t="shared" si="20"/>
        <v>0</v>
      </c>
      <c r="I59" s="37">
        <f t="shared" si="21"/>
        <v>0</v>
      </c>
      <c r="J59" s="37">
        <f t="shared" si="22"/>
        <v>0</v>
      </c>
      <c r="K59" s="37">
        <f>IF($A59&gt;LastT,0,J59*Policy_Sched!$C59*Policy_Sched!$D59*C59)</f>
        <v>0</v>
      </c>
      <c r="L59" s="41">
        <f t="shared" si="23"/>
        <v>0</v>
      </c>
      <c r="M59" s="38">
        <f t="shared" si="24"/>
        <v>0</v>
      </c>
      <c r="N59" s="38">
        <f t="shared" si="25"/>
        <v>0</v>
      </c>
      <c r="O59" s="38">
        <f t="shared" si="26"/>
        <v>0</v>
      </c>
      <c r="P59" s="38">
        <f>Policy_Sched!$I59*(L59+I59)</f>
        <v>0</v>
      </c>
      <c r="Q59" s="42">
        <f t="shared" si="27"/>
        <v>0</v>
      </c>
      <c r="R59" s="38">
        <f t="shared" si="28"/>
        <v>0</v>
      </c>
      <c r="S59" s="38">
        <f t="shared" si="29"/>
        <v>0</v>
      </c>
      <c r="T59" s="38">
        <f>Policy_Sched!$J59*J59</f>
        <v>0</v>
      </c>
      <c r="U59" s="42">
        <f t="shared" si="30"/>
        <v>0</v>
      </c>
      <c r="V59" s="42">
        <f t="shared" si="31"/>
        <v>0</v>
      </c>
      <c r="W59" s="38">
        <f>IF($A59&gt;LastT,0,N59+W60/(1+Policy_Sched!$K59))</f>
        <v>0</v>
      </c>
      <c r="X59" s="38">
        <f>IF($A59&gt;LastT,0,(-Q59+X60)/(1+Policy_Sched!$K59))</f>
        <v>0</v>
      </c>
      <c r="Y59" s="38">
        <f>IF($A59&gt;LastT,0,-V59+Y60/(1+Policy_Sched!$K59))</f>
        <v>0</v>
      </c>
      <c r="Z59" s="42">
        <f t="shared" si="32"/>
        <v>0</v>
      </c>
      <c r="AA59" s="38">
        <f>IF($A59&gt;LastT,0,N59-V59-Q59/(1+Policy_Sched!$K59)+Z60/(1+Policy_Sched!$K59))</f>
        <v>0</v>
      </c>
    </row>
    <row r="60" spans="1:27" x14ac:dyDescent="0.2">
      <c r="A60" s="30">
        <f t="shared" si="33"/>
        <v>53</v>
      </c>
      <c r="B60" s="31">
        <f t="shared" si="34"/>
        <v>0</v>
      </c>
      <c r="C60" s="31">
        <f>IF($A60&gt;LastT,0,IF(AND($D$3&lt;&gt;0,$A60&gt;=T0,Policy_Sched!$B60&lt;LastAge),1+$D$3*$E$3,1))</f>
        <v>0</v>
      </c>
      <c r="D60" s="36">
        <f>IF($A60&gt;LastT,0,IF($C$3="up",MIN(Policy_Sched!$E60*(1+IF($A60&gt;=T0,$E$3,0)),$F$3),IF($C$3="down",MAX(Policy_Sched!$E60*(1-IF($A60&gt;=T0,$E$3,0)),Policy_Sched!$E60-$F$3),Policy_Sched!$E60)))</f>
        <v>0</v>
      </c>
      <c r="E60" s="37">
        <f t="shared" si="35"/>
        <v>0</v>
      </c>
      <c r="F60" s="37">
        <f t="shared" si="18"/>
        <v>0</v>
      </c>
      <c r="G60" s="37">
        <f t="shared" si="19"/>
        <v>0</v>
      </c>
      <c r="H60" s="37">
        <f t="shared" si="20"/>
        <v>0</v>
      </c>
      <c r="I60" s="37">
        <f t="shared" si="21"/>
        <v>0</v>
      </c>
      <c r="J60" s="37">
        <f t="shared" si="22"/>
        <v>0</v>
      </c>
      <c r="K60" s="37">
        <f>IF($A60&gt;LastT,0,J60*Policy_Sched!$C60*Policy_Sched!$D60*C60)</f>
        <v>0</v>
      </c>
      <c r="L60" s="41">
        <f t="shared" si="23"/>
        <v>0</v>
      </c>
      <c r="M60" s="38">
        <f t="shared" si="24"/>
        <v>0</v>
      </c>
      <c r="N60" s="38">
        <f t="shared" si="25"/>
        <v>0</v>
      </c>
      <c r="O60" s="38">
        <f t="shared" si="26"/>
        <v>0</v>
      </c>
      <c r="P60" s="38">
        <f>Policy_Sched!$I60*(L60+I60)</f>
        <v>0</v>
      </c>
      <c r="Q60" s="42">
        <f t="shared" si="27"/>
        <v>0</v>
      </c>
      <c r="R60" s="38">
        <f t="shared" si="28"/>
        <v>0</v>
      </c>
      <c r="S60" s="38">
        <f t="shared" si="29"/>
        <v>0</v>
      </c>
      <c r="T60" s="38">
        <f>Policy_Sched!$J60*J60</f>
        <v>0</v>
      </c>
      <c r="U60" s="42">
        <f t="shared" si="30"/>
        <v>0</v>
      </c>
      <c r="V60" s="42">
        <f t="shared" si="31"/>
        <v>0</v>
      </c>
      <c r="W60" s="38">
        <f>IF($A60&gt;LastT,0,N60+W61/(1+Policy_Sched!$K60))</f>
        <v>0</v>
      </c>
      <c r="X60" s="38">
        <f>IF($A60&gt;LastT,0,(-Q60+X61)/(1+Policy_Sched!$K60))</f>
        <v>0</v>
      </c>
      <c r="Y60" s="38">
        <f>IF($A60&gt;LastT,0,-V60+Y61/(1+Policy_Sched!$K60))</f>
        <v>0</v>
      </c>
      <c r="Z60" s="42">
        <f t="shared" si="32"/>
        <v>0</v>
      </c>
      <c r="AA60" s="38">
        <f>IF($A60&gt;LastT,0,N60-V60-Q60/(1+Policy_Sched!$K60)+Z61/(1+Policy_Sched!$K60))</f>
        <v>0</v>
      </c>
    </row>
    <row r="61" spans="1:27" x14ac:dyDescent="0.2">
      <c r="A61" s="30">
        <f t="shared" si="33"/>
        <v>54</v>
      </c>
      <c r="B61" s="31">
        <f t="shared" si="34"/>
        <v>0</v>
      </c>
      <c r="C61" s="31">
        <f>IF($A61&gt;LastT,0,IF(AND($D$3&lt;&gt;0,$A61&gt;=T0,Policy_Sched!$B61&lt;LastAge),1+$D$3*$E$3,1))</f>
        <v>0</v>
      </c>
      <c r="D61" s="36">
        <f>IF($A61&gt;LastT,0,IF($C$3="up",MIN(Policy_Sched!$E61*(1+IF($A61&gt;=T0,$E$3,0)),$F$3),IF($C$3="down",MAX(Policy_Sched!$E61*(1-IF($A61&gt;=T0,$E$3,0)),Policy_Sched!$E61-$F$3),Policy_Sched!$E61)))</f>
        <v>0</v>
      </c>
      <c r="E61" s="37">
        <f t="shared" si="35"/>
        <v>0</v>
      </c>
      <c r="F61" s="37">
        <f t="shared" si="18"/>
        <v>0</v>
      </c>
      <c r="G61" s="37">
        <f t="shared" si="19"/>
        <v>0</v>
      </c>
      <c r="H61" s="37">
        <f t="shared" si="20"/>
        <v>0</v>
      </c>
      <c r="I61" s="37">
        <f t="shared" si="21"/>
        <v>0</v>
      </c>
      <c r="J61" s="37">
        <f t="shared" si="22"/>
        <v>0</v>
      </c>
      <c r="K61" s="37">
        <f>IF($A61&gt;LastT,0,J61*Policy_Sched!$C61*Policy_Sched!$D61*C61)</f>
        <v>0</v>
      </c>
      <c r="L61" s="41">
        <f t="shared" si="23"/>
        <v>0</v>
      </c>
      <c r="M61" s="38">
        <f t="shared" si="24"/>
        <v>0</v>
      </c>
      <c r="N61" s="38">
        <f t="shared" si="25"/>
        <v>0</v>
      </c>
      <c r="O61" s="38">
        <f t="shared" si="26"/>
        <v>0</v>
      </c>
      <c r="P61" s="38">
        <f>Policy_Sched!$I61*(L61+I61)</f>
        <v>0</v>
      </c>
      <c r="Q61" s="42">
        <f t="shared" si="27"/>
        <v>0</v>
      </c>
      <c r="R61" s="38">
        <f t="shared" si="28"/>
        <v>0</v>
      </c>
      <c r="S61" s="38">
        <f t="shared" si="29"/>
        <v>0</v>
      </c>
      <c r="T61" s="38">
        <f>Policy_Sched!$J61*J61</f>
        <v>0</v>
      </c>
      <c r="U61" s="42">
        <f t="shared" si="30"/>
        <v>0</v>
      </c>
      <c r="V61" s="42">
        <f t="shared" si="31"/>
        <v>0</v>
      </c>
      <c r="W61" s="38">
        <f>IF($A61&gt;LastT,0,N61+W62/(1+Policy_Sched!$K61))</f>
        <v>0</v>
      </c>
      <c r="X61" s="38">
        <f>IF($A61&gt;LastT,0,(-Q61+X62)/(1+Policy_Sched!$K61))</f>
        <v>0</v>
      </c>
      <c r="Y61" s="38">
        <f>IF($A61&gt;LastT,0,-V61+Y62/(1+Policy_Sched!$K61))</f>
        <v>0</v>
      </c>
      <c r="Z61" s="42">
        <f t="shared" si="32"/>
        <v>0</v>
      </c>
      <c r="AA61" s="38">
        <f>IF($A61&gt;LastT,0,N61-V61-Q61/(1+Policy_Sched!$K61)+Z62/(1+Policy_Sched!$K61))</f>
        <v>0</v>
      </c>
    </row>
    <row r="62" spans="1:27" x14ac:dyDescent="0.2">
      <c r="A62" s="30">
        <f t="shared" si="33"/>
        <v>55</v>
      </c>
      <c r="B62" s="31">
        <f t="shared" si="34"/>
        <v>0</v>
      </c>
      <c r="C62" s="31">
        <f>IF($A62&gt;LastT,0,IF(AND($D$3&lt;&gt;0,$A62&gt;=T0,Policy_Sched!$B62&lt;LastAge),1+$D$3*$E$3,1))</f>
        <v>0</v>
      </c>
      <c r="D62" s="36">
        <f>IF($A62&gt;LastT,0,IF($C$3="up",MIN(Policy_Sched!$E62*(1+IF($A62&gt;=T0,$E$3,0)),$F$3),IF($C$3="down",MAX(Policy_Sched!$E62*(1-IF($A62&gt;=T0,$E$3,0)),Policy_Sched!$E62-$F$3),Policy_Sched!$E62)))</f>
        <v>0</v>
      </c>
      <c r="E62" s="37">
        <f t="shared" si="35"/>
        <v>0</v>
      </c>
      <c r="F62" s="37">
        <f t="shared" si="18"/>
        <v>0</v>
      </c>
      <c r="G62" s="37">
        <f t="shared" si="19"/>
        <v>0</v>
      </c>
      <c r="H62" s="37">
        <f t="shared" si="20"/>
        <v>0</v>
      </c>
      <c r="I62" s="37">
        <f t="shared" si="21"/>
        <v>0</v>
      </c>
      <c r="J62" s="37">
        <f t="shared" si="22"/>
        <v>0</v>
      </c>
      <c r="K62" s="37">
        <f>IF($A62&gt;LastT,0,J62*Policy_Sched!$C62*Policy_Sched!$D62*C62)</f>
        <v>0</v>
      </c>
      <c r="L62" s="41">
        <f t="shared" si="23"/>
        <v>0</v>
      </c>
      <c r="M62" s="38">
        <f t="shared" si="24"/>
        <v>0</v>
      </c>
      <c r="N62" s="38">
        <f t="shared" si="25"/>
        <v>0</v>
      </c>
      <c r="O62" s="38">
        <f t="shared" si="26"/>
        <v>0</v>
      </c>
      <c r="P62" s="38">
        <f>Policy_Sched!$I62*(L62+I62)</f>
        <v>0</v>
      </c>
      <c r="Q62" s="42">
        <f t="shared" si="27"/>
        <v>0</v>
      </c>
      <c r="R62" s="38">
        <f t="shared" si="28"/>
        <v>0</v>
      </c>
      <c r="S62" s="38">
        <f t="shared" si="29"/>
        <v>0</v>
      </c>
      <c r="T62" s="38">
        <f>Policy_Sched!$J62*J62</f>
        <v>0</v>
      </c>
      <c r="U62" s="42">
        <f t="shared" si="30"/>
        <v>0</v>
      </c>
      <c r="V62" s="42">
        <f t="shared" si="31"/>
        <v>0</v>
      </c>
      <c r="W62" s="38">
        <f>IF($A62&gt;LastT,0,N62+W63/(1+Policy_Sched!$K62))</f>
        <v>0</v>
      </c>
      <c r="X62" s="38">
        <f>IF($A62&gt;LastT,0,(-Q62+X63)/(1+Policy_Sched!$K62))</f>
        <v>0</v>
      </c>
      <c r="Y62" s="38">
        <f>IF($A62&gt;LastT,0,-V62+Y63/(1+Policy_Sched!$K62))</f>
        <v>0</v>
      </c>
      <c r="Z62" s="42">
        <f t="shared" si="32"/>
        <v>0</v>
      </c>
      <c r="AA62" s="38">
        <f>IF($A62&gt;LastT,0,N62-V62-Q62/(1+Policy_Sched!$K62)+Z63/(1+Policy_Sched!$K62))</f>
        <v>0</v>
      </c>
    </row>
    <row r="63" spans="1:27" x14ac:dyDescent="0.2">
      <c r="A63" s="30">
        <f t="shared" si="33"/>
        <v>56</v>
      </c>
      <c r="B63" s="31">
        <f t="shared" si="34"/>
        <v>0</v>
      </c>
      <c r="C63" s="31">
        <f>IF($A63&gt;LastT,0,IF(AND($D$3&lt;&gt;0,$A63&gt;=T0,Policy_Sched!$B63&lt;LastAge),1+$D$3*$E$3,1))</f>
        <v>0</v>
      </c>
      <c r="D63" s="36">
        <f>IF($A63&gt;LastT,0,IF($C$3="up",MIN(Policy_Sched!$E63*(1+IF($A63&gt;=T0,$E$3,0)),$F$3),IF($C$3="down",MAX(Policy_Sched!$E63*(1-IF($A63&gt;=T0,$E$3,0)),Policy_Sched!$E63-$F$3),Policy_Sched!$E63)))</f>
        <v>0</v>
      </c>
      <c r="E63" s="37">
        <f t="shared" si="35"/>
        <v>0</v>
      </c>
      <c r="F63" s="37">
        <f t="shared" si="18"/>
        <v>0</v>
      </c>
      <c r="G63" s="37">
        <f t="shared" si="19"/>
        <v>0</v>
      </c>
      <c r="H63" s="37">
        <f t="shared" si="20"/>
        <v>0</v>
      </c>
      <c r="I63" s="37">
        <f t="shared" si="21"/>
        <v>0</v>
      </c>
      <c r="J63" s="37">
        <f t="shared" si="22"/>
        <v>0</v>
      </c>
      <c r="K63" s="37">
        <f>IF($A63&gt;LastT,0,J63*Policy_Sched!$C63*Policy_Sched!$D63*C63)</f>
        <v>0</v>
      </c>
      <c r="L63" s="41">
        <f t="shared" si="23"/>
        <v>0</v>
      </c>
      <c r="M63" s="38">
        <f t="shared" si="24"/>
        <v>0</v>
      </c>
      <c r="N63" s="38">
        <f t="shared" si="25"/>
        <v>0</v>
      </c>
      <c r="O63" s="38">
        <f t="shared" si="26"/>
        <v>0</v>
      </c>
      <c r="P63" s="38">
        <f>Policy_Sched!$I63*(L63+I63)</f>
        <v>0</v>
      </c>
      <c r="Q63" s="42">
        <f t="shared" si="27"/>
        <v>0</v>
      </c>
      <c r="R63" s="38">
        <f t="shared" si="28"/>
        <v>0</v>
      </c>
      <c r="S63" s="38">
        <f t="shared" si="29"/>
        <v>0</v>
      </c>
      <c r="T63" s="38">
        <f>Policy_Sched!$J63*J63</f>
        <v>0</v>
      </c>
      <c r="U63" s="42">
        <f t="shared" si="30"/>
        <v>0</v>
      </c>
      <c r="V63" s="42">
        <f t="shared" si="31"/>
        <v>0</v>
      </c>
      <c r="W63" s="38">
        <f>IF($A63&gt;LastT,0,N63+W64/(1+Policy_Sched!$K63))</f>
        <v>0</v>
      </c>
      <c r="X63" s="38">
        <f>IF($A63&gt;LastT,0,(-Q63+X64)/(1+Policy_Sched!$K63))</f>
        <v>0</v>
      </c>
      <c r="Y63" s="38">
        <f>IF($A63&gt;LastT,0,-V63+Y64/(1+Policy_Sched!$K63))</f>
        <v>0</v>
      </c>
      <c r="Z63" s="42">
        <f t="shared" si="32"/>
        <v>0</v>
      </c>
      <c r="AA63" s="38">
        <f>IF($A63&gt;LastT,0,N63-V63-Q63/(1+Policy_Sched!$K63)+Z64/(1+Policy_Sched!$K63))</f>
        <v>0</v>
      </c>
    </row>
    <row r="64" spans="1:27" x14ac:dyDescent="0.2">
      <c r="A64" s="30">
        <f t="shared" si="33"/>
        <v>57</v>
      </c>
      <c r="B64" s="31">
        <f t="shared" si="34"/>
        <v>0</v>
      </c>
      <c r="C64" s="31">
        <f>IF($A64&gt;LastT,0,IF(AND($D$3&lt;&gt;0,$A64&gt;=T0,Policy_Sched!$B64&lt;LastAge),1+$D$3*$E$3,1))</f>
        <v>0</v>
      </c>
      <c r="D64" s="36">
        <f>IF($A64&gt;LastT,0,IF($C$3="up",MIN(Policy_Sched!$E64*(1+IF($A64&gt;=T0,$E$3,0)),$F$3),IF($C$3="down",MAX(Policy_Sched!$E64*(1-IF($A64&gt;=T0,$E$3,0)),Policy_Sched!$E64-$F$3),Policy_Sched!$E64)))</f>
        <v>0</v>
      </c>
      <c r="E64" s="37">
        <f t="shared" si="35"/>
        <v>0</v>
      </c>
      <c r="F64" s="37">
        <f t="shared" si="18"/>
        <v>0</v>
      </c>
      <c r="G64" s="37">
        <f t="shared" si="19"/>
        <v>0</v>
      </c>
      <c r="H64" s="37">
        <f t="shared" si="20"/>
        <v>0</v>
      </c>
      <c r="I64" s="37">
        <f t="shared" si="21"/>
        <v>0</v>
      </c>
      <c r="J64" s="37">
        <f t="shared" si="22"/>
        <v>0</v>
      </c>
      <c r="K64" s="37">
        <f>IF($A64&gt;LastT,0,J64*Policy_Sched!$C64*Policy_Sched!$D64*C64)</f>
        <v>0</v>
      </c>
      <c r="L64" s="41">
        <f t="shared" si="23"/>
        <v>0</v>
      </c>
      <c r="M64" s="38">
        <f t="shared" si="24"/>
        <v>0</v>
      </c>
      <c r="N64" s="38">
        <f t="shared" si="25"/>
        <v>0</v>
      </c>
      <c r="O64" s="38">
        <f t="shared" si="26"/>
        <v>0</v>
      </c>
      <c r="P64" s="38">
        <f>Policy_Sched!$I64*(L64+I64)</f>
        <v>0</v>
      </c>
      <c r="Q64" s="42">
        <f t="shared" si="27"/>
        <v>0</v>
      </c>
      <c r="R64" s="38">
        <f t="shared" si="28"/>
        <v>0</v>
      </c>
      <c r="S64" s="38">
        <f t="shared" si="29"/>
        <v>0</v>
      </c>
      <c r="T64" s="38">
        <f>Policy_Sched!$J64*J64</f>
        <v>0</v>
      </c>
      <c r="U64" s="42">
        <f t="shared" si="30"/>
        <v>0</v>
      </c>
      <c r="V64" s="42">
        <f t="shared" si="31"/>
        <v>0</v>
      </c>
      <c r="W64" s="38">
        <f>IF($A64&gt;LastT,0,N64+W65/(1+Policy_Sched!$K64))</f>
        <v>0</v>
      </c>
      <c r="X64" s="38">
        <f>IF($A64&gt;LastT,0,(-Q64+X65)/(1+Policy_Sched!$K64))</f>
        <v>0</v>
      </c>
      <c r="Y64" s="38">
        <f>IF($A64&gt;LastT,0,-V64+Y65/(1+Policy_Sched!$K64))</f>
        <v>0</v>
      </c>
      <c r="Z64" s="42">
        <f t="shared" si="32"/>
        <v>0</v>
      </c>
      <c r="AA64" s="38">
        <f>IF($A64&gt;LastT,0,N64-V64-Q64/(1+Policy_Sched!$K64)+Z65/(1+Policy_Sched!$K64))</f>
        <v>0</v>
      </c>
    </row>
    <row r="65" spans="1:27" x14ac:dyDescent="0.2">
      <c r="A65" s="30">
        <f t="shared" si="33"/>
        <v>58</v>
      </c>
      <c r="B65" s="31">
        <f t="shared" si="34"/>
        <v>0</v>
      </c>
      <c r="C65" s="31">
        <f>IF($A65&gt;LastT,0,IF(AND($D$3&lt;&gt;0,$A65&gt;=T0,Policy_Sched!$B65&lt;LastAge),1+$D$3*$E$3,1))</f>
        <v>0</v>
      </c>
      <c r="D65" s="36">
        <f>IF($A65&gt;LastT,0,IF($C$3="up",MIN(Policy_Sched!$E65*(1+IF($A65&gt;=T0,$E$3,0)),$F$3),IF($C$3="down",MAX(Policy_Sched!$E65*(1-IF($A65&gt;=T0,$E$3,0)),Policy_Sched!$E65-$F$3),Policy_Sched!$E65)))</f>
        <v>0</v>
      </c>
      <c r="E65" s="37">
        <f t="shared" si="35"/>
        <v>0</v>
      </c>
      <c r="F65" s="37">
        <f t="shared" si="18"/>
        <v>0</v>
      </c>
      <c r="G65" s="37">
        <f t="shared" si="19"/>
        <v>0</v>
      </c>
      <c r="H65" s="37">
        <f t="shared" si="20"/>
        <v>0</v>
      </c>
      <c r="I65" s="37">
        <f t="shared" si="21"/>
        <v>0</v>
      </c>
      <c r="J65" s="37">
        <f t="shared" si="22"/>
        <v>0</v>
      </c>
      <c r="K65" s="37">
        <f>IF($A65&gt;LastT,0,J65*Policy_Sched!$C65*Policy_Sched!$D65*C65)</f>
        <v>0</v>
      </c>
      <c r="L65" s="41">
        <f t="shared" si="23"/>
        <v>0</v>
      </c>
      <c r="M65" s="38">
        <f t="shared" si="24"/>
        <v>0</v>
      </c>
      <c r="N65" s="38">
        <f t="shared" si="25"/>
        <v>0</v>
      </c>
      <c r="O65" s="38">
        <f t="shared" si="26"/>
        <v>0</v>
      </c>
      <c r="P65" s="38">
        <f>Policy_Sched!$I65*(L65+I65)</f>
        <v>0</v>
      </c>
      <c r="Q65" s="42">
        <f t="shared" si="27"/>
        <v>0</v>
      </c>
      <c r="R65" s="38">
        <f t="shared" si="28"/>
        <v>0</v>
      </c>
      <c r="S65" s="38">
        <f t="shared" si="29"/>
        <v>0</v>
      </c>
      <c r="T65" s="38">
        <f>Policy_Sched!$J65*J65</f>
        <v>0</v>
      </c>
      <c r="U65" s="42">
        <f t="shared" si="30"/>
        <v>0</v>
      </c>
      <c r="V65" s="42">
        <f t="shared" si="31"/>
        <v>0</v>
      </c>
      <c r="W65" s="38">
        <f>IF($A65&gt;LastT,0,N65+W66/(1+Policy_Sched!$K65))</f>
        <v>0</v>
      </c>
      <c r="X65" s="38">
        <f>IF($A65&gt;LastT,0,(-Q65+X66)/(1+Policy_Sched!$K65))</f>
        <v>0</v>
      </c>
      <c r="Y65" s="38">
        <f>IF($A65&gt;LastT,0,-V65+Y66/(1+Policy_Sched!$K65))</f>
        <v>0</v>
      </c>
      <c r="Z65" s="42">
        <f t="shared" si="32"/>
        <v>0</v>
      </c>
      <c r="AA65" s="38">
        <f>IF($A65&gt;LastT,0,N65-V65-Q65/(1+Policy_Sched!$K65)+Z66/(1+Policy_Sched!$K65))</f>
        <v>0</v>
      </c>
    </row>
    <row r="66" spans="1:27" x14ac:dyDescent="0.2">
      <c r="A66" s="30">
        <f t="shared" si="33"/>
        <v>59</v>
      </c>
      <c r="B66" s="31">
        <f t="shared" si="34"/>
        <v>0</v>
      </c>
      <c r="C66" s="31">
        <f>IF($A66&gt;LastT,0,IF(AND($D$3&lt;&gt;0,$A66&gt;=T0,Policy_Sched!$B66&lt;LastAge),1+$D$3*$E$3,1))</f>
        <v>0</v>
      </c>
      <c r="D66" s="36">
        <f>IF($A66&gt;LastT,0,IF($C$3="up",MIN(Policy_Sched!$E66*(1+IF($A66&gt;=T0,$E$3,0)),$F$3),IF($C$3="down",MAX(Policy_Sched!$E66*(1-IF($A66&gt;=T0,$E$3,0)),Policy_Sched!$E66-$F$3),Policy_Sched!$E66)))</f>
        <v>0</v>
      </c>
      <c r="E66" s="37">
        <f t="shared" si="35"/>
        <v>0</v>
      </c>
      <c r="F66" s="37">
        <f t="shared" si="18"/>
        <v>0</v>
      </c>
      <c r="G66" s="37">
        <f t="shared" si="19"/>
        <v>0</v>
      </c>
      <c r="H66" s="37">
        <f t="shared" si="20"/>
        <v>0</v>
      </c>
      <c r="I66" s="37">
        <f t="shared" si="21"/>
        <v>0</v>
      </c>
      <c r="J66" s="37">
        <f t="shared" si="22"/>
        <v>0</v>
      </c>
      <c r="K66" s="37">
        <f>IF($A66&gt;LastT,0,J66*Policy_Sched!$C66*Policy_Sched!$D66*C66)</f>
        <v>0</v>
      </c>
      <c r="L66" s="41">
        <f t="shared" si="23"/>
        <v>0</v>
      </c>
      <c r="M66" s="38">
        <f t="shared" si="24"/>
        <v>0</v>
      </c>
      <c r="N66" s="38">
        <f t="shared" si="25"/>
        <v>0</v>
      </c>
      <c r="O66" s="38">
        <f t="shared" si="26"/>
        <v>0</v>
      </c>
      <c r="P66" s="38">
        <f>Policy_Sched!$I66*(L66+I66)</f>
        <v>0</v>
      </c>
      <c r="Q66" s="42">
        <f t="shared" si="27"/>
        <v>0</v>
      </c>
      <c r="R66" s="38">
        <f t="shared" si="28"/>
        <v>0</v>
      </c>
      <c r="S66" s="38">
        <f t="shared" si="29"/>
        <v>0</v>
      </c>
      <c r="T66" s="38">
        <f>Policy_Sched!$J66*J66</f>
        <v>0</v>
      </c>
      <c r="U66" s="42">
        <f t="shared" si="30"/>
        <v>0</v>
      </c>
      <c r="V66" s="42">
        <f t="shared" si="31"/>
        <v>0</v>
      </c>
      <c r="W66" s="38">
        <f>IF($A66&gt;LastT,0,N66+W67/(1+Policy_Sched!$K66))</f>
        <v>0</v>
      </c>
      <c r="X66" s="38">
        <f>IF($A66&gt;LastT,0,(-Q66+X67)/(1+Policy_Sched!$K66))</f>
        <v>0</v>
      </c>
      <c r="Y66" s="38">
        <f>IF($A66&gt;LastT,0,-V66+Y67/(1+Policy_Sched!$K66))</f>
        <v>0</v>
      </c>
      <c r="Z66" s="42">
        <f t="shared" si="32"/>
        <v>0</v>
      </c>
      <c r="AA66" s="38">
        <f>IF($A66&gt;LastT,0,N66-V66-Q66/(1+Policy_Sched!$K66)+Z67/(1+Policy_Sched!$K66))</f>
        <v>0</v>
      </c>
    </row>
    <row r="67" spans="1:27" x14ac:dyDescent="0.2">
      <c r="A67" s="30">
        <f t="shared" si="33"/>
        <v>60</v>
      </c>
      <c r="B67" s="31">
        <f t="shared" si="34"/>
        <v>0</v>
      </c>
      <c r="C67" s="31">
        <f>IF($A67&gt;LastT,0,IF(AND($D$3&lt;&gt;0,$A67&gt;=T0,Policy_Sched!$B67&lt;LastAge),1+$D$3*$E$3,1))</f>
        <v>0</v>
      </c>
      <c r="D67" s="36">
        <f>IF($A67&gt;LastT,0,IF($C$3="up",MIN(Policy_Sched!$E67*(1+IF($A67&gt;=T0,$E$3,0)),$F$3),IF($C$3="down",MAX(Policy_Sched!$E67*(1-IF($A67&gt;=T0,$E$3,0)),Policy_Sched!$E67-$F$3),Policy_Sched!$E67)))</f>
        <v>0</v>
      </c>
      <c r="E67" s="37">
        <f t="shared" si="35"/>
        <v>0</v>
      </c>
      <c r="F67" s="37">
        <f t="shared" si="18"/>
        <v>0</v>
      </c>
      <c r="G67" s="37">
        <f t="shared" si="19"/>
        <v>0</v>
      </c>
      <c r="H67" s="37">
        <f t="shared" si="20"/>
        <v>0</v>
      </c>
      <c r="I67" s="37">
        <f t="shared" si="21"/>
        <v>0</v>
      </c>
      <c r="J67" s="37">
        <f t="shared" si="22"/>
        <v>0</v>
      </c>
      <c r="K67" s="37">
        <f>IF($A67&gt;LastT,0,J67*Policy_Sched!$C67*Policy_Sched!$D67*C67)</f>
        <v>0</v>
      </c>
      <c r="L67" s="41">
        <f t="shared" si="23"/>
        <v>0</v>
      </c>
      <c r="M67" s="38">
        <f t="shared" si="24"/>
        <v>0</v>
      </c>
      <c r="N67" s="38">
        <f t="shared" si="25"/>
        <v>0</v>
      </c>
      <c r="O67" s="38">
        <f t="shared" si="26"/>
        <v>0</v>
      </c>
      <c r="P67" s="38">
        <f>Policy_Sched!$I67*(L67+I67)</f>
        <v>0</v>
      </c>
      <c r="Q67" s="42">
        <f t="shared" si="27"/>
        <v>0</v>
      </c>
      <c r="R67" s="38">
        <f t="shared" si="28"/>
        <v>0</v>
      </c>
      <c r="S67" s="38">
        <f t="shared" si="29"/>
        <v>0</v>
      </c>
      <c r="T67" s="38">
        <f>Policy_Sched!$J67*J67</f>
        <v>0</v>
      </c>
      <c r="U67" s="42">
        <f t="shared" si="30"/>
        <v>0</v>
      </c>
      <c r="V67" s="42">
        <f t="shared" si="31"/>
        <v>0</v>
      </c>
      <c r="W67" s="38">
        <f>IF($A67&gt;LastT,0,N67+W68/(1+Policy_Sched!$K67))</f>
        <v>0</v>
      </c>
      <c r="X67" s="38">
        <f>IF($A67&gt;LastT,0,(-Q67+X68)/(1+Policy_Sched!$K67))</f>
        <v>0</v>
      </c>
      <c r="Y67" s="38">
        <f>IF($A67&gt;LastT,0,-V67+Y68/(1+Policy_Sched!$K67))</f>
        <v>0</v>
      </c>
      <c r="Z67" s="42">
        <f t="shared" si="32"/>
        <v>0</v>
      </c>
      <c r="AA67" s="38">
        <f>IF($A67&gt;LastT,0,N67-V67-Q67/(1+Policy_Sched!$K67)+Z68/(1+Policy_Sched!$K67))</f>
        <v>0</v>
      </c>
    </row>
    <row r="68" spans="1:27" x14ac:dyDescent="0.2">
      <c r="A68" s="30">
        <f t="shared" si="33"/>
        <v>61</v>
      </c>
      <c r="B68" s="31">
        <f t="shared" si="34"/>
        <v>0</v>
      </c>
      <c r="C68" s="31">
        <f>IF($A68&gt;LastT,0,IF(AND($D$3&lt;&gt;0,$A68&gt;=T0,Policy_Sched!$B68&lt;LastAge),1+$D$3*$E$3,1))</f>
        <v>0</v>
      </c>
      <c r="D68" s="36">
        <f>IF($A68&gt;LastT,0,IF($C$3="up",MIN(Policy_Sched!$E68*(1+IF($A68&gt;=T0,$E$3,0)),$F$3),IF($C$3="down",MAX(Policy_Sched!$E68*(1-IF($A68&gt;=T0,$E$3,0)),Policy_Sched!$E68-$F$3),Policy_Sched!$E68)))</f>
        <v>0</v>
      </c>
      <c r="E68" s="37">
        <f t="shared" si="35"/>
        <v>0</v>
      </c>
      <c r="F68" s="37">
        <f t="shared" si="18"/>
        <v>0</v>
      </c>
      <c r="G68" s="37">
        <f t="shared" si="19"/>
        <v>0</v>
      </c>
      <c r="H68" s="37">
        <f t="shared" si="20"/>
        <v>0</v>
      </c>
      <c r="I68" s="37">
        <f t="shared" si="21"/>
        <v>0</v>
      </c>
      <c r="J68" s="37">
        <f t="shared" si="22"/>
        <v>0</v>
      </c>
      <c r="K68" s="37">
        <f>IF($A68&gt;LastT,0,J68*Policy_Sched!$C68*Policy_Sched!$D68*C68)</f>
        <v>0</v>
      </c>
      <c r="L68" s="41">
        <f t="shared" si="23"/>
        <v>0</v>
      </c>
      <c r="M68" s="38">
        <f t="shared" si="24"/>
        <v>0</v>
      </c>
      <c r="N68" s="38">
        <f t="shared" si="25"/>
        <v>0</v>
      </c>
      <c r="O68" s="38">
        <f t="shared" si="26"/>
        <v>0</v>
      </c>
      <c r="P68" s="38">
        <f>Policy_Sched!$I68*(L68+I68)</f>
        <v>0</v>
      </c>
      <c r="Q68" s="42">
        <f t="shared" si="27"/>
        <v>0</v>
      </c>
      <c r="R68" s="38">
        <f t="shared" si="28"/>
        <v>0</v>
      </c>
      <c r="S68" s="38">
        <f t="shared" si="29"/>
        <v>0</v>
      </c>
      <c r="T68" s="38">
        <f>Policy_Sched!$J68*J68</f>
        <v>0</v>
      </c>
      <c r="U68" s="42">
        <f t="shared" si="30"/>
        <v>0</v>
      </c>
      <c r="V68" s="42">
        <f t="shared" si="31"/>
        <v>0</v>
      </c>
      <c r="W68" s="38">
        <f>IF($A68&gt;LastT,0,N68+W69/(1+Policy_Sched!$K68))</f>
        <v>0</v>
      </c>
      <c r="X68" s="38">
        <f>IF($A68&gt;LastT,0,(-Q68+X69)/(1+Policy_Sched!$K68))</f>
        <v>0</v>
      </c>
      <c r="Y68" s="38">
        <f>IF($A68&gt;LastT,0,-V68+Y69/(1+Policy_Sched!$K68))</f>
        <v>0</v>
      </c>
      <c r="Z68" s="42">
        <f t="shared" si="32"/>
        <v>0</v>
      </c>
      <c r="AA68" s="38">
        <f>IF($A68&gt;LastT,0,N68-V68-Q68/(1+Policy_Sched!$K68)+Z69/(1+Policy_Sched!$K68))</f>
        <v>0</v>
      </c>
    </row>
    <row r="69" spans="1:27" x14ac:dyDescent="0.2">
      <c r="A69" s="30">
        <f t="shared" si="33"/>
        <v>62</v>
      </c>
      <c r="B69" s="31">
        <f t="shared" si="34"/>
        <v>0</v>
      </c>
      <c r="C69" s="31">
        <f>IF($A69&gt;LastT,0,IF(AND($D$3&lt;&gt;0,$A69&gt;=T0,Policy_Sched!$B69&lt;LastAge),1+$D$3*$E$3,1))</f>
        <v>0</v>
      </c>
      <c r="D69" s="36">
        <f>IF($A69&gt;LastT,0,IF($C$3="up",MIN(Policy_Sched!$E69*(1+IF($A69&gt;=T0,$E$3,0)),$F$3),IF($C$3="down",MAX(Policy_Sched!$E69*(1-IF($A69&gt;=T0,$E$3,0)),Policy_Sched!$E69-$F$3),Policy_Sched!$E69)))</f>
        <v>0</v>
      </c>
      <c r="E69" s="37">
        <f t="shared" si="35"/>
        <v>0</v>
      </c>
      <c r="F69" s="37">
        <f t="shared" si="18"/>
        <v>0</v>
      </c>
      <c r="G69" s="37">
        <f t="shared" si="19"/>
        <v>0</v>
      </c>
      <c r="H69" s="37">
        <f t="shared" si="20"/>
        <v>0</v>
      </c>
      <c r="I69" s="37">
        <f t="shared" si="21"/>
        <v>0</v>
      </c>
      <c r="J69" s="37">
        <f t="shared" si="22"/>
        <v>0</v>
      </c>
      <c r="K69" s="37">
        <f>IF($A69&gt;LastT,0,J69*Policy_Sched!$C69*Policy_Sched!$D69*C69)</f>
        <v>0</v>
      </c>
      <c r="L69" s="41">
        <f t="shared" si="23"/>
        <v>0</v>
      </c>
      <c r="M69" s="38">
        <f t="shared" si="24"/>
        <v>0</v>
      </c>
      <c r="N69" s="38">
        <f t="shared" si="25"/>
        <v>0</v>
      </c>
      <c r="O69" s="38">
        <f t="shared" si="26"/>
        <v>0</v>
      </c>
      <c r="P69" s="38">
        <f>Policy_Sched!$I69*(L69+I69)</f>
        <v>0</v>
      </c>
      <c r="Q69" s="42">
        <f t="shared" si="27"/>
        <v>0</v>
      </c>
      <c r="R69" s="38">
        <f t="shared" si="28"/>
        <v>0</v>
      </c>
      <c r="S69" s="38">
        <f t="shared" si="29"/>
        <v>0</v>
      </c>
      <c r="T69" s="38">
        <f>Policy_Sched!$J69*J69</f>
        <v>0</v>
      </c>
      <c r="U69" s="42">
        <f t="shared" si="30"/>
        <v>0</v>
      </c>
      <c r="V69" s="42">
        <f t="shared" si="31"/>
        <v>0</v>
      </c>
      <c r="W69" s="38">
        <f>IF($A69&gt;LastT,0,N69+W70/(1+Policy_Sched!$K69))</f>
        <v>0</v>
      </c>
      <c r="X69" s="38">
        <f>IF($A69&gt;LastT,0,(-Q69+X70)/(1+Policy_Sched!$K69))</f>
        <v>0</v>
      </c>
      <c r="Y69" s="38">
        <f>IF($A69&gt;LastT,0,-V69+Y70/(1+Policy_Sched!$K69))</f>
        <v>0</v>
      </c>
      <c r="Z69" s="42">
        <f t="shared" si="32"/>
        <v>0</v>
      </c>
      <c r="AA69" s="38">
        <f>IF($A69&gt;LastT,0,N69-V69-Q69/(1+Policy_Sched!$K69)+Z70/(1+Policy_Sched!$K69))</f>
        <v>0</v>
      </c>
    </row>
    <row r="70" spans="1:27" x14ac:dyDescent="0.2">
      <c r="A70" s="30">
        <f t="shared" si="33"/>
        <v>63</v>
      </c>
      <c r="B70" s="31">
        <f t="shared" si="34"/>
        <v>0</v>
      </c>
      <c r="C70" s="31">
        <f>IF($A70&gt;LastT,0,IF(AND($D$3&lt;&gt;0,$A70&gt;=T0,Policy_Sched!$B70&lt;LastAge),1+$D$3*$E$3,1))</f>
        <v>0</v>
      </c>
      <c r="D70" s="36">
        <f>IF($A70&gt;LastT,0,IF($C$3="up",MIN(Policy_Sched!$E70*(1+IF($A70&gt;=T0,$E$3,0)),$F$3),IF($C$3="down",MAX(Policy_Sched!$E70*(1-IF($A70&gt;=T0,$E$3,0)),Policy_Sched!$E70-$F$3),Policy_Sched!$E70)))</f>
        <v>0</v>
      </c>
      <c r="E70" s="37">
        <f t="shared" si="35"/>
        <v>0</v>
      </c>
      <c r="F70" s="37">
        <f t="shared" si="18"/>
        <v>0</v>
      </c>
      <c r="G70" s="37">
        <f t="shared" si="19"/>
        <v>0</v>
      </c>
      <c r="H70" s="37">
        <f t="shared" si="20"/>
        <v>0</v>
      </c>
      <c r="I70" s="37">
        <f t="shared" si="21"/>
        <v>0</v>
      </c>
      <c r="J70" s="37">
        <f t="shared" si="22"/>
        <v>0</v>
      </c>
      <c r="K70" s="37">
        <f>IF($A70&gt;LastT,0,J70*Policy_Sched!$C70*Policy_Sched!$D70*C70)</f>
        <v>0</v>
      </c>
      <c r="L70" s="41">
        <f t="shared" si="23"/>
        <v>0</v>
      </c>
      <c r="M70" s="38">
        <f t="shared" si="24"/>
        <v>0</v>
      </c>
      <c r="N70" s="38">
        <f t="shared" si="25"/>
        <v>0</v>
      </c>
      <c r="O70" s="38">
        <f t="shared" si="26"/>
        <v>0</v>
      </c>
      <c r="P70" s="38">
        <f>Policy_Sched!$I70*(L70+I70)</f>
        <v>0</v>
      </c>
      <c r="Q70" s="42">
        <f t="shared" si="27"/>
        <v>0</v>
      </c>
      <c r="R70" s="38">
        <f t="shared" si="28"/>
        <v>0</v>
      </c>
      <c r="S70" s="38">
        <f t="shared" si="29"/>
        <v>0</v>
      </c>
      <c r="T70" s="38">
        <f>Policy_Sched!$J70*J70</f>
        <v>0</v>
      </c>
      <c r="U70" s="42">
        <f t="shared" si="30"/>
        <v>0</v>
      </c>
      <c r="V70" s="42">
        <f t="shared" si="31"/>
        <v>0</v>
      </c>
      <c r="W70" s="38">
        <f>IF($A70&gt;LastT,0,N70+W71/(1+Policy_Sched!$K70))</f>
        <v>0</v>
      </c>
      <c r="X70" s="38">
        <f>IF($A70&gt;LastT,0,(-Q70+X71)/(1+Policy_Sched!$K70))</f>
        <v>0</v>
      </c>
      <c r="Y70" s="38">
        <f>IF($A70&gt;LastT,0,-V70+Y71/(1+Policy_Sched!$K70))</f>
        <v>0</v>
      </c>
      <c r="Z70" s="42">
        <f t="shared" si="32"/>
        <v>0</v>
      </c>
      <c r="AA70" s="38">
        <f>IF($A70&gt;LastT,0,N70-V70-Q70/(1+Policy_Sched!$K70)+Z71/(1+Policy_Sched!$K70))</f>
        <v>0</v>
      </c>
    </row>
    <row r="71" spans="1:27" x14ac:dyDescent="0.2">
      <c r="A71" s="30">
        <f t="shared" si="33"/>
        <v>64</v>
      </c>
      <c r="B71" s="31">
        <f t="shared" si="34"/>
        <v>0</v>
      </c>
      <c r="C71" s="31">
        <f>IF($A71&gt;LastT,0,IF(AND($D$3&lt;&gt;0,$A71&gt;=T0,Policy_Sched!$B71&lt;LastAge),1+$D$3*$E$3,1))</f>
        <v>0</v>
      </c>
      <c r="D71" s="36">
        <f>IF($A71&gt;LastT,0,IF($C$3="up",MIN(Policy_Sched!$E71*(1+IF($A71&gt;=T0,$E$3,0)),$F$3),IF($C$3="down",MAX(Policy_Sched!$E71*(1-IF($A71&gt;=T0,$E$3,0)),Policy_Sched!$E71-$F$3),Policy_Sched!$E71)))</f>
        <v>0</v>
      </c>
      <c r="E71" s="37">
        <f t="shared" si="35"/>
        <v>0</v>
      </c>
      <c r="F71" s="37">
        <f t="shared" ref="F71:F102" si="36">IF($A71&gt;LastT,0,IF($A71=PolicyTerm,E71,0))</f>
        <v>0</v>
      </c>
      <c r="G71" s="37">
        <f t="shared" ref="G71:G102" si="37">IF($A71&gt;LastT,0,E71-F71)</f>
        <v>0</v>
      </c>
      <c r="H71" s="37">
        <f t="shared" ref="H71:H102" si="38">IF($A71=0,PolicyCount,0)</f>
        <v>0</v>
      </c>
      <c r="I71" s="37">
        <f t="shared" ref="I71:I102" si="39">IF($A71&gt;LastT,0,IF(AND($C$3="mass",$A71=T0),(G71+H71)*$E$3,0))</f>
        <v>0</v>
      </c>
      <c r="J71" s="37">
        <f t="shared" ref="J71:J102" si="40">IF($A71&gt;LastT,0,G71+H71-I71)</f>
        <v>0</v>
      </c>
      <c r="K71" s="37">
        <f>IF($A71&gt;LastT,0,J71*Policy_Sched!$C71*Policy_Sched!$D71*C71)</f>
        <v>0</v>
      </c>
      <c r="L71" s="41">
        <f t="shared" ref="L71:L102" si="41">J71*D71</f>
        <v>0</v>
      </c>
      <c r="M71" s="38">
        <f t="shared" ref="M71:M102" si="42">IF($A71&gt;LastT,0,(SizeAnnPrem*ExpsMaintAnnPrem+(SumAssured*ExpsMaintSA+ExpsMaintPol)*B71)*(1+IF($B$3="exps",$E$3,0)))</f>
        <v>0</v>
      </c>
      <c r="N71" s="38">
        <f t="shared" ref="N71:N102" si="43">SizePremium*J71</f>
        <v>0</v>
      </c>
      <c r="O71" s="38">
        <f t="shared" ref="O71:O102" si="44">SumAssured*K71</f>
        <v>0</v>
      </c>
      <c r="P71" s="38">
        <f>Policy_Sched!$I71*(L71+I71)</f>
        <v>0</v>
      </c>
      <c r="Q71" s="42">
        <f t="shared" ref="Q71:Q102" si="45">O71+P71</f>
        <v>0</v>
      </c>
      <c r="R71" s="38">
        <f t="shared" ref="R71:R102" si="46">IF($A71=0,SizeExpsAcq0*H71,0)</f>
        <v>0</v>
      </c>
      <c r="S71" s="38">
        <f t="shared" ref="S71:S102" si="47">IF($A71=0,SizeExpsCommInit0*J71,0)</f>
        <v>0</v>
      </c>
      <c r="T71" s="38">
        <f>Policy_Sched!$J71*J71</f>
        <v>0</v>
      </c>
      <c r="U71" s="42">
        <f t="shared" ref="U71:U102" si="48">M71*J71</f>
        <v>0</v>
      </c>
      <c r="V71" s="42">
        <f t="shared" ref="V71:V102" si="49">S71+T71+R71+U71</f>
        <v>0</v>
      </c>
      <c r="W71" s="38">
        <f>IF($A71&gt;LastT,0,N71+W72/(1+Policy_Sched!$K71))</f>
        <v>0</v>
      </c>
      <c r="X71" s="38">
        <f>IF($A71&gt;LastT,0,(-Q71+X72)/(1+Policy_Sched!$K71))</f>
        <v>0</v>
      </c>
      <c r="Y71" s="38">
        <f>IF($A71&gt;LastT,0,-V71+Y72/(1+Policy_Sched!$K71))</f>
        <v>0</v>
      </c>
      <c r="Z71" s="42">
        <f t="shared" ref="Z71:Z102" si="50">W71+Y71+X71</f>
        <v>0</v>
      </c>
      <c r="AA71" s="38">
        <f>IF($A71&gt;LastT,0,N71-V71-Q71/(1+Policy_Sched!$K71)+Z72/(1+Policy_Sched!$K71))</f>
        <v>0</v>
      </c>
    </row>
    <row r="72" spans="1:27" x14ac:dyDescent="0.2">
      <c r="A72" s="30">
        <f t="shared" ref="A72:A103" si="51">A71+1</f>
        <v>65</v>
      </c>
      <c r="B72" s="31">
        <f t="shared" ref="B72:B103" si="52">IF($A72&gt;LastT,0,IF($B$3="exps",B71*(1+InflRate+IF($A72&gt;=T0,$G$3,0)),B71/(1+InflRate)))</f>
        <v>0</v>
      </c>
      <c r="C72" s="31">
        <f>IF($A72&gt;LastT,0,IF(AND($D$3&lt;&gt;0,$A72&gt;=T0,Policy_Sched!$B72&lt;LastAge),1+$D$3*$E$3,1))</f>
        <v>0</v>
      </c>
      <c r="D72" s="36">
        <f>IF($A72&gt;LastT,0,IF($C$3="up",MIN(Policy_Sched!$E72*(1+IF($A72&gt;=T0,$E$3,0)),$F$3),IF($C$3="down",MAX(Policy_Sched!$E72*(1-IF($A72&gt;=T0,$E$3,0)),Policy_Sched!$E72-$F$3),Policy_Sched!$E72)))</f>
        <v>0</v>
      </c>
      <c r="E72" s="37">
        <f t="shared" ref="E72:E103" si="53">IF($A72&gt;LastT,0,J71-K71-L71)</f>
        <v>0</v>
      </c>
      <c r="F72" s="37">
        <f t="shared" si="36"/>
        <v>0</v>
      </c>
      <c r="G72" s="37">
        <f t="shared" si="37"/>
        <v>0</v>
      </c>
      <c r="H72" s="37">
        <f t="shared" si="38"/>
        <v>0</v>
      </c>
      <c r="I72" s="37">
        <f t="shared" si="39"/>
        <v>0</v>
      </c>
      <c r="J72" s="37">
        <f t="shared" si="40"/>
        <v>0</v>
      </c>
      <c r="K72" s="37">
        <f>IF($A72&gt;LastT,0,J72*Policy_Sched!$C72*Policy_Sched!$D72*C72)</f>
        <v>0</v>
      </c>
      <c r="L72" s="41">
        <f t="shared" si="41"/>
        <v>0</v>
      </c>
      <c r="M72" s="38">
        <f t="shared" si="42"/>
        <v>0</v>
      </c>
      <c r="N72" s="38">
        <f t="shared" si="43"/>
        <v>0</v>
      </c>
      <c r="O72" s="38">
        <f t="shared" si="44"/>
        <v>0</v>
      </c>
      <c r="P72" s="38">
        <f>Policy_Sched!$I72*(L72+I72)</f>
        <v>0</v>
      </c>
      <c r="Q72" s="42">
        <f t="shared" si="45"/>
        <v>0</v>
      </c>
      <c r="R72" s="38">
        <f t="shared" si="46"/>
        <v>0</v>
      </c>
      <c r="S72" s="38">
        <f t="shared" si="47"/>
        <v>0</v>
      </c>
      <c r="T72" s="38">
        <f>Policy_Sched!$J72*J72</f>
        <v>0</v>
      </c>
      <c r="U72" s="42">
        <f t="shared" si="48"/>
        <v>0</v>
      </c>
      <c r="V72" s="42">
        <f t="shared" si="49"/>
        <v>0</v>
      </c>
      <c r="W72" s="38">
        <f>IF($A72&gt;LastT,0,N72+W73/(1+Policy_Sched!$K72))</f>
        <v>0</v>
      </c>
      <c r="X72" s="38">
        <f>IF($A72&gt;LastT,0,(-Q72+X73)/(1+Policy_Sched!$K72))</f>
        <v>0</v>
      </c>
      <c r="Y72" s="38">
        <f>IF($A72&gt;LastT,0,-V72+Y73/(1+Policy_Sched!$K72))</f>
        <v>0</v>
      </c>
      <c r="Z72" s="42">
        <f t="shared" si="50"/>
        <v>0</v>
      </c>
      <c r="AA72" s="38">
        <f>IF($A72&gt;LastT,0,N72-V72-Q72/(1+Policy_Sched!$K72)+Z73/(1+Policy_Sched!$K72))</f>
        <v>0</v>
      </c>
    </row>
    <row r="73" spans="1:27" x14ac:dyDescent="0.2">
      <c r="A73" s="30">
        <f t="shared" si="51"/>
        <v>66</v>
      </c>
      <c r="B73" s="31">
        <f t="shared" si="52"/>
        <v>0</v>
      </c>
      <c r="C73" s="31">
        <f>IF($A73&gt;LastT,0,IF(AND($D$3&lt;&gt;0,$A73&gt;=T0,Policy_Sched!$B73&lt;LastAge),1+$D$3*$E$3,1))</f>
        <v>0</v>
      </c>
      <c r="D73" s="36">
        <f>IF($A73&gt;LastT,0,IF($C$3="up",MIN(Policy_Sched!$E73*(1+IF($A73&gt;=T0,$E$3,0)),$F$3),IF($C$3="down",MAX(Policy_Sched!$E73*(1-IF($A73&gt;=T0,$E$3,0)),Policy_Sched!$E73-$F$3),Policy_Sched!$E73)))</f>
        <v>0</v>
      </c>
      <c r="E73" s="37">
        <f t="shared" si="53"/>
        <v>0</v>
      </c>
      <c r="F73" s="37">
        <f t="shared" si="36"/>
        <v>0</v>
      </c>
      <c r="G73" s="37">
        <f t="shared" si="37"/>
        <v>0</v>
      </c>
      <c r="H73" s="37">
        <f t="shared" si="38"/>
        <v>0</v>
      </c>
      <c r="I73" s="37">
        <f t="shared" si="39"/>
        <v>0</v>
      </c>
      <c r="J73" s="37">
        <f t="shared" si="40"/>
        <v>0</v>
      </c>
      <c r="K73" s="37">
        <f>IF($A73&gt;LastT,0,J73*Policy_Sched!$C73*Policy_Sched!$D73*C73)</f>
        <v>0</v>
      </c>
      <c r="L73" s="41">
        <f t="shared" si="41"/>
        <v>0</v>
      </c>
      <c r="M73" s="38">
        <f t="shared" si="42"/>
        <v>0</v>
      </c>
      <c r="N73" s="38">
        <f t="shared" si="43"/>
        <v>0</v>
      </c>
      <c r="O73" s="38">
        <f t="shared" si="44"/>
        <v>0</v>
      </c>
      <c r="P73" s="38">
        <f>Policy_Sched!$I73*(L73+I73)</f>
        <v>0</v>
      </c>
      <c r="Q73" s="42">
        <f t="shared" si="45"/>
        <v>0</v>
      </c>
      <c r="R73" s="38">
        <f t="shared" si="46"/>
        <v>0</v>
      </c>
      <c r="S73" s="38">
        <f t="shared" si="47"/>
        <v>0</v>
      </c>
      <c r="T73" s="38">
        <f>Policy_Sched!$J73*J73</f>
        <v>0</v>
      </c>
      <c r="U73" s="42">
        <f t="shared" si="48"/>
        <v>0</v>
      </c>
      <c r="V73" s="42">
        <f t="shared" si="49"/>
        <v>0</v>
      </c>
      <c r="W73" s="38">
        <f>IF($A73&gt;LastT,0,N73+W74/(1+Policy_Sched!$K73))</f>
        <v>0</v>
      </c>
      <c r="X73" s="38">
        <f>IF($A73&gt;LastT,0,(-Q73+X74)/(1+Policy_Sched!$K73))</f>
        <v>0</v>
      </c>
      <c r="Y73" s="38">
        <f>IF($A73&gt;LastT,0,-V73+Y74/(1+Policy_Sched!$K73))</f>
        <v>0</v>
      </c>
      <c r="Z73" s="42">
        <f t="shared" si="50"/>
        <v>0</v>
      </c>
      <c r="AA73" s="38">
        <f>IF($A73&gt;LastT,0,N73-V73-Q73/(1+Policy_Sched!$K73)+Z74/(1+Policy_Sched!$K73))</f>
        <v>0</v>
      </c>
    </row>
    <row r="74" spans="1:27" x14ac:dyDescent="0.2">
      <c r="A74" s="30">
        <f t="shared" si="51"/>
        <v>67</v>
      </c>
      <c r="B74" s="31">
        <f t="shared" si="52"/>
        <v>0</v>
      </c>
      <c r="C74" s="31">
        <f>IF($A74&gt;LastT,0,IF(AND($D$3&lt;&gt;0,$A74&gt;=T0,Policy_Sched!$B74&lt;LastAge),1+$D$3*$E$3,1))</f>
        <v>0</v>
      </c>
      <c r="D74" s="36">
        <f>IF($A74&gt;LastT,0,IF($C$3="up",MIN(Policy_Sched!$E74*(1+IF($A74&gt;=T0,$E$3,0)),$F$3),IF($C$3="down",MAX(Policy_Sched!$E74*(1-IF($A74&gt;=T0,$E$3,0)),Policy_Sched!$E74-$F$3),Policy_Sched!$E74)))</f>
        <v>0</v>
      </c>
      <c r="E74" s="37">
        <f t="shared" si="53"/>
        <v>0</v>
      </c>
      <c r="F74" s="37">
        <f t="shared" si="36"/>
        <v>0</v>
      </c>
      <c r="G74" s="37">
        <f t="shared" si="37"/>
        <v>0</v>
      </c>
      <c r="H74" s="37">
        <f t="shared" si="38"/>
        <v>0</v>
      </c>
      <c r="I74" s="37">
        <f t="shared" si="39"/>
        <v>0</v>
      </c>
      <c r="J74" s="37">
        <f t="shared" si="40"/>
        <v>0</v>
      </c>
      <c r="K74" s="37">
        <f>IF($A74&gt;LastT,0,J74*Policy_Sched!$C74*Policy_Sched!$D74*C74)</f>
        <v>0</v>
      </c>
      <c r="L74" s="41">
        <f t="shared" si="41"/>
        <v>0</v>
      </c>
      <c r="M74" s="38">
        <f t="shared" si="42"/>
        <v>0</v>
      </c>
      <c r="N74" s="38">
        <f t="shared" si="43"/>
        <v>0</v>
      </c>
      <c r="O74" s="38">
        <f t="shared" si="44"/>
        <v>0</v>
      </c>
      <c r="P74" s="38">
        <f>Policy_Sched!$I74*(L74+I74)</f>
        <v>0</v>
      </c>
      <c r="Q74" s="42">
        <f t="shared" si="45"/>
        <v>0</v>
      </c>
      <c r="R74" s="38">
        <f t="shared" si="46"/>
        <v>0</v>
      </c>
      <c r="S74" s="38">
        <f t="shared" si="47"/>
        <v>0</v>
      </c>
      <c r="T74" s="38">
        <f>Policy_Sched!$J74*J74</f>
        <v>0</v>
      </c>
      <c r="U74" s="42">
        <f t="shared" si="48"/>
        <v>0</v>
      </c>
      <c r="V74" s="42">
        <f t="shared" si="49"/>
        <v>0</v>
      </c>
      <c r="W74" s="38">
        <f>IF($A74&gt;LastT,0,N74+W75/(1+Policy_Sched!$K74))</f>
        <v>0</v>
      </c>
      <c r="X74" s="38">
        <f>IF($A74&gt;LastT,0,(-Q74+X75)/(1+Policy_Sched!$K74))</f>
        <v>0</v>
      </c>
      <c r="Y74" s="38">
        <f>IF($A74&gt;LastT,0,-V74+Y75/(1+Policy_Sched!$K74))</f>
        <v>0</v>
      </c>
      <c r="Z74" s="42">
        <f t="shared" si="50"/>
        <v>0</v>
      </c>
      <c r="AA74" s="38">
        <f>IF($A74&gt;LastT,0,N74-V74-Q74/(1+Policy_Sched!$K74)+Z75/(1+Policy_Sched!$K74))</f>
        <v>0</v>
      </c>
    </row>
    <row r="75" spans="1:27" x14ac:dyDescent="0.2">
      <c r="A75" s="30">
        <f t="shared" si="51"/>
        <v>68</v>
      </c>
      <c r="B75" s="31">
        <f t="shared" si="52"/>
        <v>0</v>
      </c>
      <c r="C75" s="31">
        <f>IF($A75&gt;LastT,0,IF(AND($D$3&lt;&gt;0,$A75&gt;=T0,Policy_Sched!$B75&lt;LastAge),1+$D$3*$E$3,1))</f>
        <v>0</v>
      </c>
      <c r="D75" s="36">
        <f>IF($A75&gt;LastT,0,IF($C$3="up",MIN(Policy_Sched!$E75*(1+IF($A75&gt;=T0,$E$3,0)),$F$3),IF($C$3="down",MAX(Policy_Sched!$E75*(1-IF($A75&gt;=T0,$E$3,0)),Policy_Sched!$E75-$F$3),Policy_Sched!$E75)))</f>
        <v>0</v>
      </c>
      <c r="E75" s="37">
        <f t="shared" si="53"/>
        <v>0</v>
      </c>
      <c r="F75" s="37">
        <f t="shared" si="36"/>
        <v>0</v>
      </c>
      <c r="G75" s="37">
        <f t="shared" si="37"/>
        <v>0</v>
      </c>
      <c r="H75" s="37">
        <f t="shared" si="38"/>
        <v>0</v>
      </c>
      <c r="I75" s="37">
        <f t="shared" si="39"/>
        <v>0</v>
      </c>
      <c r="J75" s="37">
        <f t="shared" si="40"/>
        <v>0</v>
      </c>
      <c r="K75" s="37">
        <f>IF($A75&gt;LastT,0,J75*Policy_Sched!$C75*Policy_Sched!$D75*C75)</f>
        <v>0</v>
      </c>
      <c r="L75" s="41">
        <f t="shared" si="41"/>
        <v>0</v>
      </c>
      <c r="M75" s="38">
        <f t="shared" si="42"/>
        <v>0</v>
      </c>
      <c r="N75" s="38">
        <f t="shared" si="43"/>
        <v>0</v>
      </c>
      <c r="O75" s="38">
        <f t="shared" si="44"/>
        <v>0</v>
      </c>
      <c r="P75" s="38">
        <f>Policy_Sched!$I75*(L75+I75)</f>
        <v>0</v>
      </c>
      <c r="Q75" s="42">
        <f t="shared" si="45"/>
        <v>0</v>
      </c>
      <c r="R75" s="38">
        <f t="shared" si="46"/>
        <v>0</v>
      </c>
      <c r="S75" s="38">
        <f t="shared" si="47"/>
        <v>0</v>
      </c>
      <c r="T75" s="38">
        <f>Policy_Sched!$J75*J75</f>
        <v>0</v>
      </c>
      <c r="U75" s="42">
        <f t="shared" si="48"/>
        <v>0</v>
      </c>
      <c r="V75" s="42">
        <f t="shared" si="49"/>
        <v>0</v>
      </c>
      <c r="W75" s="38">
        <f>IF($A75&gt;LastT,0,N75+W76/(1+Policy_Sched!$K75))</f>
        <v>0</v>
      </c>
      <c r="X75" s="38">
        <f>IF($A75&gt;LastT,0,(-Q75+X76)/(1+Policy_Sched!$K75))</f>
        <v>0</v>
      </c>
      <c r="Y75" s="38">
        <f>IF($A75&gt;LastT,0,-V75+Y76/(1+Policy_Sched!$K75))</f>
        <v>0</v>
      </c>
      <c r="Z75" s="42">
        <f t="shared" si="50"/>
        <v>0</v>
      </c>
      <c r="AA75" s="38">
        <f>IF($A75&gt;LastT,0,N75-V75-Q75/(1+Policy_Sched!$K75)+Z76/(1+Policy_Sched!$K75))</f>
        <v>0</v>
      </c>
    </row>
    <row r="76" spans="1:27" x14ac:dyDescent="0.2">
      <c r="A76" s="30">
        <f t="shared" si="51"/>
        <v>69</v>
      </c>
      <c r="B76" s="31">
        <f t="shared" si="52"/>
        <v>0</v>
      </c>
      <c r="C76" s="31">
        <f>IF($A76&gt;LastT,0,IF(AND($D$3&lt;&gt;0,$A76&gt;=T0,Policy_Sched!$B76&lt;LastAge),1+$D$3*$E$3,1))</f>
        <v>0</v>
      </c>
      <c r="D76" s="36">
        <f>IF($A76&gt;LastT,0,IF($C$3="up",MIN(Policy_Sched!$E76*(1+IF($A76&gt;=T0,$E$3,0)),$F$3),IF($C$3="down",MAX(Policy_Sched!$E76*(1-IF($A76&gt;=T0,$E$3,0)),Policy_Sched!$E76-$F$3),Policy_Sched!$E76)))</f>
        <v>0</v>
      </c>
      <c r="E76" s="37">
        <f t="shared" si="53"/>
        <v>0</v>
      </c>
      <c r="F76" s="37">
        <f t="shared" si="36"/>
        <v>0</v>
      </c>
      <c r="G76" s="37">
        <f t="shared" si="37"/>
        <v>0</v>
      </c>
      <c r="H76" s="37">
        <f t="shared" si="38"/>
        <v>0</v>
      </c>
      <c r="I76" s="37">
        <f t="shared" si="39"/>
        <v>0</v>
      </c>
      <c r="J76" s="37">
        <f t="shared" si="40"/>
        <v>0</v>
      </c>
      <c r="K76" s="37">
        <f>IF($A76&gt;LastT,0,J76*Policy_Sched!$C76*Policy_Sched!$D76*C76)</f>
        <v>0</v>
      </c>
      <c r="L76" s="41">
        <f t="shared" si="41"/>
        <v>0</v>
      </c>
      <c r="M76" s="38">
        <f t="shared" si="42"/>
        <v>0</v>
      </c>
      <c r="N76" s="38">
        <f t="shared" si="43"/>
        <v>0</v>
      </c>
      <c r="O76" s="38">
        <f t="shared" si="44"/>
        <v>0</v>
      </c>
      <c r="P76" s="38">
        <f>Policy_Sched!$I76*(L76+I76)</f>
        <v>0</v>
      </c>
      <c r="Q76" s="42">
        <f t="shared" si="45"/>
        <v>0</v>
      </c>
      <c r="R76" s="38">
        <f t="shared" si="46"/>
        <v>0</v>
      </c>
      <c r="S76" s="38">
        <f t="shared" si="47"/>
        <v>0</v>
      </c>
      <c r="T76" s="38">
        <f>Policy_Sched!$J76*J76</f>
        <v>0</v>
      </c>
      <c r="U76" s="42">
        <f t="shared" si="48"/>
        <v>0</v>
      </c>
      <c r="V76" s="42">
        <f t="shared" si="49"/>
        <v>0</v>
      </c>
      <c r="W76" s="38">
        <f>IF($A76&gt;LastT,0,N76+W77/(1+Policy_Sched!$K76))</f>
        <v>0</v>
      </c>
      <c r="X76" s="38">
        <f>IF($A76&gt;LastT,0,(-Q76+X77)/(1+Policy_Sched!$K76))</f>
        <v>0</v>
      </c>
      <c r="Y76" s="38">
        <f>IF($A76&gt;LastT,0,-V76+Y77/(1+Policy_Sched!$K76))</f>
        <v>0</v>
      </c>
      <c r="Z76" s="42">
        <f t="shared" si="50"/>
        <v>0</v>
      </c>
      <c r="AA76" s="38">
        <f>IF($A76&gt;LastT,0,N76-V76-Q76/(1+Policy_Sched!$K76)+Z77/(1+Policy_Sched!$K76))</f>
        <v>0</v>
      </c>
    </row>
    <row r="77" spans="1:27" x14ac:dyDescent="0.2">
      <c r="A77" s="30">
        <f t="shared" si="51"/>
        <v>70</v>
      </c>
      <c r="B77" s="31">
        <f t="shared" si="52"/>
        <v>0</v>
      </c>
      <c r="C77" s="31">
        <f>IF($A77&gt;LastT,0,IF(AND($D$3&lt;&gt;0,$A77&gt;=T0,Policy_Sched!$B77&lt;LastAge),1+$D$3*$E$3,1))</f>
        <v>0</v>
      </c>
      <c r="D77" s="36">
        <f>IF($A77&gt;LastT,0,IF($C$3="up",MIN(Policy_Sched!$E77*(1+IF($A77&gt;=T0,$E$3,0)),$F$3),IF($C$3="down",MAX(Policy_Sched!$E77*(1-IF($A77&gt;=T0,$E$3,0)),Policy_Sched!$E77-$F$3),Policy_Sched!$E77)))</f>
        <v>0</v>
      </c>
      <c r="E77" s="37">
        <f t="shared" si="53"/>
        <v>0</v>
      </c>
      <c r="F77" s="37">
        <f t="shared" si="36"/>
        <v>0</v>
      </c>
      <c r="G77" s="37">
        <f t="shared" si="37"/>
        <v>0</v>
      </c>
      <c r="H77" s="37">
        <f t="shared" si="38"/>
        <v>0</v>
      </c>
      <c r="I77" s="37">
        <f t="shared" si="39"/>
        <v>0</v>
      </c>
      <c r="J77" s="37">
        <f t="shared" si="40"/>
        <v>0</v>
      </c>
      <c r="K77" s="37">
        <f>IF($A77&gt;LastT,0,J77*Policy_Sched!$C77*Policy_Sched!$D77*C77)</f>
        <v>0</v>
      </c>
      <c r="L77" s="41">
        <f t="shared" si="41"/>
        <v>0</v>
      </c>
      <c r="M77" s="38">
        <f t="shared" si="42"/>
        <v>0</v>
      </c>
      <c r="N77" s="38">
        <f t="shared" si="43"/>
        <v>0</v>
      </c>
      <c r="O77" s="38">
        <f t="shared" si="44"/>
        <v>0</v>
      </c>
      <c r="P77" s="38">
        <f>Policy_Sched!$I77*(L77+I77)</f>
        <v>0</v>
      </c>
      <c r="Q77" s="42">
        <f t="shared" si="45"/>
        <v>0</v>
      </c>
      <c r="R77" s="38">
        <f t="shared" si="46"/>
        <v>0</v>
      </c>
      <c r="S77" s="38">
        <f t="shared" si="47"/>
        <v>0</v>
      </c>
      <c r="T77" s="38">
        <f>Policy_Sched!$J77*J77</f>
        <v>0</v>
      </c>
      <c r="U77" s="42">
        <f t="shared" si="48"/>
        <v>0</v>
      </c>
      <c r="V77" s="42">
        <f t="shared" si="49"/>
        <v>0</v>
      </c>
      <c r="W77" s="38">
        <f>IF($A77&gt;LastT,0,N77+W78/(1+Policy_Sched!$K77))</f>
        <v>0</v>
      </c>
      <c r="X77" s="38">
        <f>IF($A77&gt;LastT,0,(-Q77+X78)/(1+Policy_Sched!$K77))</f>
        <v>0</v>
      </c>
      <c r="Y77" s="38">
        <f>IF($A77&gt;LastT,0,-V77+Y78/(1+Policy_Sched!$K77))</f>
        <v>0</v>
      </c>
      <c r="Z77" s="42">
        <f t="shared" si="50"/>
        <v>0</v>
      </c>
      <c r="AA77" s="38">
        <f>IF($A77&gt;LastT,0,N77-V77-Q77/(1+Policy_Sched!$K77)+Z78/(1+Policy_Sched!$K77))</f>
        <v>0</v>
      </c>
    </row>
    <row r="78" spans="1:27" x14ac:dyDescent="0.2">
      <c r="A78" s="30">
        <f t="shared" si="51"/>
        <v>71</v>
      </c>
      <c r="B78" s="31">
        <f t="shared" si="52"/>
        <v>0</v>
      </c>
      <c r="C78" s="31">
        <f>IF($A78&gt;LastT,0,IF(AND($D$3&lt;&gt;0,$A78&gt;=T0,Policy_Sched!$B78&lt;LastAge),1+$D$3*$E$3,1))</f>
        <v>0</v>
      </c>
      <c r="D78" s="36">
        <f>IF($A78&gt;LastT,0,IF($C$3="up",MIN(Policy_Sched!$E78*(1+IF($A78&gt;=T0,$E$3,0)),$F$3),IF($C$3="down",MAX(Policy_Sched!$E78*(1-IF($A78&gt;=T0,$E$3,0)),Policy_Sched!$E78-$F$3),Policy_Sched!$E78)))</f>
        <v>0</v>
      </c>
      <c r="E78" s="37">
        <f t="shared" si="53"/>
        <v>0</v>
      </c>
      <c r="F78" s="37">
        <f t="shared" si="36"/>
        <v>0</v>
      </c>
      <c r="G78" s="37">
        <f t="shared" si="37"/>
        <v>0</v>
      </c>
      <c r="H78" s="37">
        <f t="shared" si="38"/>
        <v>0</v>
      </c>
      <c r="I78" s="37">
        <f t="shared" si="39"/>
        <v>0</v>
      </c>
      <c r="J78" s="37">
        <f t="shared" si="40"/>
        <v>0</v>
      </c>
      <c r="K78" s="37">
        <f>IF($A78&gt;LastT,0,J78*Policy_Sched!$C78*Policy_Sched!$D78*C78)</f>
        <v>0</v>
      </c>
      <c r="L78" s="41">
        <f t="shared" si="41"/>
        <v>0</v>
      </c>
      <c r="M78" s="38">
        <f t="shared" si="42"/>
        <v>0</v>
      </c>
      <c r="N78" s="38">
        <f t="shared" si="43"/>
        <v>0</v>
      </c>
      <c r="O78" s="38">
        <f t="shared" si="44"/>
        <v>0</v>
      </c>
      <c r="P78" s="38">
        <f>Policy_Sched!$I78*(L78+I78)</f>
        <v>0</v>
      </c>
      <c r="Q78" s="42">
        <f t="shared" si="45"/>
        <v>0</v>
      </c>
      <c r="R78" s="38">
        <f t="shared" si="46"/>
        <v>0</v>
      </c>
      <c r="S78" s="38">
        <f t="shared" si="47"/>
        <v>0</v>
      </c>
      <c r="T78" s="38">
        <f>Policy_Sched!$J78*J78</f>
        <v>0</v>
      </c>
      <c r="U78" s="42">
        <f t="shared" si="48"/>
        <v>0</v>
      </c>
      <c r="V78" s="42">
        <f t="shared" si="49"/>
        <v>0</v>
      </c>
      <c r="W78" s="38">
        <f>IF($A78&gt;LastT,0,N78+W79/(1+Policy_Sched!$K78))</f>
        <v>0</v>
      </c>
      <c r="X78" s="38">
        <f>IF($A78&gt;LastT,0,(-Q78+X79)/(1+Policy_Sched!$K78))</f>
        <v>0</v>
      </c>
      <c r="Y78" s="38">
        <f>IF($A78&gt;LastT,0,-V78+Y79/(1+Policy_Sched!$K78))</f>
        <v>0</v>
      </c>
      <c r="Z78" s="42">
        <f t="shared" si="50"/>
        <v>0</v>
      </c>
      <c r="AA78" s="38">
        <f>IF($A78&gt;LastT,0,N78-V78-Q78/(1+Policy_Sched!$K78)+Z79/(1+Policy_Sched!$K78))</f>
        <v>0</v>
      </c>
    </row>
    <row r="79" spans="1:27" x14ac:dyDescent="0.2">
      <c r="A79" s="30">
        <f t="shared" si="51"/>
        <v>72</v>
      </c>
      <c r="B79" s="31">
        <f t="shared" si="52"/>
        <v>0</v>
      </c>
      <c r="C79" s="31">
        <f>IF($A79&gt;LastT,0,IF(AND($D$3&lt;&gt;0,$A79&gt;=T0,Policy_Sched!$B79&lt;LastAge),1+$D$3*$E$3,1))</f>
        <v>0</v>
      </c>
      <c r="D79" s="36">
        <f>IF($A79&gt;LastT,0,IF($C$3="up",MIN(Policy_Sched!$E79*(1+IF($A79&gt;=T0,$E$3,0)),$F$3),IF($C$3="down",MAX(Policy_Sched!$E79*(1-IF($A79&gt;=T0,$E$3,0)),Policy_Sched!$E79-$F$3),Policy_Sched!$E79)))</f>
        <v>0</v>
      </c>
      <c r="E79" s="37">
        <f t="shared" si="53"/>
        <v>0</v>
      </c>
      <c r="F79" s="37">
        <f t="shared" si="36"/>
        <v>0</v>
      </c>
      <c r="G79" s="37">
        <f t="shared" si="37"/>
        <v>0</v>
      </c>
      <c r="H79" s="37">
        <f t="shared" si="38"/>
        <v>0</v>
      </c>
      <c r="I79" s="37">
        <f t="shared" si="39"/>
        <v>0</v>
      </c>
      <c r="J79" s="37">
        <f t="shared" si="40"/>
        <v>0</v>
      </c>
      <c r="K79" s="37">
        <f>IF($A79&gt;LastT,0,J79*Policy_Sched!$C79*Policy_Sched!$D79*C79)</f>
        <v>0</v>
      </c>
      <c r="L79" s="41">
        <f t="shared" si="41"/>
        <v>0</v>
      </c>
      <c r="M79" s="38">
        <f t="shared" si="42"/>
        <v>0</v>
      </c>
      <c r="N79" s="38">
        <f t="shared" si="43"/>
        <v>0</v>
      </c>
      <c r="O79" s="38">
        <f t="shared" si="44"/>
        <v>0</v>
      </c>
      <c r="P79" s="38">
        <f>Policy_Sched!$I79*(L79+I79)</f>
        <v>0</v>
      </c>
      <c r="Q79" s="42">
        <f t="shared" si="45"/>
        <v>0</v>
      </c>
      <c r="R79" s="38">
        <f t="shared" si="46"/>
        <v>0</v>
      </c>
      <c r="S79" s="38">
        <f t="shared" si="47"/>
        <v>0</v>
      </c>
      <c r="T79" s="38">
        <f>Policy_Sched!$J79*J79</f>
        <v>0</v>
      </c>
      <c r="U79" s="42">
        <f t="shared" si="48"/>
        <v>0</v>
      </c>
      <c r="V79" s="42">
        <f t="shared" si="49"/>
        <v>0</v>
      </c>
      <c r="W79" s="38">
        <f>IF($A79&gt;LastT,0,N79+W80/(1+Policy_Sched!$K79))</f>
        <v>0</v>
      </c>
      <c r="X79" s="38">
        <f>IF($A79&gt;LastT,0,(-Q79+X80)/(1+Policy_Sched!$K79))</f>
        <v>0</v>
      </c>
      <c r="Y79" s="38">
        <f>IF($A79&gt;LastT,0,-V79+Y80/(1+Policy_Sched!$K79))</f>
        <v>0</v>
      </c>
      <c r="Z79" s="42">
        <f t="shared" si="50"/>
        <v>0</v>
      </c>
      <c r="AA79" s="38">
        <f>IF($A79&gt;LastT,0,N79-V79-Q79/(1+Policy_Sched!$K79)+Z80/(1+Policy_Sched!$K79))</f>
        <v>0</v>
      </c>
    </row>
    <row r="80" spans="1:27" x14ac:dyDescent="0.2">
      <c r="A80" s="30">
        <f t="shared" si="51"/>
        <v>73</v>
      </c>
      <c r="B80" s="31">
        <f t="shared" si="52"/>
        <v>0</v>
      </c>
      <c r="C80" s="31">
        <f>IF($A80&gt;LastT,0,IF(AND($D$3&lt;&gt;0,$A80&gt;=T0,Policy_Sched!$B80&lt;LastAge),1+$D$3*$E$3,1))</f>
        <v>0</v>
      </c>
      <c r="D80" s="36">
        <f>IF($A80&gt;LastT,0,IF($C$3="up",MIN(Policy_Sched!$E80*(1+IF($A80&gt;=T0,$E$3,0)),$F$3),IF($C$3="down",MAX(Policy_Sched!$E80*(1-IF($A80&gt;=T0,$E$3,0)),Policy_Sched!$E80-$F$3),Policy_Sched!$E80)))</f>
        <v>0</v>
      </c>
      <c r="E80" s="37">
        <f t="shared" si="53"/>
        <v>0</v>
      </c>
      <c r="F80" s="37">
        <f t="shared" si="36"/>
        <v>0</v>
      </c>
      <c r="G80" s="37">
        <f t="shared" si="37"/>
        <v>0</v>
      </c>
      <c r="H80" s="37">
        <f t="shared" si="38"/>
        <v>0</v>
      </c>
      <c r="I80" s="37">
        <f t="shared" si="39"/>
        <v>0</v>
      </c>
      <c r="J80" s="37">
        <f t="shared" si="40"/>
        <v>0</v>
      </c>
      <c r="K80" s="37">
        <f>IF($A80&gt;LastT,0,J80*Policy_Sched!$C80*Policy_Sched!$D80*C80)</f>
        <v>0</v>
      </c>
      <c r="L80" s="41">
        <f t="shared" si="41"/>
        <v>0</v>
      </c>
      <c r="M80" s="38">
        <f t="shared" si="42"/>
        <v>0</v>
      </c>
      <c r="N80" s="38">
        <f t="shared" si="43"/>
        <v>0</v>
      </c>
      <c r="O80" s="38">
        <f t="shared" si="44"/>
        <v>0</v>
      </c>
      <c r="P80" s="38">
        <f>Policy_Sched!$I80*(L80+I80)</f>
        <v>0</v>
      </c>
      <c r="Q80" s="42">
        <f t="shared" si="45"/>
        <v>0</v>
      </c>
      <c r="R80" s="38">
        <f t="shared" si="46"/>
        <v>0</v>
      </c>
      <c r="S80" s="38">
        <f t="shared" si="47"/>
        <v>0</v>
      </c>
      <c r="T80" s="38">
        <f>Policy_Sched!$J80*J80</f>
        <v>0</v>
      </c>
      <c r="U80" s="42">
        <f t="shared" si="48"/>
        <v>0</v>
      </c>
      <c r="V80" s="42">
        <f t="shared" si="49"/>
        <v>0</v>
      </c>
      <c r="W80" s="38">
        <f>IF($A80&gt;LastT,0,N80+W81/(1+Policy_Sched!$K80))</f>
        <v>0</v>
      </c>
      <c r="X80" s="38">
        <f>IF($A80&gt;LastT,0,(-Q80+X81)/(1+Policy_Sched!$K80))</f>
        <v>0</v>
      </c>
      <c r="Y80" s="38">
        <f>IF($A80&gt;LastT,0,-V80+Y81/(1+Policy_Sched!$K80))</f>
        <v>0</v>
      </c>
      <c r="Z80" s="42">
        <f t="shared" si="50"/>
        <v>0</v>
      </c>
      <c r="AA80" s="38">
        <f>IF($A80&gt;LastT,0,N80-V80-Q80/(1+Policy_Sched!$K80)+Z81/(1+Policy_Sched!$K80))</f>
        <v>0</v>
      </c>
    </row>
    <row r="81" spans="1:27" x14ac:dyDescent="0.2">
      <c r="A81" s="30">
        <f t="shared" si="51"/>
        <v>74</v>
      </c>
      <c r="B81" s="31">
        <f t="shared" si="52"/>
        <v>0</v>
      </c>
      <c r="C81" s="31">
        <f>IF($A81&gt;LastT,0,IF(AND($D$3&lt;&gt;0,$A81&gt;=T0,Policy_Sched!$B81&lt;LastAge),1+$D$3*$E$3,1))</f>
        <v>0</v>
      </c>
      <c r="D81" s="36">
        <f>IF($A81&gt;LastT,0,IF($C$3="up",MIN(Policy_Sched!$E81*(1+IF($A81&gt;=T0,$E$3,0)),$F$3),IF($C$3="down",MAX(Policy_Sched!$E81*(1-IF($A81&gt;=T0,$E$3,0)),Policy_Sched!$E81-$F$3),Policy_Sched!$E81)))</f>
        <v>0</v>
      </c>
      <c r="E81" s="37">
        <f t="shared" si="53"/>
        <v>0</v>
      </c>
      <c r="F81" s="37">
        <f t="shared" si="36"/>
        <v>0</v>
      </c>
      <c r="G81" s="37">
        <f t="shared" si="37"/>
        <v>0</v>
      </c>
      <c r="H81" s="37">
        <f t="shared" si="38"/>
        <v>0</v>
      </c>
      <c r="I81" s="37">
        <f t="shared" si="39"/>
        <v>0</v>
      </c>
      <c r="J81" s="37">
        <f t="shared" si="40"/>
        <v>0</v>
      </c>
      <c r="K81" s="37">
        <f>IF($A81&gt;LastT,0,J81*Policy_Sched!$C81*Policy_Sched!$D81*C81)</f>
        <v>0</v>
      </c>
      <c r="L81" s="41">
        <f t="shared" si="41"/>
        <v>0</v>
      </c>
      <c r="M81" s="38">
        <f t="shared" si="42"/>
        <v>0</v>
      </c>
      <c r="N81" s="38">
        <f t="shared" si="43"/>
        <v>0</v>
      </c>
      <c r="O81" s="38">
        <f t="shared" si="44"/>
        <v>0</v>
      </c>
      <c r="P81" s="38">
        <f>Policy_Sched!$I81*(L81+I81)</f>
        <v>0</v>
      </c>
      <c r="Q81" s="42">
        <f t="shared" si="45"/>
        <v>0</v>
      </c>
      <c r="R81" s="38">
        <f t="shared" si="46"/>
        <v>0</v>
      </c>
      <c r="S81" s="38">
        <f t="shared" si="47"/>
        <v>0</v>
      </c>
      <c r="T81" s="38">
        <f>Policy_Sched!$J81*J81</f>
        <v>0</v>
      </c>
      <c r="U81" s="42">
        <f t="shared" si="48"/>
        <v>0</v>
      </c>
      <c r="V81" s="42">
        <f t="shared" si="49"/>
        <v>0</v>
      </c>
      <c r="W81" s="38">
        <f>IF($A81&gt;LastT,0,N81+W82/(1+Policy_Sched!$K81))</f>
        <v>0</v>
      </c>
      <c r="X81" s="38">
        <f>IF($A81&gt;LastT,0,(-Q81+X82)/(1+Policy_Sched!$K81))</f>
        <v>0</v>
      </c>
      <c r="Y81" s="38">
        <f>IF($A81&gt;LastT,0,-V81+Y82/(1+Policy_Sched!$K81))</f>
        <v>0</v>
      </c>
      <c r="Z81" s="42">
        <f t="shared" si="50"/>
        <v>0</v>
      </c>
      <c r="AA81" s="38">
        <f>IF($A81&gt;LastT,0,N81-V81-Q81/(1+Policy_Sched!$K81)+Z82/(1+Policy_Sched!$K81))</f>
        <v>0</v>
      </c>
    </row>
    <row r="82" spans="1:27" x14ac:dyDescent="0.2">
      <c r="A82" s="30">
        <f t="shared" si="51"/>
        <v>75</v>
      </c>
      <c r="B82" s="31">
        <f t="shared" si="52"/>
        <v>0</v>
      </c>
      <c r="C82" s="31">
        <f>IF($A82&gt;LastT,0,IF(AND($D$3&lt;&gt;0,$A82&gt;=T0,Policy_Sched!$B82&lt;LastAge),1+$D$3*$E$3,1))</f>
        <v>0</v>
      </c>
      <c r="D82" s="36">
        <f>IF($A82&gt;LastT,0,IF($C$3="up",MIN(Policy_Sched!$E82*(1+IF($A82&gt;=T0,$E$3,0)),$F$3),IF($C$3="down",MAX(Policy_Sched!$E82*(1-IF($A82&gt;=T0,$E$3,0)),Policy_Sched!$E82-$F$3),Policy_Sched!$E82)))</f>
        <v>0</v>
      </c>
      <c r="E82" s="37">
        <f t="shared" si="53"/>
        <v>0</v>
      </c>
      <c r="F82" s="37">
        <f t="shared" si="36"/>
        <v>0</v>
      </c>
      <c r="G82" s="37">
        <f t="shared" si="37"/>
        <v>0</v>
      </c>
      <c r="H82" s="37">
        <f t="shared" si="38"/>
        <v>0</v>
      </c>
      <c r="I82" s="37">
        <f t="shared" si="39"/>
        <v>0</v>
      </c>
      <c r="J82" s="37">
        <f t="shared" si="40"/>
        <v>0</v>
      </c>
      <c r="K82" s="37">
        <f>IF($A82&gt;LastT,0,J82*Policy_Sched!$C82*Policy_Sched!$D82*C82)</f>
        <v>0</v>
      </c>
      <c r="L82" s="41">
        <f t="shared" si="41"/>
        <v>0</v>
      </c>
      <c r="M82" s="38">
        <f t="shared" si="42"/>
        <v>0</v>
      </c>
      <c r="N82" s="38">
        <f t="shared" si="43"/>
        <v>0</v>
      </c>
      <c r="O82" s="38">
        <f t="shared" si="44"/>
        <v>0</v>
      </c>
      <c r="P82" s="38">
        <f>Policy_Sched!$I82*(L82+I82)</f>
        <v>0</v>
      </c>
      <c r="Q82" s="42">
        <f t="shared" si="45"/>
        <v>0</v>
      </c>
      <c r="R82" s="38">
        <f t="shared" si="46"/>
        <v>0</v>
      </c>
      <c r="S82" s="38">
        <f t="shared" si="47"/>
        <v>0</v>
      </c>
      <c r="T82" s="38">
        <f>Policy_Sched!$J82*J82</f>
        <v>0</v>
      </c>
      <c r="U82" s="42">
        <f t="shared" si="48"/>
        <v>0</v>
      </c>
      <c r="V82" s="42">
        <f t="shared" si="49"/>
        <v>0</v>
      </c>
      <c r="W82" s="38">
        <f>IF($A82&gt;LastT,0,N82+W83/(1+Policy_Sched!$K82))</f>
        <v>0</v>
      </c>
      <c r="X82" s="38">
        <f>IF($A82&gt;LastT,0,(-Q82+X83)/(1+Policy_Sched!$K82))</f>
        <v>0</v>
      </c>
      <c r="Y82" s="38">
        <f>IF($A82&gt;LastT,0,-V82+Y83/(1+Policy_Sched!$K82))</f>
        <v>0</v>
      </c>
      <c r="Z82" s="42">
        <f t="shared" si="50"/>
        <v>0</v>
      </c>
      <c r="AA82" s="38">
        <f>IF($A82&gt;LastT,0,N82-V82-Q82/(1+Policy_Sched!$K82)+Z83/(1+Policy_Sched!$K82))</f>
        <v>0</v>
      </c>
    </row>
    <row r="83" spans="1:27" x14ac:dyDescent="0.2">
      <c r="A83" s="30">
        <f t="shared" si="51"/>
        <v>76</v>
      </c>
      <c r="B83" s="31">
        <f t="shared" si="52"/>
        <v>0</v>
      </c>
      <c r="C83" s="31">
        <f>IF($A83&gt;LastT,0,IF(AND($D$3&lt;&gt;0,$A83&gt;=T0,Policy_Sched!$B83&lt;LastAge),1+$D$3*$E$3,1))</f>
        <v>0</v>
      </c>
      <c r="D83" s="36">
        <f>IF($A83&gt;LastT,0,IF($C$3="up",MIN(Policy_Sched!$E83*(1+IF($A83&gt;=T0,$E$3,0)),$F$3),IF($C$3="down",MAX(Policy_Sched!$E83*(1-IF($A83&gt;=T0,$E$3,0)),Policy_Sched!$E83-$F$3),Policy_Sched!$E83)))</f>
        <v>0</v>
      </c>
      <c r="E83" s="37">
        <f t="shared" si="53"/>
        <v>0</v>
      </c>
      <c r="F83" s="37">
        <f t="shared" si="36"/>
        <v>0</v>
      </c>
      <c r="G83" s="37">
        <f t="shared" si="37"/>
        <v>0</v>
      </c>
      <c r="H83" s="37">
        <f t="shared" si="38"/>
        <v>0</v>
      </c>
      <c r="I83" s="37">
        <f t="shared" si="39"/>
        <v>0</v>
      </c>
      <c r="J83" s="37">
        <f t="shared" si="40"/>
        <v>0</v>
      </c>
      <c r="K83" s="37">
        <f>IF($A83&gt;LastT,0,J83*Policy_Sched!$C83*Policy_Sched!$D83*C83)</f>
        <v>0</v>
      </c>
      <c r="L83" s="41">
        <f t="shared" si="41"/>
        <v>0</v>
      </c>
      <c r="M83" s="38">
        <f t="shared" si="42"/>
        <v>0</v>
      </c>
      <c r="N83" s="38">
        <f t="shared" si="43"/>
        <v>0</v>
      </c>
      <c r="O83" s="38">
        <f t="shared" si="44"/>
        <v>0</v>
      </c>
      <c r="P83" s="38">
        <f>Policy_Sched!$I83*(L83+I83)</f>
        <v>0</v>
      </c>
      <c r="Q83" s="42">
        <f t="shared" si="45"/>
        <v>0</v>
      </c>
      <c r="R83" s="38">
        <f t="shared" si="46"/>
        <v>0</v>
      </c>
      <c r="S83" s="38">
        <f t="shared" si="47"/>
        <v>0</v>
      </c>
      <c r="T83" s="38">
        <f>Policy_Sched!$J83*J83</f>
        <v>0</v>
      </c>
      <c r="U83" s="42">
        <f t="shared" si="48"/>
        <v>0</v>
      </c>
      <c r="V83" s="42">
        <f t="shared" si="49"/>
        <v>0</v>
      </c>
      <c r="W83" s="38">
        <f>IF($A83&gt;LastT,0,N83+W84/(1+Policy_Sched!$K83))</f>
        <v>0</v>
      </c>
      <c r="X83" s="38">
        <f>IF($A83&gt;LastT,0,(-Q83+X84)/(1+Policy_Sched!$K83))</f>
        <v>0</v>
      </c>
      <c r="Y83" s="38">
        <f>IF($A83&gt;LastT,0,-V83+Y84/(1+Policy_Sched!$K83))</f>
        <v>0</v>
      </c>
      <c r="Z83" s="42">
        <f t="shared" si="50"/>
        <v>0</v>
      </c>
      <c r="AA83" s="38">
        <f>IF($A83&gt;LastT,0,N83-V83-Q83/(1+Policy_Sched!$K83)+Z84/(1+Policy_Sched!$K83))</f>
        <v>0</v>
      </c>
    </row>
    <row r="84" spans="1:27" x14ac:dyDescent="0.2">
      <c r="A84" s="30">
        <f t="shared" si="51"/>
        <v>77</v>
      </c>
      <c r="B84" s="31">
        <f t="shared" si="52"/>
        <v>0</v>
      </c>
      <c r="C84" s="31">
        <f>IF($A84&gt;LastT,0,IF(AND($D$3&lt;&gt;0,$A84&gt;=T0,Policy_Sched!$B84&lt;LastAge),1+$D$3*$E$3,1))</f>
        <v>0</v>
      </c>
      <c r="D84" s="36">
        <f>IF($A84&gt;LastT,0,IF($C$3="up",MIN(Policy_Sched!$E84*(1+IF($A84&gt;=T0,$E$3,0)),$F$3),IF($C$3="down",MAX(Policy_Sched!$E84*(1-IF($A84&gt;=T0,$E$3,0)),Policy_Sched!$E84-$F$3),Policy_Sched!$E84)))</f>
        <v>0</v>
      </c>
      <c r="E84" s="37">
        <f t="shared" si="53"/>
        <v>0</v>
      </c>
      <c r="F84" s="37">
        <f t="shared" si="36"/>
        <v>0</v>
      </c>
      <c r="G84" s="37">
        <f t="shared" si="37"/>
        <v>0</v>
      </c>
      <c r="H84" s="37">
        <f t="shared" si="38"/>
        <v>0</v>
      </c>
      <c r="I84" s="37">
        <f t="shared" si="39"/>
        <v>0</v>
      </c>
      <c r="J84" s="37">
        <f t="shared" si="40"/>
        <v>0</v>
      </c>
      <c r="K84" s="37">
        <f>IF($A84&gt;LastT,0,J84*Policy_Sched!$C84*Policy_Sched!$D84*C84)</f>
        <v>0</v>
      </c>
      <c r="L84" s="41">
        <f t="shared" si="41"/>
        <v>0</v>
      </c>
      <c r="M84" s="38">
        <f t="shared" si="42"/>
        <v>0</v>
      </c>
      <c r="N84" s="38">
        <f t="shared" si="43"/>
        <v>0</v>
      </c>
      <c r="O84" s="38">
        <f t="shared" si="44"/>
        <v>0</v>
      </c>
      <c r="P84" s="38">
        <f>Policy_Sched!$I84*(L84+I84)</f>
        <v>0</v>
      </c>
      <c r="Q84" s="42">
        <f t="shared" si="45"/>
        <v>0</v>
      </c>
      <c r="R84" s="38">
        <f t="shared" si="46"/>
        <v>0</v>
      </c>
      <c r="S84" s="38">
        <f t="shared" si="47"/>
        <v>0</v>
      </c>
      <c r="T84" s="38">
        <f>Policy_Sched!$J84*J84</f>
        <v>0</v>
      </c>
      <c r="U84" s="42">
        <f t="shared" si="48"/>
        <v>0</v>
      </c>
      <c r="V84" s="42">
        <f t="shared" si="49"/>
        <v>0</v>
      </c>
      <c r="W84" s="38">
        <f>IF($A84&gt;LastT,0,N84+W85/(1+Policy_Sched!$K84))</f>
        <v>0</v>
      </c>
      <c r="X84" s="38">
        <f>IF($A84&gt;LastT,0,(-Q84+X85)/(1+Policy_Sched!$K84))</f>
        <v>0</v>
      </c>
      <c r="Y84" s="38">
        <f>IF($A84&gt;LastT,0,-V84+Y85/(1+Policy_Sched!$K84))</f>
        <v>0</v>
      </c>
      <c r="Z84" s="42">
        <f t="shared" si="50"/>
        <v>0</v>
      </c>
      <c r="AA84" s="38">
        <f>IF($A84&gt;LastT,0,N84-V84-Q84/(1+Policy_Sched!$K84)+Z85/(1+Policy_Sched!$K84))</f>
        <v>0</v>
      </c>
    </row>
    <row r="85" spans="1:27" x14ac:dyDescent="0.2">
      <c r="A85" s="30">
        <f t="shared" si="51"/>
        <v>78</v>
      </c>
      <c r="B85" s="31">
        <f t="shared" si="52"/>
        <v>0</v>
      </c>
      <c r="C85" s="31">
        <f>IF($A85&gt;LastT,0,IF(AND($D$3&lt;&gt;0,$A85&gt;=T0,Policy_Sched!$B85&lt;LastAge),1+$D$3*$E$3,1))</f>
        <v>0</v>
      </c>
      <c r="D85" s="36">
        <f>IF($A85&gt;LastT,0,IF($C$3="up",MIN(Policy_Sched!$E85*(1+IF($A85&gt;=T0,$E$3,0)),$F$3),IF($C$3="down",MAX(Policy_Sched!$E85*(1-IF($A85&gt;=T0,$E$3,0)),Policy_Sched!$E85-$F$3),Policy_Sched!$E85)))</f>
        <v>0</v>
      </c>
      <c r="E85" s="37">
        <f t="shared" si="53"/>
        <v>0</v>
      </c>
      <c r="F85" s="37">
        <f t="shared" si="36"/>
        <v>0</v>
      </c>
      <c r="G85" s="37">
        <f t="shared" si="37"/>
        <v>0</v>
      </c>
      <c r="H85" s="37">
        <f t="shared" si="38"/>
        <v>0</v>
      </c>
      <c r="I85" s="37">
        <f t="shared" si="39"/>
        <v>0</v>
      </c>
      <c r="J85" s="37">
        <f t="shared" si="40"/>
        <v>0</v>
      </c>
      <c r="K85" s="37">
        <f>IF($A85&gt;LastT,0,J85*Policy_Sched!$C85*Policy_Sched!$D85*C85)</f>
        <v>0</v>
      </c>
      <c r="L85" s="41">
        <f t="shared" si="41"/>
        <v>0</v>
      </c>
      <c r="M85" s="38">
        <f t="shared" si="42"/>
        <v>0</v>
      </c>
      <c r="N85" s="38">
        <f t="shared" si="43"/>
        <v>0</v>
      </c>
      <c r="O85" s="38">
        <f t="shared" si="44"/>
        <v>0</v>
      </c>
      <c r="P85" s="38">
        <f>Policy_Sched!$I85*(L85+I85)</f>
        <v>0</v>
      </c>
      <c r="Q85" s="42">
        <f t="shared" si="45"/>
        <v>0</v>
      </c>
      <c r="R85" s="38">
        <f t="shared" si="46"/>
        <v>0</v>
      </c>
      <c r="S85" s="38">
        <f t="shared" si="47"/>
        <v>0</v>
      </c>
      <c r="T85" s="38">
        <f>Policy_Sched!$J85*J85</f>
        <v>0</v>
      </c>
      <c r="U85" s="42">
        <f t="shared" si="48"/>
        <v>0</v>
      </c>
      <c r="V85" s="42">
        <f t="shared" si="49"/>
        <v>0</v>
      </c>
      <c r="W85" s="38">
        <f>IF($A85&gt;LastT,0,N85+W86/(1+Policy_Sched!$K85))</f>
        <v>0</v>
      </c>
      <c r="X85" s="38">
        <f>IF($A85&gt;LastT,0,(-Q85+X86)/(1+Policy_Sched!$K85))</f>
        <v>0</v>
      </c>
      <c r="Y85" s="38">
        <f>IF($A85&gt;LastT,0,-V85+Y86/(1+Policy_Sched!$K85))</f>
        <v>0</v>
      </c>
      <c r="Z85" s="42">
        <f t="shared" si="50"/>
        <v>0</v>
      </c>
      <c r="AA85" s="38">
        <f>IF($A85&gt;LastT,0,N85-V85-Q85/(1+Policy_Sched!$K85)+Z86/(1+Policy_Sched!$K85))</f>
        <v>0</v>
      </c>
    </row>
    <row r="86" spans="1:27" x14ac:dyDescent="0.2">
      <c r="A86" s="30">
        <f t="shared" si="51"/>
        <v>79</v>
      </c>
      <c r="B86" s="31">
        <f t="shared" si="52"/>
        <v>0</v>
      </c>
      <c r="C86" s="31">
        <f>IF($A86&gt;LastT,0,IF(AND($D$3&lt;&gt;0,$A86&gt;=T0,Policy_Sched!$B86&lt;LastAge),1+$D$3*$E$3,1))</f>
        <v>0</v>
      </c>
      <c r="D86" s="36">
        <f>IF($A86&gt;LastT,0,IF($C$3="up",MIN(Policy_Sched!$E86*(1+IF($A86&gt;=T0,$E$3,0)),$F$3),IF($C$3="down",MAX(Policy_Sched!$E86*(1-IF($A86&gt;=T0,$E$3,0)),Policy_Sched!$E86-$F$3),Policy_Sched!$E86)))</f>
        <v>0</v>
      </c>
      <c r="E86" s="37">
        <f t="shared" si="53"/>
        <v>0</v>
      </c>
      <c r="F86" s="37">
        <f t="shared" si="36"/>
        <v>0</v>
      </c>
      <c r="G86" s="37">
        <f t="shared" si="37"/>
        <v>0</v>
      </c>
      <c r="H86" s="37">
        <f t="shared" si="38"/>
        <v>0</v>
      </c>
      <c r="I86" s="37">
        <f t="shared" si="39"/>
        <v>0</v>
      </c>
      <c r="J86" s="37">
        <f t="shared" si="40"/>
        <v>0</v>
      </c>
      <c r="K86" s="37">
        <f>IF($A86&gt;LastT,0,J86*Policy_Sched!$C86*Policy_Sched!$D86*C86)</f>
        <v>0</v>
      </c>
      <c r="L86" s="41">
        <f t="shared" si="41"/>
        <v>0</v>
      </c>
      <c r="M86" s="38">
        <f t="shared" si="42"/>
        <v>0</v>
      </c>
      <c r="N86" s="38">
        <f t="shared" si="43"/>
        <v>0</v>
      </c>
      <c r="O86" s="38">
        <f t="shared" si="44"/>
        <v>0</v>
      </c>
      <c r="P86" s="38">
        <f>Policy_Sched!$I86*(L86+I86)</f>
        <v>0</v>
      </c>
      <c r="Q86" s="42">
        <f t="shared" si="45"/>
        <v>0</v>
      </c>
      <c r="R86" s="38">
        <f t="shared" si="46"/>
        <v>0</v>
      </c>
      <c r="S86" s="38">
        <f t="shared" si="47"/>
        <v>0</v>
      </c>
      <c r="T86" s="38">
        <f>Policy_Sched!$J86*J86</f>
        <v>0</v>
      </c>
      <c r="U86" s="42">
        <f t="shared" si="48"/>
        <v>0</v>
      </c>
      <c r="V86" s="42">
        <f t="shared" si="49"/>
        <v>0</v>
      </c>
      <c r="W86" s="38">
        <f>IF($A86&gt;LastT,0,N86+W87/(1+Policy_Sched!$K86))</f>
        <v>0</v>
      </c>
      <c r="X86" s="38">
        <f>IF($A86&gt;LastT,0,(-Q86+X87)/(1+Policy_Sched!$K86))</f>
        <v>0</v>
      </c>
      <c r="Y86" s="38">
        <f>IF($A86&gt;LastT,0,-V86+Y87/(1+Policy_Sched!$K86))</f>
        <v>0</v>
      </c>
      <c r="Z86" s="42">
        <f t="shared" si="50"/>
        <v>0</v>
      </c>
      <c r="AA86" s="38">
        <f>IF($A86&gt;LastT,0,N86-V86-Q86/(1+Policy_Sched!$K86)+Z87/(1+Policy_Sched!$K86))</f>
        <v>0</v>
      </c>
    </row>
    <row r="87" spans="1:27" x14ac:dyDescent="0.2">
      <c r="A87" s="30">
        <f t="shared" si="51"/>
        <v>80</v>
      </c>
      <c r="B87" s="31">
        <f t="shared" si="52"/>
        <v>0</v>
      </c>
      <c r="C87" s="31">
        <f>IF($A87&gt;LastT,0,IF(AND($D$3&lt;&gt;0,$A87&gt;=T0,Policy_Sched!$B87&lt;LastAge),1+$D$3*$E$3,1))</f>
        <v>0</v>
      </c>
      <c r="D87" s="36">
        <f>IF($A87&gt;LastT,0,IF($C$3="up",MIN(Policy_Sched!$E87*(1+IF($A87&gt;=T0,$E$3,0)),$F$3),IF($C$3="down",MAX(Policy_Sched!$E87*(1-IF($A87&gt;=T0,$E$3,0)),Policy_Sched!$E87-$F$3),Policy_Sched!$E87)))</f>
        <v>0</v>
      </c>
      <c r="E87" s="37">
        <f t="shared" si="53"/>
        <v>0</v>
      </c>
      <c r="F87" s="37">
        <f t="shared" si="36"/>
        <v>0</v>
      </c>
      <c r="G87" s="37">
        <f t="shared" si="37"/>
        <v>0</v>
      </c>
      <c r="H87" s="37">
        <f t="shared" si="38"/>
        <v>0</v>
      </c>
      <c r="I87" s="37">
        <f t="shared" si="39"/>
        <v>0</v>
      </c>
      <c r="J87" s="37">
        <f t="shared" si="40"/>
        <v>0</v>
      </c>
      <c r="K87" s="37">
        <f>IF($A87&gt;LastT,0,J87*Policy_Sched!$C87*Policy_Sched!$D87*C87)</f>
        <v>0</v>
      </c>
      <c r="L87" s="41">
        <f t="shared" si="41"/>
        <v>0</v>
      </c>
      <c r="M87" s="38">
        <f t="shared" si="42"/>
        <v>0</v>
      </c>
      <c r="N87" s="38">
        <f t="shared" si="43"/>
        <v>0</v>
      </c>
      <c r="O87" s="38">
        <f t="shared" si="44"/>
        <v>0</v>
      </c>
      <c r="P87" s="38">
        <f>Policy_Sched!$I87*(L87+I87)</f>
        <v>0</v>
      </c>
      <c r="Q87" s="42">
        <f t="shared" si="45"/>
        <v>0</v>
      </c>
      <c r="R87" s="38">
        <f t="shared" si="46"/>
        <v>0</v>
      </c>
      <c r="S87" s="38">
        <f t="shared" si="47"/>
        <v>0</v>
      </c>
      <c r="T87" s="38">
        <f>Policy_Sched!$J87*J87</f>
        <v>0</v>
      </c>
      <c r="U87" s="42">
        <f t="shared" si="48"/>
        <v>0</v>
      </c>
      <c r="V87" s="42">
        <f t="shared" si="49"/>
        <v>0</v>
      </c>
      <c r="W87" s="38">
        <f>IF($A87&gt;LastT,0,N87+W88/(1+Policy_Sched!$K87))</f>
        <v>0</v>
      </c>
      <c r="X87" s="38">
        <f>IF($A87&gt;LastT,0,(-Q87+X88)/(1+Policy_Sched!$K87))</f>
        <v>0</v>
      </c>
      <c r="Y87" s="38">
        <f>IF($A87&gt;LastT,0,-V87+Y88/(1+Policy_Sched!$K87))</f>
        <v>0</v>
      </c>
      <c r="Z87" s="42">
        <f t="shared" si="50"/>
        <v>0</v>
      </c>
      <c r="AA87" s="38">
        <f>IF($A87&gt;LastT,0,N87-V87-Q87/(1+Policy_Sched!$K87)+Z88/(1+Policy_Sched!$K87))</f>
        <v>0</v>
      </c>
    </row>
    <row r="88" spans="1:27" x14ac:dyDescent="0.2">
      <c r="A88" s="30">
        <f t="shared" si="51"/>
        <v>81</v>
      </c>
      <c r="B88" s="31">
        <f t="shared" si="52"/>
        <v>0</v>
      </c>
      <c r="C88" s="31">
        <f>IF($A88&gt;LastT,0,IF(AND($D$3&lt;&gt;0,$A88&gt;=T0,Policy_Sched!$B88&lt;LastAge),1+$D$3*$E$3,1))</f>
        <v>0</v>
      </c>
      <c r="D88" s="36">
        <f>IF($A88&gt;LastT,0,IF($C$3="up",MIN(Policy_Sched!$E88*(1+IF($A88&gt;=T0,$E$3,0)),$F$3),IF($C$3="down",MAX(Policy_Sched!$E88*(1-IF($A88&gt;=T0,$E$3,0)),Policy_Sched!$E88-$F$3),Policy_Sched!$E88)))</f>
        <v>0</v>
      </c>
      <c r="E88" s="37">
        <f t="shared" si="53"/>
        <v>0</v>
      </c>
      <c r="F88" s="37">
        <f t="shared" si="36"/>
        <v>0</v>
      </c>
      <c r="G88" s="37">
        <f t="shared" si="37"/>
        <v>0</v>
      </c>
      <c r="H88" s="37">
        <f t="shared" si="38"/>
        <v>0</v>
      </c>
      <c r="I88" s="37">
        <f t="shared" si="39"/>
        <v>0</v>
      </c>
      <c r="J88" s="37">
        <f t="shared" si="40"/>
        <v>0</v>
      </c>
      <c r="K88" s="37">
        <f>IF($A88&gt;LastT,0,J88*Policy_Sched!$C88*Policy_Sched!$D88*C88)</f>
        <v>0</v>
      </c>
      <c r="L88" s="41">
        <f t="shared" si="41"/>
        <v>0</v>
      </c>
      <c r="M88" s="38">
        <f t="shared" si="42"/>
        <v>0</v>
      </c>
      <c r="N88" s="38">
        <f t="shared" si="43"/>
        <v>0</v>
      </c>
      <c r="O88" s="38">
        <f t="shared" si="44"/>
        <v>0</v>
      </c>
      <c r="P88" s="38">
        <f>Policy_Sched!$I88*(L88+I88)</f>
        <v>0</v>
      </c>
      <c r="Q88" s="42">
        <f t="shared" si="45"/>
        <v>0</v>
      </c>
      <c r="R88" s="38">
        <f t="shared" si="46"/>
        <v>0</v>
      </c>
      <c r="S88" s="38">
        <f t="shared" si="47"/>
        <v>0</v>
      </c>
      <c r="T88" s="38">
        <f>Policy_Sched!$J88*J88</f>
        <v>0</v>
      </c>
      <c r="U88" s="42">
        <f t="shared" si="48"/>
        <v>0</v>
      </c>
      <c r="V88" s="42">
        <f t="shared" si="49"/>
        <v>0</v>
      </c>
      <c r="W88" s="38">
        <f>IF($A88&gt;LastT,0,N88+W89/(1+Policy_Sched!$K88))</f>
        <v>0</v>
      </c>
      <c r="X88" s="38">
        <f>IF($A88&gt;LastT,0,(-Q88+X89)/(1+Policy_Sched!$K88))</f>
        <v>0</v>
      </c>
      <c r="Y88" s="38">
        <f>IF($A88&gt;LastT,0,-V88+Y89/(1+Policy_Sched!$K88))</f>
        <v>0</v>
      </c>
      <c r="Z88" s="42">
        <f t="shared" si="50"/>
        <v>0</v>
      </c>
      <c r="AA88" s="38">
        <f>IF($A88&gt;LastT,0,N88-V88-Q88/(1+Policy_Sched!$K88)+Z89/(1+Policy_Sched!$K88))</f>
        <v>0</v>
      </c>
    </row>
    <row r="89" spans="1:27" x14ac:dyDescent="0.2">
      <c r="A89" s="30">
        <f t="shared" si="51"/>
        <v>82</v>
      </c>
      <c r="B89" s="31">
        <f t="shared" si="52"/>
        <v>0</v>
      </c>
      <c r="C89" s="31">
        <f>IF($A89&gt;LastT,0,IF(AND($D$3&lt;&gt;0,$A89&gt;=T0,Policy_Sched!$B89&lt;LastAge),1+$D$3*$E$3,1))</f>
        <v>0</v>
      </c>
      <c r="D89" s="36">
        <f>IF($A89&gt;LastT,0,IF($C$3="up",MIN(Policy_Sched!$E89*(1+IF($A89&gt;=T0,$E$3,0)),$F$3),IF($C$3="down",MAX(Policy_Sched!$E89*(1-IF($A89&gt;=T0,$E$3,0)),Policy_Sched!$E89-$F$3),Policy_Sched!$E89)))</f>
        <v>0</v>
      </c>
      <c r="E89" s="37">
        <f t="shared" si="53"/>
        <v>0</v>
      </c>
      <c r="F89" s="37">
        <f t="shared" si="36"/>
        <v>0</v>
      </c>
      <c r="G89" s="37">
        <f t="shared" si="37"/>
        <v>0</v>
      </c>
      <c r="H89" s="37">
        <f t="shared" si="38"/>
        <v>0</v>
      </c>
      <c r="I89" s="37">
        <f t="shared" si="39"/>
        <v>0</v>
      </c>
      <c r="J89" s="37">
        <f t="shared" si="40"/>
        <v>0</v>
      </c>
      <c r="K89" s="37">
        <f>IF($A89&gt;LastT,0,J89*Policy_Sched!$C89*Policy_Sched!$D89*C89)</f>
        <v>0</v>
      </c>
      <c r="L89" s="41">
        <f t="shared" si="41"/>
        <v>0</v>
      </c>
      <c r="M89" s="38">
        <f t="shared" si="42"/>
        <v>0</v>
      </c>
      <c r="N89" s="38">
        <f t="shared" si="43"/>
        <v>0</v>
      </c>
      <c r="O89" s="38">
        <f t="shared" si="44"/>
        <v>0</v>
      </c>
      <c r="P89" s="38">
        <f>Policy_Sched!$I89*(L89+I89)</f>
        <v>0</v>
      </c>
      <c r="Q89" s="42">
        <f t="shared" si="45"/>
        <v>0</v>
      </c>
      <c r="R89" s="38">
        <f t="shared" si="46"/>
        <v>0</v>
      </c>
      <c r="S89" s="38">
        <f t="shared" si="47"/>
        <v>0</v>
      </c>
      <c r="T89" s="38">
        <f>Policy_Sched!$J89*J89</f>
        <v>0</v>
      </c>
      <c r="U89" s="42">
        <f t="shared" si="48"/>
        <v>0</v>
      </c>
      <c r="V89" s="42">
        <f t="shared" si="49"/>
        <v>0</v>
      </c>
      <c r="W89" s="38">
        <f>IF($A89&gt;LastT,0,N89+W90/(1+Policy_Sched!$K89))</f>
        <v>0</v>
      </c>
      <c r="X89" s="38">
        <f>IF($A89&gt;LastT,0,(-Q89+X90)/(1+Policy_Sched!$K89))</f>
        <v>0</v>
      </c>
      <c r="Y89" s="38">
        <f>IF($A89&gt;LastT,0,-V89+Y90/(1+Policy_Sched!$K89))</f>
        <v>0</v>
      </c>
      <c r="Z89" s="42">
        <f t="shared" si="50"/>
        <v>0</v>
      </c>
      <c r="AA89" s="38">
        <f>IF($A89&gt;LastT,0,N89-V89-Q89/(1+Policy_Sched!$K89)+Z90/(1+Policy_Sched!$K89))</f>
        <v>0</v>
      </c>
    </row>
    <row r="90" spans="1:27" x14ac:dyDescent="0.2">
      <c r="A90" s="30">
        <f t="shared" si="51"/>
        <v>83</v>
      </c>
      <c r="B90" s="31">
        <f t="shared" si="52"/>
        <v>0</v>
      </c>
      <c r="C90" s="31">
        <f>IF($A90&gt;LastT,0,IF(AND($D$3&lt;&gt;0,$A90&gt;=T0,Policy_Sched!$B90&lt;LastAge),1+$D$3*$E$3,1))</f>
        <v>0</v>
      </c>
      <c r="D90" s="36">
        <f>IF($A90&gt;LastT,0,IF($C$3="up",MIN(Policy_Sched!$E90*(1+IF($A90&gt;=T0,$E$3,0)),$F$3),IF($C$3="down",MAX(Policy_Sched!$E90*(1-IF($A90&gt;=T0,$E$3,0)),Policy_Sched!$E90-$F$3),Policy_Sched!$E90)))</f>
        <v>0</v>
      </c>
      <c r="E90" s="37">
        <f t="shared" si="53"/>
        <v>0</v>
      </c>
      <c r="F90" s="37">
        <f t="shared" si="36"/>
        <v>0</v>
      </c>
      <c r="G90" s="37">
        <f t="shared" si="37"/>
        <v>0</v>
      </c>
      <c r="H90" s="37">
        <f t="shared" si="38"/>
        <v>0</v>
      </c>
      <c r="I90" s="37">
        <f t="shared" si="39"/>
        <v>0</v>
      </c>
      <c r="J90" s="37">
        <f t="shared" si="40"/>
        <v>0</v>
      </c>
      <c r="K90" s="37">
        <f>IF($A90&gt;LastT,0,J90*Policy_Sched!$C90*Policy_Sched!$D90*C90)</f>
        <v>0</v>
      </c>
      <c r="L90" s="41">
        <f t="shared" si="41"/>
        <v>0</v>
      </c>
      <c r="M90" s="38">
        <f t="shared" si="42"/>
        <v>0</v>
      </c>
      <c r="N90" s="38">
        <f t="shared" si="43"/>
        <v>0</v>
      </c>
      <c r="O90" s="38">
        <f t="shared" si="44"/>
        <v>0</v>
      </c>
      <c r="P90" s="38">
        <f>Policy_Sched!$I90*(L90+I90)</f>
        <v>0</v>
      </c>
      <c r="Q90" s="42">
        <f t="shared" si="45"/>
        <v>0</v>
      </c>
      <c r="R90" s="38">
        <f t="shared" si="46"/>
        <v>0</v>
      </c>
      <c r="S90" s="38">
        <f t="shared" si="47"/>
        <v>0</v>
      </c>
      <c r="T90" s="38">
        <f>Policy_Sched!$J90*J90</f>
        <v>0</v>
      </c>
      <c r="U90" s="42">
        <f t="shared" si="48"/>
        <v>0</v>
      </c>
      <c r="V90" s="42">
        <f t="shared" si="49"/>
        <v>0</v>
      </c>
      <c r="W90" s="38">
        <f>IF($A90&gt;LastT,0,N90+W91/(1+Policy_Sched!$K90))</f>
        <v>0</v>
      </c>
      <c r="X90" s="38">
        <f>IF($A90&gt;LastT,0,(-Q90+X91)/(1+Policy_Sched!$K90))</f>
        <v>0</v>
      </c>
      <c r="Y90" s="38">
        <f>IF($A90&gt;LastT,0,-V90+Y91/(1+Policy_Sched!$K90))</f>
        <v>0</v>
      </c>
      <c r="Z90" s="42">
        <f t="shared" si="50"/>
        <v>0</v>
      </c>
      <c r="AA90" s="38">
        <f>IF($A90&gt;LastT,0,N90-V90-Q90/(1+Policy_Sched!$K90)+Z91/(1+Policy_Sched!$K90))</f>
        <v>0</v>
      </c>
    </row>
    <row r="91" spans="1:27" x14ac:dyDescent="0.2">
      <c r="A91" s="30">
        <f t="shared" si="51"/>
        <v>84</v>
      </c>
      <c r="B91" s="31">
        <f t="shared" si="52"/>
        <v>0</v>
      </c>
      <c r="C91" s="31">
        <f>IF($A91&gt;LastT,0,IF(AND($D$3&lt;&gt;0,$A91&gt;=T0,Policy_Sched!$B91&lt;LastAge),1+$D$3*$E$3,1))</f>
        <v>0</v>
      </c>
      <c r="D91" s="36">
        <f>IF($A91&gt;LastT,0,IF($C$3="up",MIN(Policy_Sched!$E91*(1+IF($A91&gt;=T0,$E$3,0)),$F$3),IF($C$3="down",MAX(Policy_Sched!$E91*(1-IF($A91&gt;=T0,$E$3,0)),Policy_Sched!$E91-$F$3),Policy_Sched!$E91)))</f>
        <v>0</v>
      </c>
      <c r="E91" s="37">
        <f t="shared" si="53"/>
        <v>0</v>
      </c>
      <c r="F91" s="37">
        <f t="shared" si="36"/>
        <v>0</v>
      </c>
      <c r="G91" s="37">
        <f t="shared" si="37"/>
        <v>0</v>
      </c>
      <c r="H91" s="37">
        <f t="shared" si="38"/>
        <v>0</v>
      </c>
      <c r="I91" s="37">
        <f t="shared" si="39"/>
        <v>0</v>
      </c>
      <c r="J91" s="37">
        <f t="shared" si="40"/>
        <v>0</v>
      </c>
      <c r="K91" s="37">
        <f>IF($A91&gt;LastT,0,J91*Policy_Sched!$C91*Policy_Sched!$D91*C91)</f>
        <v>0</v>
      </c>
      <c r="L91" s="41">
        <f t="shared" si="41"/>
        <v>0</v>
      </c>
      <c r="M91" s="38">
        <f t="shared" si="42"/>
        <v>0</v>
      </c>
      <c r="N91" s="38">
        <f t="shared" si="43"/>
        <v>0</v>
      </c>
      <c r="O91" s="38">
        <f t="shared" si="44"/>
        <v>0</v>
      </c>
      <c r="P91" s="38">
        <f>Policy_Sched!$I91*(L91+I91)</f>
        <v>0</v>
      </c>
      <c r="Q91" s="42">
        <f t="shared" si="45"/>
        <v>0</v>
      </c>
      <c r="R91" s="38">
        <f t="shared" si="46"/>
        <v>0</v>
      </c>
      <c r="S91" s="38">
        <f t="shared" si="47"/>
        <v>0</v>
      </c>
      <c r="T91" s="38">
        <f>Policy_Sched!$J91*J91</f>
        <v>0</v>
      </c>
      <c r="U91" s="42">
        <f t="shared" si="48"/>
        <v>0</v>
      </c>
      <c r="V91" s="42">
        <f t="shared" si="49"/>
        <v>0</v>
      </c>
      <c r="W91" s="38">
        <f>IF($A91&gt;LastT,0,N91+W92/(1+Policy_Sched!$K91))</f>
        <v>0</v>
      </c>
      <c r="X91" s="38">
        <f>IF($A91&gt;LastT,0,(-Q91+X92)/(1+Policy_Sched!$K91))</f>
        <v>0</v>
      </c>
      <c r="Y91" s="38">
        <f>IF($A91&gt;LastT,0,-V91+Y92/(1+Policy_Sched!$K91))</f>
        <v>0</v>
      </c>
      <c r="Z91" s="42">
        <f t="shared" si="50"/>
        <v>0</v>
      </c>
      <c r="AA91" s="38">
        <f>IF($A91&gt;LastT,0,N91-V91-Q91/(1+Policy_Sched!$K91)+Z92/(1+Policy_Sched!$K91))</f>
        <v>0</v>
      </c>
    </row>
    <row r="92" spans="1:27" x14ac:dyDescent="0.2">
      <c r="A92" s="30">
        <f t="shared" si="51"/>
        <v>85</v>
      </c>
      <c r="B92" s="31">
        <f t="shared" si="52"/>
        <v>0</v>
      </c>
      <c r="C92" s="31">
        <f>IF($A92&gt;LastT,0,IF(AND($D$3&lt;&gt;0,$A92&gt;=T0,Policy_Sched!$B92&lt;LastAge),1+$D$3*$E$3,1))</f>
        <v>0</v>
      </c>
      <c r="D92" s="36">
        <f>IF($A92&gt;LastT,0,IF($C$3="up",MIN(Policy_Sched!$E92*(1+IF($A92&gt;=T0,$E$3,0)),$F$3),IF($C$3="down",MAX(Policy_Sched!$E92*(1-IF($A92&gt;=T0,$E$3,0)),Policy_Sched!$E92-$F$3),Policy_Sched!$E92)))</f>
        <v>0</v>
      </c>
      <c r="E92" s="37">
        <f t="shared" si="53"/>
        <v>0</v>
      </c>
      <c r="F92" s="37">
        <f t="shared" si="36"/>
        <v>0</v>
      </c>
      <c r="G92" s="37">
        <f t="shared" si="37"/>
        <v>0</v>
      </c>
      <c r="H92" s="37">
        <f t="shared" si="38"/>
        <v>0</v>
      </c>
      <c r="I92" s="37">
        <f t="shared" si="39"/>
        <v>0</v>
      </c>
      <c r="J92" s="37">
        <f t="shared" si="40"/>
        <v>0</v>
      </c>
      <c r="K92" s="37">
        <f>IF($A92&gt;LastT,0,J92*Policy_Sched!$C92*Policy_Sched!$D92*C92)</f>
        <v>0</v>
      </c>
      <c r="L92" s="41">
        <f t="shared" si="41"/>
        <v>0</v>
      </c>
      <c r="M92" s="38">
        <f t="shared" si="42"/>
        <v>0</v>
      </c>
      <c r="N92" s="38">
        <f t="shared" si="43"/>
        <v>0</v>
      </c>
      <c r="O92" s="38">
        <f t="shared" si="44"/>
        <v>0</v>
      </c>
      <c r="P92" s="38">
        <f>Policy_Sched!$I92*(L92+I92)</f>
        <v>0</v>
      </c>
      <c r="Q92" s="42">
        <f t="shared" si="45"/>
        <v>0</v>
      </c>
      <c r="R92" s="38">
        <f t="shared" si="46"/>
        <v>0</v>
      </c>
      <c r="S92" s="38">
        <f t="shared" si="47"/>
        <v>0</v>
      </c>
      <c r="T92" s="38">
        <f>Policy_Sched!$J92*J92</f>
        <v>0</v>
      </c>
      <c r="U92" s="42">
        <f t="shared" si="48"/>
        <v>0</v>
      </c>
      <c r="V92" s="42">
        <f t="shared" si="49"/>
        <v>0</v>
      </c>
      <c r="W92" s="38">
        <f>IF($A92&gt;LastT,0,N92+W93/(1+Policy_Sched!$K92))</f>
        <v>0</v>
      </c>
      <c r="X92" s="38">
        <f>IF($A92&gt;LastT,0,(-Q92+X93)/(1+Policy_Sched!$K92))</f>
        <v>0</v>
      </c>
      <c r="Y92" s="38">
        <f>IF($A92&gt;LastT,0,-V92+Y93/(1+Policy_Sched!$K92))</f>
        <v>0</v>
      </c>
      <c r="Z92" s="42">
        <f t="shared" si="50"/>
        <v>0</v>
      </c>
      <c r="AA92" s="38">
        <f>IF($A92&gt;LastT,0,N92-V92-Q92/(1+Policy_Sched!$K92)+Z93/(1+Policy_Sched!$K92))</f>
        <v>0</v>
      </c>
    </row>
    <row r="93" spans="1:27" x14ac:dyDescent="0.2">
      <c r="A93" s="30">
        <f t="shared" si="51"/>
        <v>86</v>
      </c>
      <c r="B93" s="31">
        <f t="shared" si="52"/>
        <v>0</v>
      </c>
      <c r="C93" s="31">
        <f>IF($A93&gt;LastT,0,IF(AND($D$3&lt;&gt;0,$A93&gt;=T0,Policy_Sched!$B93&lt;LastAge),1+$D$3*$E$3,1))</f>
        <v>0</v>
      </c>
      <c r="D93" s="36">
        <f>IF($A93&gt;LastT,0,IF($C$3="up",MIN(Policy_Sched!$E93*(1+IF($A93&gt;=T0,$E$3,0)),$F$3),IF($C$3="down",MAX(Policy_Sched!$E93*(1-IF($A93&gt;=T0,$E$3,0)),Policy_Sched!$E93-$F$3),Policy_Sched!$E93)))</f>
        <v>0</v>
      </c>
      <c r="E93" s="37">
        <f t="shared" si="53"/>
        <v>0</v>
      </c>
      <c r="F93" s="37">
        <f t="shared" si="36"/>
        <v>0</v>
      </c>
      <c r="G93" s="37">
        <f t="shared" si="37"/>
        <v>0</v>
      </c>
      <c r="H93" s="37">
        <f t="shared" si="38"/>
        <v>0</v>
      </c>
      <c r="I93" s="37">
        <f t="shared" si="39"/>
        <v>0</v>
      </c>
      <c r="J93" s="37">
        <f t="shared" si="40"/>
        <v>0</v>
      </c>
      <c r="K93" s="37">
        <f>IF($A93&gt;LastT,0,J93*Policy_Sched!$C93*Policy_Sched!$D93*C93)</f>
        <v>0</v>
      </c>
      <c r="L93" s="41">
        <f t="shared" si="41"/>
        <v>0</v>
      </c>
      <c r="M93" s="38">
        <f t="shared" si="42"/>
        <v>0</v>
      </c>
      <c r="N93" s="38">
        <f t="shared" si="43"/>
        <v>0</v>
      </c>
      <c r="O93" s="38">
        <f t="shared" si="44"/>
        <v>0</v>
      </c>
      <c r="P93" s="38">
        <f>Policy_Sched!$I93*(L93+I93)</f>
        <v>0</v>
      </c>
      <c r="Q93" s="42">
        <f t="shared" si="45"/>
        <v>0</v>
      </c>
      <c r="R93" s="38">
        <f t="shared" si="46"/>
        <v>0</v>
      </c>
      <c r="S93" s="38">
        <f t="shared" si="47"/>
        <v>0</v>
      </c>
      <c r="T93" s="38">
        <f>Policy_Sched!$J93*J93</f>
        <v>0</v>
      </c>
      <c r="U93" s="42">
        <f t="shared" si="48"/>
        <v>0</v>
      </c>
      <c r="V93" s="42">
        <f t="shared" si="49"/>
        <v>0</v>
      </c>
      <c r="W93" s="38">
        <f>IF($A93&gt;LastT,0,N93+W94/(1+Policy_Sched!$K93))</f>
        <v>0</v>
      </c>
      <c r="X93" s="38">
        <f>IF($A93&gt;LastT,0,(-Q93+X94)/(1+Policy_Sched!$K93))</f>
        <v>0</v>
      </c>
      <c r="Y93" s="38">
        <f>IF($A93&gt;LastT,0,-V93+Y94/(1+Policy_Sched!$K93))</f>
        <v>0</v>
      </c>
      <c r="Z93" s="42">
        <f t="shared" si="50"/>
        <v>0</v>
      </c>
      <c r="AA93" s="38">
        <f>IF($A93&gt;LastT,0,N93-V93-Q93/(1+Policy_Sched!$K93)+Z94/(1+Policy_Sched!$K93))</f>
        <v>0</v>
      </c>
    </row>
    <row r="94" spans="1:27" x14ac:dyDescent="0.2">
      <c r="A94" s="30">
        <f t="shared" si="51"/>
        <v>87</v>
      </c>
      <c r="B94" s="31">
        <f t="shared" si="52"/>
        <v>0</v>
      </c>
      <c r="C94" s="31">
        <f>IF($A94&gt;LastT,0,IF(AND($D$3&lt;&gt;0,$A94&gt;=T0,Policy_Sched!$B94&lt;LastAge),1+$D$3*$E$3,1))</f>
        <v>0</v>
      </c>
      <c r="D94" s="36">
        <f>IF($A94&gt;LastT,0,IF($C$3="up",MIN(Policy_Sched!$E94*(1+IF($A94&gt;=T0,$E$3,0)),$F$3),IF($C$3="down",MAX(Policy_Sched!$E94*(1-IF($A94&gt;=T0,$E$3,0)),Policy_Sched!$E94-$F$3),Policy_Sched!$E94)))</f>
        <v>0</v>
      </c>
      <c r="E94" s="37">
        <f t="shared" si="53"/>
        <v>0</v>
      </c>
      <c r="F94" s="37">
        <f t="shared" si="36"/>
        <v>0</v>
      </c>
      <c r="G94" s="37">
        <f t="shared" si="37"/>
        <v>0</v>
      </c>
      <c r="H94" s="37">
        <f t="shared" si="38"/>
        <v>0</v>
      </c>
      <c r="I94" s="37">
        <f t="shared" si="39"/>
        <v>0</v>
      </c>
      <c r="J94" s="37">
        <f t="shared" si="40"/>
        <v>0</v>
      </c>
      <c r="K94" s="37">
        <f>IF($A94&gt;LastT,0,J94*Policy_Sched!$C94*Policy_Sched!$D94*C94)</f>
        <v>0</v>
      </c>
      <c r="L94" s="41">
        <f t="shared" si="41"/>
        <v>0</v>
      </c>
      <c r="M94" s="38">
        <f t="shared" si="42"/>
        <v>0</v>
      </c>
      <c r="N94" s="38">
        <f t="shared" si="43"/>
        <v>0</v>
      </c>
      <c r="O94" s="38">
        <f t="shared" si="44"/>
        <v>0</v>
      </c>
      <c r="P94" s="38">
        <f>Policy_Sched!$I94*(L94+I94)</f>
        <v>0</v>
      </c>
      <c r="Q94" s="42">
        <f t="shared" si="45"/>
        <v>0</v>
      </c>
      <c r="R94" s="38">
        <f t="shared" si="46"/>
        <v>0</v>
      </c>
      <c r="S94" s="38">
        <f t="shared" si="47"/>
        <v>0</v>
      </c>
      <c r="T94" s="38">
        <f>Policy_Sched!$J94*J94</f>
        <v>0</v>
      </c>
      <c r="U94" s="42">
        <f t="shared" si="48"/>
        <v>0</v>
      </c>
      <c r="V94" s="42">
        <f t="shared" si="49"/>
        <v>0</v>
      </c>
      <c r="W94" s="38">
        <f>IF($A94&gt;LastT,0,N94+W95/(1+Policy_Sched!$K94))</f>
        <v>0</v>
      </c>
      <c r="X94" s="38">
        <f>IF($A94&gt;LastT,0,(-Q94+X95)/(1+Policy_Sched!$K94))</f>
        <v>0</v>
      </c>
      <c r="Y94" s="38">
        <f>IF($A94&gt;LastT,0,-V94+Y95/(1+Policy_Sched!$K94))</f>
        <v>0</v>
      </c>
      <c r="Z94" s="42">
        <f t="shared" si="50"/>
        <v>0</v>
      </c>
      <c r="AA94" s="38">
        <f>IF($A94&gt;LastT,0,N94-V94-Q94/(1+Policy_Sched!$K94)+Z95/(1+Policy_Sched!$K94))</f>
        <v>0</v>
      </c>
    </row>
    <row r="95" spans="1:27" x14ac:dyDescent="0.2">
      <c r="A95" s="30">
        <f t="shared" si="51"/>
        <v>88</v>
      </c>
      <c r="B95" s="31">
        <f t="shared" si="52"/>
        <v>0</v>
      </c>
      <c r="C95" s="31">
        <f>IF($A95&gt;LastT,0,IF(AND($D$3&lt;&gt;0,$A95&gt;=T0,Policy_Sched!$B95&lt;LastAge),1+$D$3*$E$3,1))</f>
        <v>0</v>
      </c>
      <c r="D95" s="36">
        <f>IF($A95&gt;LastT,0,IF($C$3="up",MIN(Policy_Sched!$E95*(1+IF($A95&gt;=T0,$E$3,0)),$F$3),IF($C$3="down",MAX(Policy_Sched!$E95*(1-IF($A95&gt;=T0,$E$3,0)),Policy_Sched!$E95-$F$3),Policy_Sched!$E95)))</f>
        <v>0</v>
      </c>
      <c r="E95" s="37">
        <f t="shared" si="53"/>
        <v>0</v>
      </c>
      <c r="F95" s="37">
        <f t="shared" si="36"/>
        <v>0</v>
      </c>
      <c r="G95" s="37">
        <f t="shared" si="37"/>
        <v>0</v>
      </c>
      <c r="H95" s="37">
        <f t="shared" si="38"/>
        <v>0</v>
      </c>
      <c r="I95" s="37">
        <f t="shared" si="39"/>
        <v>0</v>
      </c>
      <c r="J95" s="37">
        <f t="shared" si="40"/>
        <v>0</v>
      </c>
      <c r="K95" s="37">
        <f>IF($A95&gt;LastT,0,J95*Policy_Sched!$C95*Policy_Sched!$D95*C95)</f>
        <v>0</v>
      </c>
      <c r="L95" s="41">
        <f t="shared" si="41"/>
        <v>0</v>
      </c>
      <c r="M95" s="38">
        <f t="shared" si="42"/>
        <v>0</v>
      </c>
      <c r="N95" s="38">
        <f t="shared" si="43"/>
        <v>0</v>
      </c>
      <c r="O95" s="38">
        <f t="shared" si="44"/>
        <v>0</v>
      </c>
      <c r="P95" s="38">
        <f>Policy_Sched!$I95*(L95+I95)</f>
        <v>0</v>
      </c>
      <c r="Q95" s="42">
        <f t="shared" si="45"/>
        <v>0</v>
      </c>
      <c r="R95" s="38">
        <f t="shared" si="46"/>
        <v>0</v>
      </c>
      <c r="S95" s="38">
        <f t="shared" si="47"/>
        <v>0</v>
      </c>
      <c r="T95" s="38">
        <f>Policy_Sched!$J95*J95</f>
        <v>0</v>
      </c>
      <c r="U95" s="42">
        <f t="shared" si="48"/>
        <v>0</v>
      </c>
      <c r="V95" s="42">
        <f t="shared" si="49"/>
        <v>0</v>
      </c>
      <c r="W95" s="38">
        <f>IF($A95&gt;LastT,0,N95+W96/(1+Policy_Sched!$K95))</f>
        <v>0</v>
      </c>
      <c r="X95" s="38">
        <f>IF($A95&gt;LastT,0,(-Q95+X96)/(1+Policy_Sched!$K95))</f>
        <v>0</v>
      </c>
      <c r="Y95" s="38">
        <f>IF($A95&gt;LastT,0,-V95+Y96/(1+Policy_Sched!$K95))</f>
        <v>0</v>
      </c>
      <c r="Z95" s="42">
        <f t="shared" si="50"/>
        <v>0</v>
      </c>
      <c r="AA95" s="38">
        <f>IF($A95&gt;LastT,0,N95-V95-Q95/(1+Policy_Sched!$K95)+Z96/(1+Policy_Sched!$K95))</f>
        <v>0</v>
      </c>
    </row>
    <row r="96" spans="1:27" x14ac:dyDescent="0.2">
      <c r="A96" s="30">
        <f t="shared" si="51"/>
        <v>89</v>
      </c>
      <c r="B96" s="31">
        <f t="shared" si="52"/>
        <v>0</v>
      </c>
      <c r="C96" s="31">
        <f>IF($A96&gt;LastT,0,IF(AND($D$3&lt;&gt;0,$A96&gt;=T0,Policy_Sched!$B96&lt;LastAge),1+$D$3*$E$3,1))</f>
        <v>0</v>
      </c>
      <c r="D96" s="36">
        <f>IF($A96&gt;LastT,0,IF($C$3="up",MIN(Policy_Sched!$E96*(1+IF($A96&gt;=T0,$E$3,0)),$F$3),IF($C$3="down",MAX(Policy_Sched!$E96*(1-IF($A96&gt;=T0,$E$3,0)),Policy_Sched!$E96-$F$3),Policy_Sched!$E96)))</f>
        <v>0</v>
      </c>
      <c r="E96" s="37">
        <f t="shared" si="53"/>
        <v>0</v>
      </c>
      <c r="F96" s="37">
        <f t="shared" si="36"/>
        <v>0</v>
      </c>
      <c r="G96" s="37">
        <f t="shared" si="37"/>
        <v>0</v>
      </c>
      <c r="H96" s="37">
        <f t="shared" si="38"/>
        <v>0</v>
      </c>
      <c r="I96" s="37">
        <f t="shared" si="39"/>
        <v>0</v>
      </c>
      <c r="J96" s="37">
        <f t="shared" si="40"/>
        <v>0</v>
      </c>
      <c r="K96" s="37">
        <f>IF($A96&gt;LastT,0,J96*Policy_Sched!$C96*Policy_Sched!$D96*C96)</f>
        <v>0</v>
      </c>
      <c r="L96" s="41">
        <f t="shared" si="41"/>
        <v>0</v>
      </c>
      <c r="M96" s="38">
        <f t="shared" si="42"/>
        <v>0</v>
      </c>
      <c r="N96" s="38">
        <f t="shared" si="43"/>
        <v>0</v>
      </c>
      <c r="O96" s="38">
        <f t="shared" si="44"/>
        <v>0</v>
      </c>
      <c r="P96" s="38">
        <f>Policy_Sched!$I96*(L96+I96)</f>
        <v>0</v>
      </c>
      <c r="Q96" s="42">
        <f t="shared" si="45"/>
        <v>0</v>
      </c>
      <c r="R96" s="38">
        <f t="shared" si="46"/>
        <v>0</v>
      </c>
      <c r="S96" s="38">
        <f t="shared" si="47"/>
        <v>0</v>
      </c>
      <c r="T96" s="38">
        <f>Policy_Sched!$J96*J96</f>
        <v>0</v>
      </c>
      <c r="U96" s="42">
        <f t="shared" si="48"/>
        <v>0</v>
      </c>
      <c r="V96" s="42">
        <f t="shared" si="49"/>
        <v>0</v>
      </c>
      <c r="W96" s="38">
        <f>IF($A96&gt;LastT,0,N96+W97/(1+Policy_Sched!$K96))</f>
        <v>0</v>
      </c>
      <c r="X96" s="38">
        <f>IF($A96&gt;LastT,0,(-Q96+X97)/(1+Policy_Sched!$K96))</f>
        <v>0</v>
      </c>
      <c r="Y96" s="38">
        <f>IF($A96&gt;LastT,0,-V96+Y97/(1+Policy_Sched!$K96))</f>
        <v>0</v>
      </c>
      <c r="Z96" s="42">
        <f t="shared" si="50"/>
        <v>0</v>
      </c>
      <c r="AA96" s="38">
        <f>IF($A96&gt;LastT,0,N96-V96-Q96/(1+Policy_Sched!$K96)+Z97/(1+Policy_Sched!$K96))</f>
        <v>0</v>
      </c>
    </row>
    <row r="97" spans="1:27" x14ac:dyDescent="0.2">
      <c r="A97" s="30">
        <f t="shared" si="51"/>
        <v>90</v>
      </c>
      <c r="B97" s="31">
        <f t="shared" si="52"/>
        <v>0</v>
      </c>
      <c r="C97" s="31">
        <f>IF($A97&gt;LastT,0,IF(AND($D$3&lt;&gt;0,$A97&gt;=T0,Policy_Sched!$B97&lt;LastAge),1+$D$3*$E$3,1))</f>
        <v>0</v>
      </c>
      <c r="D97" s="36">
        <f>IF($A97&gt;LastT,0,IF($C$3="up",MIN(Policy_Sched!$E97*(1+IF($A97&gt;=T0,$E$3,0)),$F$3),IF($C$3="down",MAX(Policy_Sched!$E97*(1-IF($A97&gt;=T0,$E$3,0)),Policy_Sched!$E97-$F$3),Policy_Sched!$E97)))</f>
        <v>0</v>
      </c>
      <c r="E97" s="37">
        <f t="shared" si="53"/>
        <v>0</v>
      </c>
      <c r="F97" s="37">
        <f t="shared" si="36"/>
        <v>0</v>
      </c>
      <c r="G97" s="37">
        <f t="shared" si="37"/>
        <v>0</v>
      </c>
      <c r="H97" s="37">
        <f t="shared" si="38"/>
        <v>0</v>
      </c>
      <c r="I97" s="37">
        <f t="shared" si="39"/>
        <v>0</v>
      </c>
      <c r="J97" s="37">
        <f t="shared" si="40"/>
        <v>0</v>
      </c>
      <c r="K97" s="37">
        <f>IF($A97&gt;LastT,0,J97*Policy_Sched!$C97*Policy_Sched!$D97*C97)</f>
        <v>0</v>
      </c>
      <c r="L97" s="41">
        <f t="shared" si="41"/>
        <v>0</v>
      </c>
      <c r="M97" s="38">
        <f t="shared" si="42"/>
        <v>0</v>
      </c>
      <c r="N97" s="38">
        <f t="shared" si="43"/>
        <v>0</v>
      </c>
      <c r="O97" s="38">
        <f t="shared" si="44"/>
        <v>0</v>
      </c>
      <c r="P97" s="38">
        <f>Policy_Sched!$I97*(L97+I97)</f>
        <v>0</v>
      </c>
      <c r="Q97" s="42">
        <f t="shared" si="45"/>
        <v>0</v>
      </c>
      <c r="R97" s="38">
        <f t="shared" si="46"/>
        <v>0</v>
      </c>
      <c r="S97" s="38">
        <f t="shared" si="47"/>
        <v>0</v>
      </c>
      <c r="T97" s="38">
        <f>Policy_Sched!$J97*J97</f>
        <v>0</v>
      </c>
      <c r="U97" s="42">
        <f t="shared" si="48"/>
        <v>0</v>
      </c>
      <c r="V97" s="42">
        <f t="shared" si="49"/>
        <v>0</v>
      </c>
      <c r="W97" s="38">
        <f>IF($A97&gt;LastT,0,N97+W98/(1+Policy_Sched!$K97))</f>
        <v>0</v>
      </c>
      <c r="X97" s="38">
        <f>IF($A97&gt;LastT,0,(-Q97+X98)/(1+Policy_Sched!$K97))</f>
        <v>0</v>
      </c>
      <c r="Y97" s="38">
        <f>IF($A97&gt;LastT,0,-V97+Y98/(1+Policy_Sched!$K97))</f>
        <v>0</v>
      </c>
      <c r="Z97" s="42">
        <f t="shared" si="50"/>
        <v>0</v>
      </c>
      <c r="AA97" s="38">
        <f>IF($A97&gt;LastT,0,N97-V97-Q97/(1+Policy_Sched!$K97)+Z98/(1+Policy_Sched!$K97))</f>
        <v>0</v>
      </c>
    </row>
    <row r="98" spans="1:27" x14ac:dyDescent="0.2">
      <c r="A98" s="30">
        <f t="shared" si="51"/>
        <v>91</v>
      </c>
      <c r="B98" s="31">
        <f t="shared" si="52"/>
        <v>0</v>
      </c>
      <c r="C98" s="31">
        <f>IF($A98&gt;LastT,0,IF(AND($D$3&lt;&gt;0,$A98&gt;=T0,Policy_Sched!$B98&lt;LastAge),1+$D$3*$E$3,1))</f>
        <v>0</v>
      </c>
      <c r="D98" s="36">
        <f>IF($A98&gt;LastT,0,IF($C$3="up",MIN(Policy_Sched!$E98*(1+IF($A98&gt;=T0,$E$3,0)),$F$3),IF($C$3="down",MAX(Policy_Sched!$E98*(1-IF($A98&gt;=T0,$E$3,0)),Policy_Sched!$E98-$F$3),Policy_Sched!$E98)))</f>
        <v>0</v>
      </c>
      <c r="E98" s="37">
        <f t="shared" si="53"/>
        <v>0</v>
      </c>
      <c r="F98" s="37">
        <f t="shared" si="36"/>
        <v>0</v>
      </c>
      <c r="G98" s="37">
        <f t="shared" si="37"/>
        <v>0</v>
      </c>
      <c r="H98" s="37">
        <f t="shared" si="38"/>
        <v>0</v>
      </c>
      <c r="I98" s="37">
        <f t="shared" si="39"/>
        <v>0</v>
      </c>
      <c r="J98" s="37">
        <f t="shared" si="40"/>
        <v>0</v>
      </c>
      <c r="K98" s="37">
        <f>IF($A98&gt;LastT,0,J98*Policy_Sched!$C98*Policy_Sched!$D98*C98)</f>
        <v>0</v>
      </c>
      <c r="L98" s="41">
        <f t="shared" si="41"/>
        <v>0</v>
      </c>
      <c r="M98" s="38">
        <f t="shared" si="42"/>
        <v>0</v>
      </c>
      <c r="N98" s="38">
        <f t="shared" si="43"/>
        <v>0</v>
      </c>
      <c r="O98" s="38">
        <f t="shared" si="44"/>
        <v>0</v>
      </c>
      <c r="P98" s="38">
        <f>Policy_Sched!$I98*(L98+I98)</f>
        <v>0</v>
      </c>
      <c r="Q98" s="42">
        <f t="shared" si="45"/>
        <v>0</v>
      </c>
      <c r="R98" s="38">
        <f t="shared" si="46"/>
        <v>0</v>
      </c>
      <c r="S98" s="38">
        <f t="shared" si="47"/>
        <v>0</v>
      </c>
      <c r="T98" s="38">
        <f>Policy_Sched!$J98*J98</f>
        <v>0</v>
      </c>
      <c r="U98" s="42">
        <f t="shared" si="48"/>
        <v>0</v>
      </c>
      <c r="V98" s="42">
        <f t="shared" si="49"/>
        <v>0</v>
      </c>
      <c r="W98" s="38">
        <f>IF($A98&gt;LastT,0,N98+W99/(1+Policy_Sched!$K98))</f>
        <v>0</v>
      </c>
      <c r="X98" s="38">
        <f>IF($A98&gt;LastT,0,(-Q98+X99)/(1+Policy_Sched!$K98))</f>
        <v>0</v>
      </c>
      <c r="Y98" s="38">
        <f>IF($A98&gt;LastT,0,-V98+Y99/(1+Policy_Sched!$K98))</f>
        <v>0</v>
      </c>
      <c r="Z98" s="42">
        <f t="shared" si="50"/>
        <v>0</v>
      </c>
      <c r="AA98" s="38">
        <f>IF($A98&gt;LastT,0,N98-V98-Q98/(1+Policy_Sched!$K98)+Z99/(1+Policy_Sched!$K98))</f>
        <v>0</v>
      </c>
    </row>
    <row r="99" spans="1:27" x14ac:dyDescent="0.2">
      <c r="A99" s="30">
        <f t="shared" si="51"/>
        <v>92</v>
      </c>
      <c r="B99" s="31">
        <f t="shared" si="52"/>
        <v>0</v>
      </c>
      <c r="C99" s="31">
        <f>IF($A99&gt;LastT,0,IF(AND($D$3&lt;&gt;0,$A99&gt;=T0,Policy_Sched!$B99&lt;LastAge),1+$D$3*$E$3,1))</f>
        <v>0</v>
      </c>
      <c r="D99" s="36">
        <f>IF($A99&gt;LastT,0,IF($C$3="up",MIN(Policy_Sched!$E99*(1+IF($A99&gt;=T0,$E$3,0)),$F$3),IF($C$3="down",MAX(Policy_Sched!$E99*(1-IF($A99&gt;=T0,$E$3,0)),Policy_Sched!$E99-$F$3),Policy_Sched!$E99)))</f>
        <v>0</v>
      </c>
      <c r="E99" s="37">
        <f t="shared" si="53"/>
        <v>0</v>
      </c>
      <c r="F99" s="37">
        <f t="shared" si="36"/>
        <v>0</v>
      </c>
      <c r="G99" s="37">
        <f t="shared" si="37"/>
        <v>0</v>
      </c>
      <c r="H99" s="37">
        <f t="shared" si="38"/>
        <v>0</v>
      </c>
      <c r="I99" s="37">
        <f t="shared" si="39"/>
        <v>0</v>
      </c>
      <c r="J99" s="37">
        <f t="shared" si="40"/>
        <v>0</v>
      </c>
      <c r="K99" s="37">
        <f>IF($A99&gt;LastT,0,J99*Policy_Sched!$C99*Policy_Sched!$D99*C99)</f>
        <v>0</v>
      </c>
      <c r="L99" s="41">
        <f t="shared" si="41"/>
        <v>0</v>
      </c>
      <c r="M99" s="38">
        <f t="shared" si="42"/>
        <v>0</v>
      </c>
      <c r="N99" s="38">
        <f t="shared" si="43"/>
        <v>0</v>
      </c>
      <c r="O99" s="38">
        <f t="shared" si="44"/>
        <v>0</v>
      </c>
      <c r="P99" s="38">
        <f>Policy_Sched!$I99*(L99+I99)</f>
        <v>0</v>
      </c>
      <c r="Q99" s="42">
        <f t="shared" si="45"/>
        <v>0</v>
      </c>
      <c r="R99" s="38">
        <f t="shared" si="46"/>
        <v>0</v>
      </c>
      <c r="S99" s="38">
        <f t="shared" si="47"/>
        <v>0</v>
      </c>
      <c r="T99" s="38">
        <f>Policy_Sched!$J99*J99</f>
        <v>0</v>
      </c>
      <c r="U99" s="42">
        <f t="shared" si="48"/>
        <v>0</v>
      </c>
      <c r="V99" s="42">
        <f t="shared" si="49"/>
        <v>0</v>
      </c>
      <c r="W99" s="38">
        <f>IF($A99&gt;LastT,0,N99+W100/(1+Policy_Sched!$K99))</f>
        <v>0</v>
      </c>
      <c r="X99" s="38">
        <f>IF($A99&gt;LastT,0,(-Q99+X100)/(1+Policy_Sched!$K99))</f>
        <v>0</v>
      </c>
      <c r="Y99" s="38">
        <f>IF($A99&gt;LastT,0,-V99+Y100/(1+Policy_Sched!$K99))</f>
        <v>0</v>
      </c>
      <c r="Z99" s="42">
        <f t="shared" si="50"/>
        <v>0</v>
      </c>
      <c r="AA99" s="38">
        <f>IF($A99&gt;LastT,0,N99-V99-Q99/(1+Policy_Sched!$K99)+Z100/(1+Policy_Sched!$K99))</f>
        <v>0</v>
      </c>
    </row>
    <row r="100" spans="1:27" x14ac:dyDescent="0.2">
      <c r="A100" s="30">
        <f t="shared" si="51"/>
        <v>93</v>
      </c>
      <c r="B100" s="31">
        <f t="shared" si="52"/>
        <v>0</v>
      </c>
      <c r="C100" s="31">
        <f>IF($A100&gt;LastT,0,IF(AND($D$3&lt;&gt;0,$A100&gt;=T0,Policy_Sched!$B100&lt;LastAge),1+$D$3*$E$3,1))</f>
        <v>0</v>
      </c>
      <c r="D100" s="36">
        <f>IF($A100&gt;LastT,0,IF($C$3="up",MIN(Policy_Sched!$E100*(1+IF($A100&gt;=T0,$E$3,0)),$F$3),IF($C$3="down",MAX(Policy_Sched!$E100*(1-IF($A100&gt;=T0,$E$3,0)),Policy_Sched!$E100-$F$3),Policy_Sched!$E100)))</f>
        <v>0</v>
      </c>
      <c r="E100" s="37">
        <f t="shared" si="53"/>
        <v>0</v>
      </c>
      <c r="F100" s="37">
        <f t="shared" si="36"/>
        <v>0</v>
      </c>
      <c r="G100" s="37">
        <f t="shared" si="37"/>
        <v>0</v>
      </c>
      <c r="H100" s="37">
        <f t="shared" si="38"/>
        <v>0</v>
      </c>
      <c r="I100" s="37">
        <f t="shared" si="39"/>
        <v>0</v>
      </c>
      <c r="J100" s="37">
        <f t="shared" si="40"/>
        <v>0</v>
      </c>
      <c r="K100" s="37">
        <f>IF($A100&gt;LastT,0,J100*Policy_Sched!$C100*Policy_Sched!$D100*C100)</f>
        <v>0</v>
      </c>
      <c r="L100" s="41">
        <f t="shared" si="41"/>
        <v>0</v>
      </c>
      <c r="M100" s="38">
        <f t="shared" si="42"/>
        <v>0</v>
      </c>
      <c r="N100" s="38">
        <f t="shared" si="43"/>
        <v>0</v>
      </c>
      <c r="O100" s="38">
        <f t="shared" si="44"/>
        <v>0</v>
      </c>
      <c r="P100" s="38">
        <f>Policy_Sched!$I100*(L100+I100)</f>
        <v>0</v>
      </c>
      <c r="Q100" s="42">
        <f t="shared" si="45"/>
        <v>0</v>
      </c>
      <c r="R100" s="38">
        <f t="shared" si="46"/>
        <v>0</v>
      </c>
      <c r="S100" s="38">
        <f t="shared" si="47"/>
        <v>0</v>
      </c>
      <c r="T100" s="38">
        <f>Policy_Sched!$J100*J100</f>
        <v>0</v>
      </c>
      <c r="U100" s="42">
        <f t="shared" si="48"/>
        <v>0</v>
      </c>
      <c r="V100" s="42">
        <f t="shared" si="49"/>
        <v>0</v>
      </c>
      <c r="W100" s="38">
        <f>IF($A100&gt;LastT,0,N100+W101/(1+Policy_Sched!$K100))</f>
        <v>0</v>
      </c>
      <c r="X100" s="38">
        <f>IF($A100&gt;LastT,0,(-Q100+X101)/(1+Policy_Sched!$K100))</f>
        <v>0</v>
      </c>
      <c r="Y100" s="38">
        <f>IF($A100&gt;LastT,0,-V100+Y101/(1+Policy_Sched!$K100))</f>
        <v>0</v>
      </c>
      <c r="Z100" s="42">
        <f t="shared" si="50"/>
        <v>0</v>
      </c>
      <c r="AA100" s="38">
        <f>IF($A100&gt;LastT,0,N100-V100-Q100/(1+Policy_Sched!$K100)+Z101/(1+Policy_Sched!$K100))</f>
        <v>0</v>
      </c>
    </row>
    <row r="101" spans="1:27" x14ac:dyDescent="0.2">
      <c r="A101" s="30">
        <f t="shared" si="51"/>
        <v>94</v>
      </c>
      <c r="B101" s="31">
        <f t="shared" si="52"/>
        <v>0</v>
      </c>
      <c r="C101" s="31">
        <f>IF($A101&gt;LastT,0,IF(AND($D$3&lt;&gt;0,$A101&gt;=T0,Policy_Sched!$B101&lt;LastAge),1+$D$3*$E$3,1))</f>
        <v>0</v>
      </c>
      <c r="D101" s="36">
        <f>IF($A101&gt;LastT,0,IF($C$3="up",MIN(Policy_Sched!$E101*(1+IF($A101&gt;=T0,$E$3,0)),$F$3),IF($C$3="down",MAX(Policy_Sched!$E101*(1-IF($A101&gt;=T0,$E$3,0)),Policy_Sched!$E101-$F$3),Policy_Sched!$E101)))</f>
        <v>0</v>
      </c>
      <c r="E101" s="37">
        <f t="shared" si="53"/>
        <v>0</v>
      </c>
      <c r="F101" s="37">
        <f t="shared" si="36"/>
        <v>0</v>
      </c>
      <c r="G101" s="37">
        <f t="shared" si="37"/>
        <v>0</v>
      </c>
      <c r="H101" s="37">
        <f t="shared" si="38"/>
        <v>0</v>
      </c>
      <c r="I101" s="37">
        <f t="shared" si="39"/>
        <v>0</v>
      </c>
      <c r="J101" s="37">
        <f t="shared" si="40"/>
        <v>0</v>
      </c>
      <c r="K101" s="37">
        <f>IF($A101&gt;LastT,0,J101*Policy_Sched!$C101*Policy_Sched!$D101*C101)</f>
        <v>0</v>
      </c>
      <c r="L101" s="41">
        <f t="shared" si="41"/>
        <v>0</v>
      </c>
      <c r="M101" s="38">
        <f t="shared" si="42"/>
        <v>0</v>
      </c>
      <c r="N101" s="38">
        <f t="shared" si="43"/>
        <v>0</v>
      </c>
      <c r="O101" s="38">
        <f t="shared" si="44"/>
        <v>0</v>
      </c>
      <c r="P101" s="38">
        <f>Policy_Sched!$I101*(L101+I101)</f>
        <v>0</v>
      </c>
      <c r="Q101" s="42">
        <f t="shared" si="45"/>
        <v>0</v>
      </c>
      <c r="R101" s="38">
        <f t="shared" si="46"/>
        <v>0</v>
      </c>
      <c r="S101" s="38">
        <f t="shared" si="47"/>
        <v>0</v>
      </c>
      <c r="T101" s="38">
        <f>Policy_Sched!$J101*J101</f>
        <v>0</v>
      </c>
      <c r="U101" s="42">
        <f t="shared" si="48"/>
        <v>0</v>
      </c>
      <c r="V101" s="42">
        <f t="shared" si="49"/>
        <v>0</v>
      </c>
      <c r="W101" s="38">
        <f>IF($A101&gt;LastT,0,N101+W102/(1+Policy_Sched!$K101))</f>
        <v>0</v>
      </c>
      <c r="X101" s="38">
        <f>IF($A101&gt;LastT,0,(-Q101+X102)/(1+Policy_Sched!$K101))</f>
        <v>0</v>
      </c>
      <c r="Y101" s="38">
        <f>IF($A101&gt;LastT,0,-V101+Y102/(1+Policy_Sched!$K101))</f>
        <v>0</v>
      </c>
      <c r="Z101" s="42">
        <f t="shared" si="50"/>
        <v>0</v>
      </c>
      <c r="AA101" s="38">
        <f>IF($A101&gt;LastT,0,N101-V101-Q101/(1+Policy_Sched!$K101)+Z102/(1+Policy_Sched!$K101))</f>
        <v>0</v>
      </c>
    </row>
    <row r="102" spans="1:27" x14ac:dyDescent="0.2">
      <c r="A102" s="30">
        <f t="shared" si="51"/>
        <v>95</v>
      </c>
      <c r="B102" s="31">
        <f t="shared" si="52"/>
        <v>0</v>
      </c>
      <c r="C102" s="31">
        <f>IF($A102&gt;LastT,0,IF(AND($D$3&lt;&gt;0,$A102&gt;=T0,Policy_Sched!$B102&lt;LastAge),1+$D$3*$E$3,1))</f>
        <v>0</v>
      </c>
      <c r="D102" s="36">
        <f>IF($A102&gt;LastT,0,IF($C$3="up",MIN(Policy_Sched!$E102*(1+IF($A102&gt;=T0,$E$3,0)),$F$3),IF($C$3="down",MAX(Policy_Sched!$E102*(1-IF($A102&gt;=T0,$E$3,0)),Policy_Sched!$E102-$F$3),Policy_Sched!$E102)))</f>
        <v>0</v>
      </c>
      <c r="E102" s="37">
        <f t="shared" si="53"/>
        <v>0</v>
      </c>
      <c r="F102" s="37">
        <f t="shared" si="36"/>
        <v>0</v>
      </c>
      <c r="G102" s="37">
        <f t="shared" si="37"/>
        <v>0</v>
      </c>
      <c r="H102" s="37">
        <f t="shared" si="38"/>
        <v>0</v>
      </c>
      <c r="I102" s="37">
        <f t="shared" si="39"/>
        <v>0</v>
      </c>
      <c r="J102" s="37">
        <f t="shared" si="40"/>
        <v>0</v>
      </c>
      <c r="K102" s="37">
        <f>IF($A102&gt;LastT,0,J102*Policy_Sched!$C102*Policy_Sched!$D102*C102)</f>
        <v>0</v>
      </c>
      <c r="L102" s="41">
        <f t="shared" si="41"/>
        <v>0</v>
      </c>
      <c r="M102" s="38">
        <f t="shared" si="42"/>
        <v>0</v>
      </c>
      <c r="N102" s="38">
        <f t="shared" si="43"/>
        <v>0</v>
      </c>
      <c r="O102" s="38">
        <f t="shared" si="44"/>
        <v>0</v>
      </c>
      <c r="P102" s="38">
        <f>Policy_Sched!$I102*(L102+I102)</f>
        <v>0</v>
      </c>
      <c r="Q102" s="42">
        <f t="shared" si="45"/>
        <v>0</v>
      </c>
      <c r="R102" s="38">
        <f t="shared" si="46"/>
        <v>0</v>
      </c>
      <c r="S102" s="38">
        <f t="shared" si="47"/>
        <v>0</v>
      </c>
      <c r="T102" s="38">
        <f>Policy_Sched!$J102*J102</f>
        <v>0</v>
      </c>
      <c r="U102" s="42">
        <f t="shared" si="48"/>
        <v>0</v>
      </c>
      <c r="V102" s="42">
        <f t="shared" si="49"/>
        <v>0</v>
      </c>
      <c r="W102" s="38">
        <f>IF($A102&gt;LastT,0,N102+W103/(1+Policy_Sched!$K102))</f>
        <v>0</v>
      </c>
      <c r="X102" s="38">
        <f>IF($A102&gt;LastT,0,(-Q102+X103)/(1+Policy_Sched!$K102))</f>
        <v>0</v>
      </c>
      <c r="Y102" s="38">
        <f>IF($A102&gt;LastT,0,-V102+Y103/(1+Policy_Sched!$K102))</f>
        <v>0</v>
      </c>
      <c r="Z102" s="42">
        <f t="shared" si="50"/>
        <v>0</v>
      </c>
      <c r="AA102" s="38">
        <f>IF($A102&gt;LastT,0,N102-V102-Q102/(1+Policy_Sched!$K102)+Z103/(1+Policy_Sched!$K102))</f>
        <v>0</v>
      </c>
    </row>
    <row r="103" spans="1:27" x14ac:dyDescent="0.2">
      <c r="A103" s="30">
        <f t="shared" si="51"/>
        <v>96</v>
      </c>
      <c r="B103" s="31">
        <f t="shared" si="52"/>
        <v>0</v>
      </c>
      <c r="C103" s="31">
        <f>IF($A103&gt;LastT,0,IF(AND($D$3&lt;&gt;0,$A103&gt;=T0,Policy_Sched!$B103&lt;LastAge),1+$D$3*$E$3,1))</f>
        <v>0</v>
      </c>
      <c r="D103" s="36">
        <f>IF($A103&gt;LastT,0,IF($C$3="up",MIN(Policy_Sched!$E103*(1+IF($A103&gt;=T0,$E$3,0)),$F$3),IF($C$3="down",MAX(Policy_Sched!$E103*(1-IF($A103&gt;=T0,$E$3,0)),Policy_Sched!$E103-$F$3),Policy_Sched!$E103)))</f>
        <v>0</v>
      </c>
      <c r="E103" s="37">
        <f t="shared" si="53"/>
        <v>0</v>
      </c>
      <c r="F103" s="37">
        <f t="shared" ref="F103:F110" si="54">IF($A103&gt;LastT,0,IF($A103=PolicyTerm,E103,0))</f>
        <v>0</v>
      </c>
      <c r="G103" s="37">
        <f t="shared" ref="G103:G110" si="55">IF($A103&gt;LastT,0,E103-F103)</f>
        <v>0</v>
      </c>
      <c r="H103" s="37">
        <f t="shared" ref="H103:H110" si="56">IF($A103=0,PolicyCount,0)</f>
        <v>0</v>
      </c>
      <c r="I103" s="37">
        <f t="shared" ref="I103:I110" si="57">IF($A103&gt;LastT,0,IF(AND($C$3="mass",$A103=T0),(G103+H103)*$E$3,0))</f>
        <v>0</v>
      </c>
      <c r="J103" s="37">
        <f t="shared" ref="J103:J110" si="58">IF($A103&gt;LastT,0,G103+H103-I103)</f>
        <v>0</v>
      </c>
      <c r="K103" s="37">
        <f>IF($A103&gt;LastT,0,J103*Policy_Sched!$C103*Policy_Sched!$D103*C103)</f>
        <v>0</v>
      </c>
      <c r="L103" s="41">
        <f t="shared" ref="L103:L110" si="59">J103*D103</f>
        <v>0</v>
      </c>
      <c r="M103" s="38">
        <f t="shared" ref="M103:M110" si="60">IF($A103&gt;LastT,0,(SizeAnnPrem*ExpsMaintAnnPrem+(SumAssured*ExpsMaintSA+ExpsMaintPol)*B103)*(1+IF($B$3="exps",$E$3,0)))</f>
        <v>0</v>
      </c>
      <c r="N103" s="38">
        <f t="shared" ref="N103:N110" si="61">SizePremium*J103</f>
        <v>0</v>
      </c>
      <c r="O103" s="38">
        <f t="shared" ref="O103:O110" si="62">SumAssured*K103</f>
        <v>0</v>
      </c>
      <c r="P103" s="38">
        <f>Policy_Sched!$I103*(L103+I103)</f>
        <v>0</v>
      </c>
      <c r="Q103" s="42">
        <f t="shared" ref="Q103:Q110" si="63">O103+P103</f>
        <v>0</v>
      </c>
      <c r="R103" s="38">
        <f t="shared" ref="R103:R110" si="64">IF($A103=0,SizeExpsAcq0*H103,0)</f>
        <v>0</v>
      </c>
      <c r="S103" s="38">
        <f t="shared" ref="S103:S110" si="65">IF($A103=0,SizeExpsCommInit0*J103,0)</f>
        <v>0</v>
      </c>
      <c r="T103" s="38">
        <f>Policy_Sched!$J103*J103</f>
        <v>0</v>
      </c>
      <c r="U103" s="42">
        <f t="shared" ref="U103:U110" si="66">M103*J103</f>
        <v>0</v>
      </c>
      <c r="V103" s="42">
        <f t="shared" ref="V103:V110" si="67">S103+T103+R103+U103</f>
        <v>0</v>
      </c>
      <c r="W103" s="38">
        <f>IF($A103&gt;LastT,0,N103+W104/(1+Policy_Sched!$K103))</f>
        <v>0</v>
      </c>
      <c r="X103" s="38">
        <f>IF($A103&gt;LastT,0,(-Q103+X104)/(1+Policy_Sched!$K103))</f>
        <v>0</v>
      </c>
      <c r="Y103" s="38">
        <f>IF($A103&gt;LastT,0,-V103+Y104/(1+Policy_Sched!$K103))</f>
        <v>0</v>
      </c>
      <c r="Z103" s="42">
        <f t="shared" ref="Z103:Z110" si="68">W103+Y103+X103</f>
        <v>0</v>
      </c>
      <c r="AA103" s="38">
        <f>IF($A103&gt;LastT,0,N103-V103-Q103/(1+Policy_Sched!$K103)+Z104/(1+Policy_Sched!$K103))</f>
        <v>0</v>
      </c>
    </row>
    <row r="104" spans="1:27" x14ac:dyDescent="0.2">
      <c r="A104" s="30">
        <f t="shared" ref="A104:A110" si="69">A103+1</f>
        <v>97</v>
      </c>
      <c r="B104" s="31">
        <f t="shared" ref="B104:B110" si="70">IF($A104&gt;LastT,0,IF($B$3="exps",B103*(1+InflRate+IF($A104&gt;=T0,$G$3,0)),B103/(1+InflRate)))</f>
        <v>0</v>
      </c>
      <c r="C104" s="31">
        <f>IF($A104&gt;LastT,0,IF(AND($D$3&lt;&gt;0,$A104&gt;=T0,Policy_Sched!$B104&lt;LastAge),1+$D$3*$E$3,1))</f>
        <v>0</v>
      </c>
      <c r="D104" s="36">
        <f>IF($A104&gt;LastT,0,IF($C$3="up",MIN(Policy_Sched!$E104*(1+IF($A104&gt;=T0,$E$3,0)),$F$3),IF($C$3="down",MAX(Policy_Sched!$E104*(1-IF($A104&gt;=T0,$E$3,0)),Policy_Sched!$E104-$F$3),Policy_Sched!$E104)))</f>
        <v>0</v>
      </c>
      <c r="E104" s="37">
        <f t="shared" ref="E104:E110" si="71">IF($A104&gt;LastT,0,J103-K103-L103)</f>
        <v>0</v>
      </c>
      <c r="F104" s="37">
        <f t="shared" si="54"/>
        <v>0</v>
      </c>
      <c r="G104" s="37">
        <f t="shared" si="55"/>
        <v>0</v>
      </c>
      <c r="H104" s="37">
        <f t="shared" si="56"/>
        <v>0</v>
      </c>
      <c r="I104" s="37">
        <f t="shared" si="57"/>
        <v>0</v>
      </c>
      <c r="J104" s="37">
        <f t="shared" si="58"/>
        <v>0</v>
      </c>
      <c r="K104" s="37">
        <f>IF($A104&gt;LastT,0,J104*Policy_Sched!$C104*Policy_Sched!$D104*C104)</f>
        <v>0</v>
      </c>
      <c r="L104" s="41">
        <f t="shared" si="59"/>
        <v>0</v>
      </c>
      <c r="M104" s="38">
        <f t="shared" si="60"/>
        <v>0</v>
      </c>
      <c r="N104" s="38">
        <f t="shared" si="61"/>
        <v>0</v>
      </c>
      <c r="O104" s="38">
        <f t="shared" si="62"/>
        <v>0</v>
      </c>
      <c r="P104" s="38">
        <f>Policy_Sched!$I104*(L104+I104)</f>
        <v>0</v>
      </c>
      <c r="Q104" s="42">
        <f t="shared" si="63"/>
        <v>0</v>
      </c>
      <c r="R104" s="38">
        <f t="shared" si="64"/>
        <v>0</v>
      </c>
      <c r="S104" s="38">
        <f t="shared" si="65"/>
        <v>0</v>
      </c>
      <c r="T104" s="38">
        <f>Policy_Sched!$J104*J104</f>
        <v>0</v>
      </c>
      <c r="U104" s="42">
        <f t="shared" si="66"/>
        <v>0</v>
      </c>
      <c r="V104" s="42">
        <f t="shared" si="67"/>
        <v>0</v>
      </c>
      <c r="W104" s="38">
        <f>IF($A104&gt;LastT,0,N104+W105/(1+Policy_Sched!$K104))</f>
        <v>0</v>
      </c>
      <c r="X104" s="38">
        <f>IF($A104&gt;LastT,0,(-Q104+X105)/(1+Policy_Sched!$K104))</f>
        <v>0</v>
      </c>
      <c r="Y104" s="38">
        <f>IF($A104&gt;LastT,0,-V104+Y105/(1+Policy_Sched!$K104))</f>
        <v>0</v>
      </c>
      <c r="Z104" s="42">
        <f t="shared" si="68"/>
        <v>0</v>
      </c>
      <c r="AA104" s="38">
        <f>IF($A104&gt;LastT,0,N104-V104-Q104/(1+Policy_Sched!$K104)+Z105/(1+Policy_Sched!$K104))</f>
        <v>0</v>
      </c>
    </row>
    <row r="105" spans="1:27" x14ac:dyDescent="0.2">
      <c r="A105" s="30">
        <f t="shared" si="69"/>
        <v>98</v>
      </c>
      <c r="B105" s="31">
        <f t="shared" si="70"/>
        <v>0</v>
      </c>
      <c r="C105" s="31">
        <f>IF($A105&gt;LastT,0,IF(AND($D$3&lt;&gt;0,$A105&gt;=T0,Policy_Sched!$B105&lt;LastAge),1+$D$3*$E$3,1))</f>
        <v>0</v>
      </c>
      <c r="D105" s="36">
        <f>IF($A105&gt;LastT,0,IF($C$3="up",MIN(Policy_Sched!$E105*(1+IF($A105&gt;=T0,$E$3,0)),$F$3),IF($C$3="down",MAX(Policy_Sched!$E105*(1-IF($A105&gt;=T0,$E$3,0)),Policy_Sched!$E105-$F$3),Policy_Sched!$E105)))</f>
        <v>0</v>
      </c>
      <c r="E105" s="37">
        <f t="shared" si="71"/>
        <v>0</v>
      </c>
      <c r="F105" s="37">
        <f t="shared" si="54"/>
        <v>0</v>
      </c>
      <c r="G105" s="37">
        <f t="shared" si="55"/>
        <v>0</v>
      </c>
      <c r="H105" s="37">
        <f t="shared" si="56"/>
        <v>0</v>
      </c>
      <c r="I105" s="37">
        <f t="shared" si="57"/>
        <v>0</v>
      </c>
      <c r="J105" s="37">
        <f t="shared" si="58"/>
        <v>0</v>
      </c>
      <c r="K105" s="37">
        <f>IF($A105&gt;LastT,0,J105*Policy_Sched!$C105*Policy_Sched!$D105*C105)</f>
        <v>0</v>
      </c>
      <c r="L105" s="41">
        <f t="shared" si="59"/>
        <v>0</v>
      </c>
      <c r="M105" s="38">
        <f t="shared" si="60"/>
        <v>0</v>
      </c>
      <c r="N105" s="38">
        <f t="shared" si="61"/>
        <v>0</v>
      </c>
      <c r="O105" s="38">
        <f t="shared" si="62"/>
        <v>0</v>
      </c>
      <c r="P105" s="38">
        <f>Policy_Sched!$I105*(L105+I105)</f>
        <v>0</v>
      </c>
      <c r="Q105" s="42">
        <f t="shared" si="63"/>
        <v>0</v>
      </c>
      <c r="R105" s="38">
        <f t="shared" si="64"/>
        <v>0</v>
      </c>
      <c r="S105" s="38">
        <f t="shared" si="65"/>
        <v>0</v>
      </c>
      <c r="T105" s="38">
        <f>Policy_Sched!$J105*J105</f>
        <v>0</v>
      </c>
      <c r="U105" s="42">
        <f t="shared" si="66"/>
        <v>0</v>
      </c>
      <c r="V105" s="42">
        <f t="shared" si="67"/>
        <v>0</v>
      </c>
      <c r="W105" s="38">
        <f>IF($A105&gt;LastT,0,N105+W106/(1+Policy_Sched!$K105))</f>
        <v>0</v>
      </c>
      <c r="X105" s="38">
        <f>IF($A105&gt;LastT,0,(-Q105+X106)/(1+Policy_Sched!$K105))</f>
        <v>0</v>
      </c>
      <c r="Y105" s="38">
        <f>IF($A105&gt;LastT,0,-V105+Y106/(1+Policy_Sched!$K105))</f>
        <v>0</v>
      </c>
      <c r="Z105" s="42">
        <f t="shared" si="68"/>
        <v>0</v>
      </c>
      <c r="AA105" s="38">
        <f>IF($A105&gt;LastT,0,N105-V105-Q105/(1+Policy_Sched!$K105)+Z106/(1+Policy_Sched!$K105))</f>
        <v>0</v>
      </c>
    </row>
    <row r="106" spans="1:27" x14ac:dyDescent="0.2">
      <c r="A106" s="30">
        <f t="shared" si="69"/>
        <v>99</v>
      </c>
      <c r="B106" s="31">
        <f t="shared" si="70"/>
        <v>0</v>
      </c>
      <c r="C106" s="31">
        <f>IF($A106&gt;LastT,0,IF(AND($D$3&lt;&gt;0,$A106&gt;=T0,Policy_Sched!$B106&lt;LastAge),1+$D$3*$E$3,1))</f>
        <v>0</v>
      </c>
      <c r="D106" s="36">
        <f>IF($A106&gt;LastT,0,IF($C$3="up",MIN(Policy_Sched!$E106*(1+IF($A106&gt;=T0,$E$3,0)),$F$3),IF($C$3="down",MAX(Policy_Sched!$E106*(1-IF($A106&gt;=T0,$E$3,0)),Policy_Sched!$E106-$F$3),Policy_Sched!$E106)))</f>
        <v>0</v>
      </c>
      <c r="E106" s="37">
        <f t="shared" si="71"/>
        <v>0</v>
      </c>
      <c r="F106" s="37">
        <f t="shared" si="54"/>
        <v>0</v>
      </c>
      <c r="G106" s="37">
        <f t="shared" si="55"/>
        <v>0</v>
      </c>
      <c r="H106" s="37">
        <f t="shared" si="56"/>
        <v>0</v>
      </c>
      <c r="I106" s="37">
        <f t="shared" si="57"/>
        <v>0</v>
      </c>
      <c r="J106" s="37">
        <f t="shared" si="58"/>
        <v>0</v>
      </c>
      <c r="K106" s="37">
        <f>IF($A106&gt;LastT,0,J106*Policy_Sched!$C106*Policy_Sched!$D106*C106)</f>
        <v>0</v>
      </c>
      <c r="L106" s="41">
        <f t="shared" si="59"/>
        <v>0</v>
      </c>
      <c r="M106" s="38">
        <f t="shared" si="60"/>
        <v>0</v>
      </c>
      <c r="N106" s="38">
        <f t="shared" si="61"/>
        <v>0</v>
      </c>
      <c r="O106" s="38">
        <f t="shared" si="62"/>
        <v>0</v>
      </c>
      <c r="P106" s="38">
        <f>Policy_Sched!$I106*(L106+I106)</f>
        <v>0</v>
      </c>
      <c r="Q106" s="42">
        <f t="shared" si="63"/>
        <v>0</v>
      </c>
      <c r="R106" s="38">
        <f t="shared" si="64"/>
        <v>0</v>
      </c>
      <c r="S106" s="38">
        <f t="shared" si="65"/>
        <v>0</v>
      </c>
      <c r="T106" s="38">
        <f>Policy_Sched!$J106*J106</f>
        <v>0</v>
      </c>
      <c r="U106" s="42">
        <f t="shared" si="66"/>
        <v>0</v>
      </c>
      <c r="V106" s="42">
        <f t="shared" si="67"/>
        <v>0</v>
      </c>
      <c r="W106" s="38">
        <f>IF($A106&gt;LastT,0,N106+W107/(1+Policy_Sched!$K106))</f>
        <v>0</v>
      </c>
      <c r="X106" s="38">
        <f>IF($A106&gt;LastT,0,(-Q106+X107)/(1+Policy_Sched!$K106))</f>
        <v>0</v>
      </c>
      <c r="Y106" s="38">
        <f>IF($A106&gt;LastT,0,-V106+Y107/(1+Policy_Sched!$K106))</f>
        <v>0</v>
      </c>
      <c r="Z106" s="42">
        <f t="shared" si="68"/>
        <v>0</v>
      </c>
      <c r="AA106" s="38">
        <f>IF($A106&gt;LastT,0,N106-V106-Q106/(1+Policy_Sched!$K106)+Z107/(1+Policy_Sched!$K106))</f>
        <v>0</v>
      </c>
    </row>
    <row r="107" spans="1:27" x14ac:dyDescent="0.2">
      <c r="A107" s="30">
        <f t="shared" si="69"/>
        <v>100</v>
      </c>
      <c r="B107" s="31">
        <f t="shared" si="70"/>
        <v>0</v>
      </c>
      <c r="C107" s="31">
        <f>IF($A107&gt;LastT,0,IF(AND($D$3&lt;&gt;0,$A107&gt;=T0,Policy_Sched!$B107&lt;LastAge),1+$D$3*$E$3,1))</f>
        <v>0</v>
      </c>
      <c r="D107" s="36">
        <f>IF($A107&gt;LastT,0,IF($C$3="up",MIN(Policy_Sched!$E107*(1+IF($A107&gt;=T0,$E$3,0)),$F$3),IF($C$3="down",MAX(Policy_Sched!$E107*(1-IF($A107&gt;=T0,$E$3,0)),Policy_Sched!$E107-$F$3),Policy_Sched!$E107)))</f>
        <v>0</v>
      </c>
      <c r="E107" s="37">
        <f t="shared" si="71"/>
        <v>0</v>
      </c>
      <c r="F107" s="37">
        <f t="shared" si="54"/>
        <v>0</v>
      </c>
      <c r="G107" s="37">
        <f t="shared" si="55"/>
        <v>0</v>
      </c>
      <c r="H107" s="37">
        <f t="shared" si="56"/>
        <v>0</v>
      </c>
      <c r="I107" s="37">
        <f t="shared" si="57"/>
        <v>0</v>
      </c>
      <c r="J107" s="37">
        <f t="shared" si="58"/>
        <v>0</v>
      </c>
      <c r="K107" s="37">
        <f>IF($A107&gt;LastT,0,J107*Policy_Sched!$C107*Policy_Sched!$D107*C107)</f>
        <v>0</v>
      </c>
      <c r="L107" s="41">
        <f t="shared" si="59"/>
        <v>0</v>
      </c>
      <c r="M107" s="38">
        <f t="shared" si="60"/>
        <v>0</v>
      </c>
      <c r="N107" s="38">
        <f t="shared" si="61"/>
        <v>0</v>
      </c>
      <c r="O107" s="38">
        <f t="shared" si="62"/>
        <v>0</v>
      </c>
      <c r="P107" s="38">
        <f>Policy_Sched!$I107*(L107+I107)</f>
        <v>0</v>
      </c>
      <c r="Q107" s="42">
        <f t="shared" si="63"/>
        <v>0</v>
      </c>
      <c r="R107" s="38">
        <f t="shared" si="64"/>
        <v>0</v>
      </c>
      <c r="S107" s="38">
        <f t="shared" si="65"/>
        <v>0</v>
      </c>
      <c r="T107" s="38">
        <f>Policy_Sched!$J107*J107</f>
        <v>0</v>
      </c>
      <c r="U107" s="42">
        <f t="shared" si="66"/>
        <v>0</v>
      </c>
      <c r="V107" s="42">
        <f t="shared" si="67"/>
        <v>0</v>
      </c>
      <c r="W107" s="38">
        <f>IF($A107&gt;LastT,0,N107+W108/(1+Policy_Sched!$K107))</f>
        <v>0</v>
      </c>
      <c r="X107" s="38">
        <f>IF($A107&gt;LastT,0,(-Q107+X108)/(1+Policy_Sched!$K107))</f>
        <v>0</v>
      </c>
      <c r="Y107" s="38">
        <f>IF($A107&gt;LastT,0,-V107+Y108/(1+Policy_Sched!$K107))</f>
        <v>0</v>
      </c>
      <c r="Z107" s="42">
        <f t="shared" si="68"/>
        <v>0</v>
      </c>
      <c r="AA107" s="38">
        <f>IF($A107&gt;LastT,0,N107-V107-Q107/(1+Policy_Sched!$K107)+Z108/(1+Policy_Sched!$K107))</f>
        <v>0</v>
      </c>
    </row>
    <row r="108" spans="1:27" x14ac:dyDescent="0.2">
      <c r="A108" s="30">
        <f t="shared" si="69"/>
        <v>101</v>
      </c>
      <c r="B108" s="31">
        <f t="shared" si="70"/>
        <v>0</v>
      </c>
      <c r="C108" s="31">
        <f>IF($A108&gt;LastT,0,IF(AND($D$3&lt;&gt;0,$A108&gt;=T0,Policy_Sched!$B108&lt;LastAge),1+$D$3*$E$3,1))</f>
        <v>0</v>
      </c>
      <c r="D108" s="36">
        <f>IF($A108&gt;LastT,0,IF($C$3="up",MIN(Policy_Sched!$E108*(1+IF($A108&gt;=T0,$E$3,0)),$F$3),IF($C$3="down",MAX(Policy_Sched!$E108*(1-IF($A108&gt;=T0,$E$3,0)),Policy_Sched!$E108-$F$3),Policy_Sched!$E108)))</f>
        <v>0</v>
      </c>
      <c r="E108" s="37">
        <f t="shared" si="71"/>
        <v>0</v>
      </c>
      <c r="F108" s="37">
        <f t="shared" si="54"/>
        <v>0</v>
      </c>
      <c r="G108" s="37">
        <f t="shared" si="55"/>
        <v>0</v>
      </c>
      <c r="H108" s="37">
        <f t="shared" si="56"/>
        <v>0</v>
      </c>
      <c r="I108" s="37">
        <f t="shared" si="57"/>
        <v>0</v>
      </c>
      <c r="J108" s="37">
        <f t="shared" si="58"/>
        <v>0</v>
      </c>
      <c r="K108" s="37">
        <f>IF($A108&gt;LastT,0,J108*Policy_Sched!$C108*Policy_Sched!$D108*C108)</f>
        <v>0</v>
      </c>
      <c r="L108" s="41">
        <f t="shared" si="59"/>
        <v>0</v>
      </c>
      <c r="M108" s="38">
        <f t="shared" si="60"/>
        <v>0</v>
      </c>
      <c r="N108" s="38">
        <f t="shared" si="61"/>
        <v>0</v>
      </c>
      <c r="O108" s="38">
        <f t="shared" si="62"/>
        <v>0</v>
      </c>
      <c r="P108" s="38">
        <f>Policy_Sched!$I108*(L108+I108)</f>
        <v>0</v>
      </c>
      <c r="Q108" s="42">
        <f t="shared" si="63"/>
        <v>0</v>
      </c>
      <c r="R108" s="38">
        <f t="shared" si="64"/>
        <v>0</v>
      </c>
      <c r="S108" s="38">
        <f t="shared" si="65"/>
        <v>0</v>
      </c>
      <c r="T108" s="38">
        <f>Policy_Sched!$J108*J108</f>
        <v>0</v>
      </c>
      <c r="U108" s="42">
        <f t="shared" si="66"/>
        <v>0</v>
      </c>
      <c r="V108" s="42">
        <f t="shared" si="67"/>
        <v>0</v>
      </c>
      <c r="W108" s="38">
        <f>IF($A108&gt;LastT,0,N108+W109/(1+Policy_Sched!$K108))</f>
        <v>0</v>
      </c>
      <c r="X108" s="38">
        <f>IF($A108&gt;LastT,0,(-Q108+X109)/(1+Policy_Sched!$K108))</f>
        <v>0</v>
      </c>
      <c r="Y108" s="38">
        <f>IF($A108&gt;LastT,0,-V108+Y109/(1+Policy_Sched!$K108))</f>
        <v>0</v>
      </c>
      <c r="Z108" s="42">
        <f t="shared" si="68"/>
        <v>0</v>
      </c>
      <c r="AA108" s="38">
        <f>IF($A108&gt;LastT,0,N108-V108-Q108/(1+Policy_Sched!$K108)+Z109/(1+Policy_Sched!$K108))</f>
        <v>0</v>
      </c>
    </row>
    <row r="109" spans="1:27" x14ac:dyDescent="0.2">
      <c r="A109" s="30">
        <f t="shared" si="69"/>
        <v>102</v>
      </c>
      <c r="B109" s="31">
        <f t="shared" si="70"/>
        <v>0</v>
      </c>
      <c r="C109" s="31">
        <f>IF($A109&gt;LastT,0,IF(AND($D$3&lt;&gt;0,$A109&gt;=T0,Policy_Sched!$B109&lt;LastAge),1+$D$3*$E$3,1))</f>
        <v>0</v>
      </c>
      <c r="D109" s="36">
        <f>IF($A109&gt;LastT,0,IF($C$3="up",MIN(Policy_Sched!$E109*(1+IF($A109&gt;=T0,$E$3,0)),$F$3),IF($C$3="down",MAX(Policy_Sched!$E109*(1-IF($A109&gt;=T0,$E$3,0)),Policy_Sched!$E109-$F$3),Policy_Sched!$E109)))</f>
        <v>0</v>
      </c>
      <c r="E109" s="37">
        <f t="shared" si="71"/>
        <v>0</v>
      </c>
      <c r="F109" s="37">
        <f t="shared" si="54"/>
        <v>0</v>
      </c>
      <c r="G109" s="37">
        <f t="shared" si="55"/>
        <v>0</v>
      </c>
      <c r="H109" s="37">
        <f t="shared" si="56"/>
        <v>0</v>
      </c>
      <c r="I109" s="37">
        <f t="shared" si="57"/>
        <v>0</v>
      </c>
      <c r="J109" s="37">
        <f t="shared" si="58"/>
        <v>0</v>
      </c>
      <c r="K109" s="37">
        <f>IF($A109&gt;LastT,0,J109*Policy_Sched!$C109*Policy_Sched!$D109*C109)</f>
        <v>0</v>
      </c>
      <c r="L109" s="41">
        <f t="shared" si="59"/>
        <v>0</v>
      </c>
      <c r="M109" s="38">
        <f t="shared" si="60"/>
        <v>0</v>
      </c>
      <c r="N109" s="38">
        <f t="shared" si="61"/>
        <v>0</v>
      </c>
      <c r="O109" s="38">
        <f t="shared" si="62"/>
        <v>0</v>
      </c>
      <c r="P109" s="38">
        <f>Policy_Sched!$I109*(L109+I109)</f>
        <v>0</v>
      </c>
      <c r="Q109" s="42">
        <f t="shared" si="63"/>
        <v>0</v>
      </c>
      <c r="R109" s="38">
        <f t="shared" si="64"/>
        <v>0</v>
      </c>
      <c r="S109" s="38">
        <f t="shared" si="65"/>
        <v>0</v>
      </c>
      <c r="T109" s="38">
        <f>Policy_Sched!$J109*J109</f>
        <v>0</v>
      </c>
      <c r="U109" s="42">
        <f t="shared" si="66"/>
        <v>0</v>
      </c>
      <c r="V109" s="42">
        <f t="shared" si="67"/>
        <v>0</v>
      </c>
      <c r="W109" s="38">
        <f>IF($A109&gt;LastT,0,N109+W110/(1+Policy_Sched!$K109))</f>
        <v>0</v>
      </c>
      <c r="X109" s="38">
        <f>IF($A109&gt;LastT,0,(-Q109+X110)/(1+Policy_Sched!$K109))</f>
        <v>0</v>
      </c>
      <c r="Y109" s="38">
        <f>IF($A109&gt;LastT,0,-V109+Y110/(1+Policy_Sched!$K109))</f>
        <v>0</v>
      </c>
      <c r="Z109" s="42">
        <f t="shared" si="68"/>
        <v>0</v>
      </c>
      <c r="AA109" s="38">
        <f>IF($A109&gt;LastT,0,N109-V109-Q109/(1+Policy_Sched!$K109)+Z110/(1+Policy_Sched!$K109))</f>
        <v>0</v>
      </c>
    </row>
    <row r="110" spans="1:27" x14ac:dyDescent="0.2">
      <c r="A110" s="30">
        <f t="shared" si="69"/>
        <v>103</v>
      </c>
      <c r="B110" s="31">
        <f t="shared" si="70"/>
        <v>0</v>
      </c>
      <c r="C110" s="31">
        <f>IF($A110&gt;LastT,0,IF(AND($D$3&lt;&gt;0,$A110&gt;=T0,Policy_Sched!$B110&lt;LastAge),1+$D$3*$E$3,1))</f>
        <v>0</v>
      </c>
      <c r="D110" s="36">
        <f>IF($A110&gt;LastT,0,IF($C$3="up",MIN(Policy_Sched!$E110*(1+IF($A110&gt;=T0,$E$3,0)),$F$3),IF($C$3="down",MAX(Policy_Sched!$E110*(1-IF($A110&gt;=T0,$E$3,0)),Policy_Sched!$E110-$F$3),Policy_Sched!$E110)))</f>
        <v>0</v>
      </c>
      <c r="E110" s="37">
        <f t="shared" si="71"/>
        <v>0</v>
      </c>
      <c r="F110" s="37">
        <f t="shared" si="54"/>
        <v>0</v>
      </c>
      <c r="G110" s="37">
        <f t="shared" si="55"/>
        <v>0</v>
      </c>
      <c r="H110" s="37">
        <f t="shared" si="56"/>
        <v>0</v>
      </c>
      <c r="I110" s="37">
        <f t="shared" si="57"/>
        <v>0</v>
      </c>
      <c r="J110" s="37">
        <f t="shared" si="58"/>
        <v>0</v>
      </c>
      <c r="K110" s="37">
        <f>IF($A110&gt;LastT,0,J110*Policy_Sched!$C110*Policy_Sched!$D110*C110)</f>
        <v>0</v>
      </c>
      <c r="L110" s="41">
        <f t="shared" si="59"/>
        <v>0</v>
      </c>
      <c r="M110" s="38">
        <f t="shared" si="60"/>
        <v>0</v>
      </c>
      <c r="N110" s="38">
        <f t="shared" si="61"/>
        <v>0</v>
      </c>
      <c r="O110" s="38">
        <f t="shared" si="62"/>
        <v>0</v>
      </c>
      <c r="P110" s="38">
        <f>Policy_Sched!$I110*(L110+I110)</f>
        <v>0</v>
      </c>
      <c r="Q110" s="42">
        <f t="shared" si="63"/>
        <v>0</v>
      </c>
      <c r="R110" s="38">
        <f t="shared" si="64"/>
        <v>0</v>
      </c>
      <c r="S110" s="38">
        <f t="shared" si="65"/>
        <v>0</v>
      </c>
      <c r="T110" s="38">
        <f>Policy_Sched!$J110*J110</f>
        <v>0</v>
      </c>
      <c r="U110" s="42">
        <f t="shared" si="66"/>
        <v>0</v>
      </c>
      <c r="V110" s="42">
        <f t="shared" si="67"/>
        <v>0</v>
      </c>
      <c r="W110" s="38">
        <f>IF($A110&gt;LastT,0,N110+W111/(1+Policy_Sched!$K110))</f>
        <v>0</v>
      </c>
      <c r="X110" s="38">
        <f>IF($A110&gt;LastT,0,(-Q110+X111)/(1+Policy_Sched!$K110))</f>
        <v>0</v>
      </c>
      <c r="Y110" s="38">
        <f>IF($A110&gt;LastT,0,-V110+Y111/(1+Policy_Sched!$K110))</f>
        <v>0</v>
      </c>
      <c r="Z110" s="42">
        <f t="shared" si="68"/>
        <v>0</v>
      </c>
      <c r="AA110" s="38">
        <f>IF($A110&gt;LastT,0,N110-V110-Q110/(1+Policy_Sched!$K110)+Z111/(1+Policy_Sched!$K110))</f>
        <v>0</v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AA110"/>
  <sheetViews>
    <sheetView workbookViewId="0">
      <pane xSplit="1" ySplit="6" topLeftCell="B7" activePane="bottomRight" state="frozen"/>
      <selection pane="topRight"/>
      <selection pane="bottomLeft"/>
      <selection pane="bottomRight"/>
    </sheetView>
  </sheetViews>
  <sheetFormatPr baseColWidth="10" defaultColWidth="8.83203125" defaultRowHeight="15" x14ac:dyDescent="0.2"/>
  <cols>
    <col min="1" max="1" width="5" customWidth="1"/>
    <col min="2" max="2" width="10" customWidth="1"/>
    <col min="3" max="5" width="11" customWidth="1"/>
    <col min="6" max="6" width="10" customWidth="1"/>
    <col min="7" max="7" width="11" customWidth="1"/>
    <col min="8" max="9" width="10" customWidth="1"/>
    <col min="10" max="13" width="11" customWidth="1"/>
    <col min="14" max="17" width="12" customWidth="1"/>
    <col min="18" max="21" width="11" customWidth="1"/>
    <col min="22" max="22" width="12" customWidth="1"/>
    <col min="23" max="27" width="13" customWidth="1"/>
  </cols>
  <sheetData>
    <row r="1" spans="1:27" x14ac:dyDescent="0.2">
      <c r="A1" s="3" t="s">
        <v>395</v>
      </c>
    </row>
    <row r="2" spans="1:27" x14ac:dyDescent="0.2">
      <c r="B2" s="39" t="s">
        <v>334</v>
      </c>
      <c r="C2" s="39" t="s">
        <v>335</v>
      </c>
      <c r="D2" s="39" t="s">
        <v>336</v>
      </c>
      <c r="E2" s="39" t="s">
        <v>337</v>
      </c>
      <c r="F2" s="39" t="s">
        <v>338</v>
      </c>
      <c r="G2" s="39" t="s">
        <v>339</v>
      </c>
    </row>
    <row r="3" spans="1:27" x14ac:dyDescent="0.2">
      <c r="B3" s="7" t="s">
        <v>396</v>
      </c>
      <c r="C3" s="7"/>
      <c r="D3" s="7">
        <v>-1</v>
      </c>
      <c r="E3" s="34">
        <f>IFERROR(INDEX(FactorVals,MATCH($B$3&amp;"|"&amp;$C$3&amp;"||",FactorKeys,0)),0)</f>
        <v>0.25</v>
      </c>
      <c r="F3" s="34">
        <f>IFERROR(INDEX(FactorVals,MATCH($B$3&amp;"|"&amp;$C$3&amp;"||limit",FactorKeys,0)),0)</f>
        <v>0</v>
      </c>
      <c r="G3" s="34">
        <f>IFERROR(INDEX(FactorVals,MATCH($B$3&amp;"|||inflation",FactorKeys,0)),0)</f>
        <v>0</v>
      </c>
    </row>
    <row r="4" spans="1:27" x14ac:dyDescent="0.2">
      <c r="B4" s="14" t="s">
        <v>334</v>
      </c>
      <c r="C4" s="14" t="s">
        <v>335</v>
      </c>
      <c r="E4" s="14" t="s">
        <v>341</v>
      </c>
    </row>
    <row r="5" spans="1:27" x14ac:dyDescent="0.2">
      <c r="A5" s="10" t="s">
        <v>185</v>
      </c>
      <c r="B5" s="10" t="s">
        <v>342</v>
      </c>
      <c r="C5" s="10" t="s">
        <v>343</v>
      </c>
      <c r="D5" s="10" t="s">
        <v>344</v>
      </c>
      <c r="E5" s="10" t="s">
        <v>345</v>
      </c>
      <c r="F5" s="10" t="s">
        <v>346</v>
      </c>
      <c r="G5" s="10" t="s">
        <v>347</v>
      </c>
      <c r="H5" s="10" t="s">
        <v>348</v>
      </c>
      <c r="I5" s="10" t="s">
        <v>349</v>
      </c>
      <c r="J5" s="10" t="s">
        <v>350</v>
      </c>
      <c r="K5" s="10" t="s">
        <v>351</v>
      </c>
      <c r="L5" s="10" t="s">
        <v>352</v>
      </c>
      <c r="M5" s="10" t="s">
        <v>353</v>
      </c>
      <c r="N5" s="10" t="s">
        <v>354</v>
      </c>
      <c r="O5" s="10" t="s">
        <v>355</v>
      </c>
      <c r="P5" s="10" t="s">
        <v>356</v>
      </c>
      <c r="Q5" s="10" t="s">
        <v>357</v>
      </c>
      <c r="R5" s="10" t="s">
        <v>358</v>
      </c>
      <c r="S5" s="10" t="s">
        <v>359</v>
      </c>
      <c r="T5" s="10" t="s">
        <v>360</v>
      </c>
      <c r="U5" s="10" t="s">
        <v>361</v>
      </c>
      <c r="V5" s="10" t="s">
        <v>362</v>
      </c>
      <c r="W5" s="10" t="s">
        <v>363</v>
      </c>
      <c r="X5" s="10" t="s">
        <v>364</v>
      </c>
      <c r="Y5" s="10" t="s">
        <v>365</v>
      </c>
      <c r="Z5" s="10" t="s">
        <v>366</v>
      </c>
      <c r="AA5" s="10" t="s">
        <v>367</v>
      </c>
    </row>
    <row r="6" spans="1:27" x14ac:dyDescent="0.2">
      <c r="A6" s="14" t="s">
        <v>185</v>
      </c>
      <c r="B6" s="14" t="s">
        <v>368</v>
      </c>
      <c r="C6" s="14" t="s">
        <v>369</v>
      </c>
      <c r="D6" s="14" t="s">
        <v>327</v>
      </c>
      <c r="E6" s="14" t="s">
        <v>370</v>
      </c>
      <c r="F6" s="14" t="s">
        <v>371</v>
      </c>
      <c r="G6" s="14" t="s">
        <v>372</v>
      </c>
      <c r="H6" s="14" t="s">
        <v>373</v>
      </c>
      <c r="I6" s="14" t="s">
        <v>374</v>
      </c>
      <c r="J6" s="14" t="s">
        <v>375</v>
      </c>
      <c r="K6" s="14" t="s">
        <v>376</v>
      </c>
      <c r="L6" s="14" t="s">
        <v>377</v>
      </c>
      <c r="M6" s="14" t="s">
        <v>378</v>
      </c>
      <c r="N6" s="14" t="s">
        <v>379</v>
      </c>
      <c r="O6" s="14" t="s">
        <v>380</v>
      </c>
      <c r="P6" s="14" t="s">
        <v>381</v>
      </c>
      <c r="Q6" s="14" t="s">
        <v>382</v>
      </c>
      <c r="R6" s="14" t="s">
        <v>383</v>
      </c>
      <c r="S6" s="14" t="s">
        <v>384</v>
      </c>
      <c r="T6" s="14" t="s">
        <v>385</v>
      </c>
      <c r="U6" s="14" t="s">
        <v>386</v>
      </c>
      <c r="V6" s="14" t="s">
        <v>387</v>
      </c>
      <c r="W6" s="14" t="s">
        <v>388</v>
      </c>
      <c r="X6" s="14" t="s">
        <v>389</v>
      </c>
      <c r="Y6" s="14" t="s">
        <v>390</v>
      </c>
      <c r="Z6" s="14" t="s">
        <v>391</v>
      </c>
      <c r="AA6" s="14" t="s">
        <v>392</v>
      </c>
    </row>
    <row r="7" spans="1:27" x14ac:dyDescent="0.2">
      <c r="A7" s="30">
        <v>0</v>
      </c>
      <c r="B7" s="40">
        <f>1</f>
        <v>1</v>
      </c>
      <c r="C7" s="31">
        <f>IF($A7&gt;LastT,0,IF(AND($D$3&lt;&gt;0,$A7&gt;=T0,Policy_Sched!$B7&lt;LastAge),1+$D$3*$E$3,1))</f>
        <v>0.75</v>
      </c>
      <c r="D7" s="36">
        <f>IF($A7&gt;LastT,0,IF($C$3="up",MIN(Policy_Sched!$E7*(1+IF($A7&gt;=T0,$E$3,0)),$F$3),IF($C$3="down",MAX(Policy_Sched!$E7*(1-IF($A7&gt;=T0,$E$3,0)),Policy_Sched!$E7-$F$3),Policy_Sched!$E7)))</f>
        <v>0.08</v>
      </c>
      <c r="E7" s="41">
        <f>0</f>
        <v>0</v>
      </c>
      <c r="F7" s="37">
        <f t="shared" ref="F7:F38" si="0">IF($A7&gt;LastT,0,IF($A7=PolicyTerm,E7,0))</f>
        <v>0</v>
      </c>
      <c r="G7" s="37">
        <f t="shared" ref="G7:G38" si="1">IF($A7&gt;LastT,0,E7-F7)</f>
        <v>0</v>
      </c>
      <c r="H7" s="37">
        <f t="shared" ref="H7:H38" si="2">IF($A7=0,PolicyCount,0)</f>
        <v>1</v>
      </c>
      <c r="I7" s="37">
        <f t="shared" ref="I7:I38" si="3">IF($A7&gt;LastT,0,IF(AND($C$3="mass",$A7=T0),(G7+H7)*$E$3,0))</f>
        <v>0</v>
      </c>
      <c r="J7" s="37">
        <f t="shared" ref="J7:J38" si="4">IF($A7&gt;LastT,0,G7+H7-I7)</f>
        <v>1</v>
      </c>
      <c r="K7" s="37">
        <f>IF($A7&gt;LastT,0,J7*Policy_Sched!$C7*Policy_Sched!$D7*C7)</f>
        <v>4.0424999999999999E-4</v>
      </c>
      <c r="L7" s="41">
        <f t="shared" ref="L7:L38" si="5">J7*D7</f>
        <v>0.08</v>
      </c>
      <c r="M7" s="38">
        <f t="shared" ref="M7:M38" si="6">IF($A7&gt;LastT,0,(SizeAnnPrem*ExpsMaintAnnPrem+(SumAssured*ExpsMaintSA+ExpsMaintPol)*B7)*(1+IF($B$3="exps",$E$3,0)))</f>
        <v>1035.7416990934148</v>
      </c>
      <c r="N7" s="38">
        <f t="shared" ref="N7:N38" si="7">SizePremium*J7</f>
        <v>3574.1699093414809</v>
      </c>
      <c r="O7" s="38">
        <f t="shared" ref="O7:O38" si="8">SumAssured*K7</f>
        <v>404.25</v>
      </c>
      <c r="P7" s="38">
        <f>Policy_Sched!$I7*(L7+I7)</f>
        <v>17.898776561204809</v>
      </c>
      <c r="Q7" s="42">
        <f t="shared" ref="Q7:Q38" si="9">O7+P7</f>
        <v>422.14877656120478</v>
      </c>
      <c r="R7" s="38">
        <f t="shared" ref="R7:R38" si="10">IF($A7=0,SizeExpsAcq0*H7,0)</f>
        <v>3357.4169909341481</v>
      </c>
      <c r="S7" s="38">
        <f t="shared" ref="S7:S38" si="11">IF($A7=0,SizeExpsCommInit0*J7,0)</f>
        <v>714.83398186829618</v>
      </c>
      <c r="T7" s="38">
        <f>Policy_Sched!$J7*J7</f>
        <v>0</v>
      </c>
      <c r="U7" s="42">
        <f t="shared" ref="U7:U38" si="12">M7*J7</f>
        <v>1035.7416990934148</v>
      </c>
      <c r="V7" s="42">
        <f t="shared" ref="V7:V38" si="13">S7+T7+R7+U7</f>
        <v>5107.9926718958595</v>
      </c>
      <c r="W7" s="38">
        <f>IF($A7&gt;LastT,0,N7+W8/(1+Policy_Sched!$K7))</f>
        <v>29356.648439875789</v>
      </c>
      <c r="X7" s="38">
        <f>IF($A7&gt;LastT,0,(-Q7+X8)/(1+Policy_Sched!$K7))</f>
        <v>-5680.9187658956562</v>
      </c>
      <c r="Y7" s="38">
        <f>IF($A7&gt;LastT,0,-V7+Y8/(1+Policy_Sched!$K7))</f>
        <v>-13141.255686821543</v>
      </c>
      <c r="Z7" s="42">
        <f t="shared" ref="Z7:Z38" si="14">W7+Y7+X7</f>
        <v>10534.47398715859</v>
      </c>
      <c r="AA7" s="38">
        <f>IF($A7&gt;LastT,0,N7-V7-Q7/(1+Policy_Sched!$K7)+Z8/(1+Policy_Sched!$K7))</f>
        <v>10534.473987158592</v>
      </c>
    </row>
    <row r="8" spans="1:27" x14ac:dyDescent="0.2">
      <c r="A8" s="30">
        <f t="shared" ref="A8:A39" si="15">A7+1</f>
        <v>1</v>
      </c>
      <c r="B8" s="31">
        <f t="shared" ref="B8:B39" si="16">IF($A8&gt;LastT,0,IF($B$3="exps",B7*(1+InflRate+IF($A8&gt;=T0,$G$3,0)),B7/(1+InflRate)))</f>
        <v>1</v>
      </c>
      <c r="C8" s="31">
        <f>IF($A8&gt;LastT,0,IF(AND($D$3&lt;&gt;0,$A8&gt;=T0,Policy_Sched!$B8&lt;LastAge),1+$D$3*$E$3,1))</f>
        <v>0.75</v>
      </c>
      <c r="D8" s="36">
        <f>IF($A8&gt;LastT,0,IF($C$3="up",MIN(Policy_Sched!$E8*(1+IF($A8&gt;=T0,$E$3,0)),$F$3),IF($C$3="down",MAX(Policy_Sched!$E8*(1-IF($A8&gt;=T0,$E$3,0)),Policy_Sched!$E8-$F$3),Policy_Sched!$E8)))</f>
        <v>0.08</v>
      </c>
      <c r="E8" s="37">
        <f t="shared" ref="E8:E39" si="17">IF($A8&gt;LastT,0,J7-K7-L7)</f>
        <v>0.91959575000000005</v>
      </c>
      <c r="F8" s="37">
        <f t="shared" si="0"/>
        <v>0</v>
      </c>
      <c r="G8" s="37">
        <f t="shared" si="1"/>
        <v>0.91959575000000005</v>
      </c>
      <c r="H8" s="37">
        <f t="shared" si="2"/>
        <v>0</v>
      </c>
      <c r="I8" s="37">
        <f t="shared" si="3"/>
        <v>0</v>
      </c>
      <c r="J8" s="37">
        <f t="shared" si="4"/>
        <v>0.91959575000000005</v>
      </c>
      <c r="K8" s="37">
        <f>IF($A8&gt;LastT,0,J8*Policy_Sched!$C8*Policy_Sched!$D8*C8)</f>
        <v>3.9588597037499998E-4</v>
      </c>
      <c r="L8" s="41">
        <f t="shared" si="5"/>
        <v>7.3567660000000007E-2</v>
      </c>
      <c r="M8" s="38">
        <f t="shared" si="6"/>
        <v>1035.7416990934148</v>
      </c>
      <c r="N8" s="38">
        <f t="shared" si="7"/>
        <v>3286.7914584083114</v>
      </c>
      <c r="O8" s="38">
        <f t="shared" si="8"/>
        <v>395.885970375</v>
      </c>
      <c r="P8" s="38">
        <f>Policy_Sched!$I8*(L8+I8)</f>
        <v>48.01933525235895</v>
      </c>
      <c r="Q8" s="42">
        <f t="shared" si="9"/>
        <v>443.90530562735893</v>
      </c>
      <c r="R8" s="38">
        <f t="shared" si="10"/>
        <v>0</v>
      </c>
      <c r="S8" s="38">
        <f t="shared" si="11"/>
        <v>0</v>
      </c>
      <c r="T8" s="38">
        <f>Policy_Sched!$J8*J8</f>
        <v>164.33957292041558</v>
      </c>
      <c r="U8" s="42">
        <f t="shared" si="12"/>
        <v>952.46366458408318</v>
      </c>
      <c r="V8" s="42">
        <f t="shared" si="13"/>
        <v>1116.8032375044988</v>
      </c>
      <c r="W8" s="38">
        <f>IF($A8&gt;LastT,0,N8+W9/(1+Policy_Sched!$K8))</f>
        <v>26169.215708492324</v>
      </c>
      <c r="X8" s="38">
        <f>IF($A8&gt;LastT,0,(-Q8+X9)/(1+Policy_Sched!$K8))</f>
        <v>-5343.9837708228861</v>
      </c>
      <c r="Y8" s="38">
        <f>IF($A8&gt;LastT,0,-V8+Y9/(1+Policy_Sched!$K8))</f>
        <v>-8153.761960149568</v>
      </c>
      <c r="Z8" s="42">
        <f t="shared" si="14"/>
        <v>12671.46997751987</v>
      </c>
      <c r="AA8" s="38">
        <f>IF($A8&gt;LastT,0,N8-V8-Q8/(1+Policy_Sched!$K8)+Z9/(1+Policy_Sched!$K8))</f>
        <v>12671.469977519868</v>
      </c>
    </row>
    <row r="9" spans="1:27" x14ac:dyDescent="0.2">
      <c r="A9" s="30">
        <f t="shared" si="15"/>
        <v>2</v>
      </c>
      <c r="B9" s="31">
        <f t="shared" si="16"/>
        <v>1</v>
      </c>
      <c r="C9" s="31">
        <f>IF($A9&gt;LastT,0,IF(AND($D$3&lt;&gt;0,$A9&gt;=T0,Policy_Sched!$B9&lt;LastAge),1+$D$3*$E$3,1))</f>
        <v>0.75</v>
      </c>
      <c r="D9" s="36">
        <f>IF($A9&gt;LastT,0,IF($C$3="up",MIN(Policy_Sched!$E9*(1+IF($A9&gt;=T0,$E$3,0)),$F$3),IF($C$3="down",MAX(Policy_Sched!$E9*(1-IF($A9&gt;=T0,$E$3,0)),Policy_Sched!$E9-$F$3),Policy_Sched!$E9)))</f>
        <v>0.08</v>
      </c>
      <c r="E9" s="37">
        <f t="shared" si="17"/>
        <v>0.84563220402962502</v>
      </c>
      <c r="F9" s="37">
        <f t="shared" si="0"/>
        <v>0</v>
      </c>
      <c r="G9" s="37">
        <f t="shared" si="1"/>
        <v>0.84563220402962502</v>
      </c>
      <c r="H9" s="37">
        <f t="shared" si="2"/>
        <v>0</v>
      </c>
      <c r="I9" s="37">
        <f t="shared" si="3"/>
        <v>0</v>
      </c>
      <c r="J9" s="37">
        <f t="shared" si="4"/>
        <v>0.84563220402962502</v>
      </c>
      <c r="K9" s="37">
        <f>IF($A9&gt;LastT,0,J9*Policy_Sched!$C9*Policy_Sched!$D9*C9)</f>
        <v>3.9068207826168679E-4</v>
      </c>
      <c r="L9" s="41">
        <f t="shared" si="5"/>
        <v>6.765057632237001E-2</v>
      </c>
      <c r="M9" s="38">
        <f t="shared" si="6"/>
        <v>1035.7416990934148</v>
      </c>
      <c r="N9" s="38">
        <f t="shared" si="7"/>
        <v>3022.4331780128014</v>
      </c>
      <c r="O9" s="38">
        <f t="shared" si="8"/>
        <v>390.6820782616868</v>
      </c>
      <c r="P9" s="38">
        <f>Policy_Sched!$I9*(L9+I9)</f>
        <v>70.297577914496742</v>
      </c>
      <c r="Q9" s="42">
        <f t="shared" si="9"/>
        <v>460.97965617618354</v>
      </c>
      <c r="R9" s="38">
        <f t="shared" si="10"/>
        <v>0</v>
      </c>
      <c r="S9" s="38">
        <f t="shared" si="11"/>
        <v>0</v>
      </c>
      <c r="T9" s="38">
        <f>Policy_Sched!$J9*J9</f>
        <v>151.12165890064009</v>
      </c>
      <c r="U9" s="42">
        <f t="shared" si="12"/>
        <v>875.85653580975304</v>
      </c>
      <c r="V9" s="42">
        <f t="shared" si="13"/>
        <v>1026.9781947103932</v>
      </c>
      <c r="W9" s="38">
        <f>IF($A9&gt;LastT,0,N9+W10/(1+Policy_Sched!$K9))</f>
        <v>23225.660613835269</v>
      </c>
      <c r="X9" s="38">
        <f>IF($A9&gt;LastT,0,(-Q9+X10)/(1+Policy_Sched!$K9))</f>
        <v>-4980.2382217578697</v>
      </c>
      <c r="Y9" s="38">
        <f>IF($A9&gt;LastT,0,-V9+Y10/(1+Policy_Sched!$K9))</f>
        <v>-7142.5131034847445</v>
      </c>
      <c r="Z9" s="42">
        <f t="shared" si="14"/>
        <v>11102.909288592655</v>
      </c>
      <c r="AA9" s="38">
        <f>IF($A9&gt;LastT,0,N9-V9-Q9/(1+Policy_Sched!$K9)+Z10/(1+Policy_Sched!$K9))</f>
        <v>11102.909288592655</v>
      </c>
    </row>
    <row r="10" spans="1:27" x14ac:dyDescent="0.2">
      <c r="A10" s="30">
        <f t="shared" si="15"/>
        <v>3</v>
      </c>
      <c r="B10" s="31">
        <f t="shared" si="16"/>
        <v>1</v>
      </c>
      <c r="C10" s="31">
        <f>IF($A10&gt;LastT,0,IF(AND($D$3&lt;&gt;0,$A10&gt;=T0,Policy_Sched!$B10&lt;LastAge),1+$D$3*$E$3,1))</f>
        <v>0.75</v>
      </c>
      <c r="D10" s="36">
        <f>IF($A10&gt;LastT,0,IF($C$3="up",MIN(Policy_Sched!$E10*(1+IF($A10&gt;=T0,$E$3,0)),$F$3),IF($C$3="down",MAX(Policy_Sched!$E10*(1-IF($A10&gt;=T0,$E$3,0)),Policy_Sched!$E10-$F$3),Policy_Sched!$E10)))</f>
        <v>0.08</v>
      </c>
      <c r="E10" s="37">
        <f t="shared" si="17"/>
        <v>0.77759094562899334</v>
      </c>
      <c r="F10" s="37">
        <f t="shared" si="0"/>
        <v>0</v>
      </c>
      <c r="G10" s="37">
        <f t="shared" si="1"/>
        <v>0.77759094562899334</v>
      </c>
      <c r="H10" s="37">
        <f t="shared" si="2"/>
        <v>0</v>
      </c>
      <c r="I10" s="37">
        <f t="shared" si="3"/>
        <v>0</v>
      </c>
      <c r="J10" s="37">
        <f t="shared" si="4"/>
        <v>0.77759094562899334</v>
      </c>
      <c r="K10" s="37">
        <f>IF($A10&gt;LastT,0,J10*Policy_Sched!$C10*Policy_Sched!$D10*C10)</f>
        <v>3.7557642673880377E-4</v>
      </c>
      <c r="L10" s="41">
        <f t="shared" si="5"/>
        <v>6.2207275650319471E-2</v>
      </c>
      <c r="M10" s="38">
        <f t="shared" si="6"/>
        <v>1035.7416990934148</v>
      </c>
      <c r="N10" s="38">
        <f t="shared" si="7"/>
        <v>2779.2421596435356</v>
      </c>
      <c r="O10" s="38">
        <f t="shared" si="8"/>
        <v>375.57642673880378</v>
      </c>
      <c r="P10" s="38">
        <f>Policy_Sched!$I10*(L10+I10)</f>
        <v>86.265444972695363</v>
      </c>
      <c r="Q10" s="42">
        <f t="shared" si="9"/>
        <v>461.84187171149915</v>
      </c>
      <c r="R10" s="38">
        <f t="shared" si="10"/>
        <v>0</v>
      </c>
      <c r="S10" s="38">
        <f t="shared" si="11"/>
        <v>0</v>
      </c>
      <c r="T10" s="38">
        <f>Policy_Sched!$J10*J10</f>
        <v>138.96210798217678</v>
      </c>
      <c r="U10" s="42">
        <f t="shared" si="12"/>
        <v>805.38336722542874</v>
      </c>
      <c r="V10" s="42">
        <f t="shared" si="13"/>
        <v>944.34547520760555</v>
      </c>
      <c r="W10" s="38">
        <f>IF($A10&gt;LastT,0,N10+W11/(1+Policy_Sched!$K10))</f>
        <v>20506.275847359804</v>
      </c>
      <c r="X10" s="38">
        <f>IF($A10&gt;LastT,0,(-Q10+X11)/(1+Policy_Sched!$K10))</f>
        <v>-4593.9621389080539</v>
      </c>
      <c r="Y10" s="38">
        <f>IF($A10&gt;LastT,0,-V10+Y11/(1+Policy_Sched!$K10))</f>
        <v>-6207.2679324059663</v>
      </c>
      <c r="Z10" s="42">
        <f t="shared" si="14"/>
        <v>9705.045776045783</v>
      </c>
      <c r="AA10" s="38">
        <f>IF($A10&gt;LastT,0,N10-V10-Q10/(1+Policy_Sched!$K10)+Z11/(1+Policy_Sched!$K10))</f>
        <v>9705.0457760457848</v>
      </c>
    </row>
    <row r="11" spans="1:27" x14ac:dyDescent="0.2">
      <c r="A11" s="30">
        <f t="shared" si="15"/>
        <v>4</v>
      </c>
      <c r="B11" s="31">
        <f t="shared" si="16"/>
        <v>1</v>
      </c>
      <c r="C11" s="31">
        <f>IF($A11&gt;LastT,0,IF(AND($D$3&lt;&gt;0,$A11&gt;=T0,Policy_Sched!$B11&lt;LastAge),1+$D$3*$E$3,1))</f>
        <v>0.75</v>
      </c>
      <c r="D11" s="36">
        <f>IF($A11&gt;LastT,0,IF($C$3="up",MIN(Policy_Sched!$E11*(1+IF($A11&gt;=T0,$E$3,0)),$F$3),IF($C$3="down",MAX(Policy_Sched!$E11*(1-IF($A11&gt;=T0,$E$3,0)),Policy_Sched!$E11-$F$3),Policy_Sched!$E11)))</f>
        <v>0.08</v>
      </c>
      <c r="E11" s="37">
        <f t="shared" si="17"/>
        <v>0.71500809355193506</v>
      </c>
      <c r="F11" s="37">
        <f t="shared" si="0"/>
        <v>0</v>
      </c>
      <c r="G11" s="37">
        <f t="shared" si="1"/>
        <v>0.71500809355193506</v>
      </c>
      <c r="H11" s="37">
        <f t="shared" si="2"/>
        <v>0</v>
      </c>
      <c r="I11" s="37">
        <f t="shared" si="3"/>
        <v>0</v>
      </c>
      <c r="J11" s="37">
        <f t="shared" si="4"/>
        <v>0.71500809355193506</v>
      </c>
      <c r="K11" s="37">
        <f>IF($A11&gt;LastT,0,J11*Policy_Sched!$C11*Policy_Sched!$D11*C11)</f>
        <v>3.5661028665902761E-4</v>
      </c>
      <c r="L11" s="41">
        <f t="shared" si="5"/>
        <v>5.7200647484154807E-2</v>
      </c>
      <c r="M11" s="38">
        <f t="shared" si="6"/>
        <v>1035.7416990934148</v>
      </c>
      <c r="N11" s="38">
        <f t="shared" si="7"/>
        <v>2555.5604129089447</v>
      </c>
      <c r="O11" s="38">
        <f t="shared" si="8"/>
        <v>356.61028665902762</v>
      </c>
      <c r="P11" s="38">
        <f>Policy_Sched!$I11*(L11+I11)</f>
        <v>97.790987593127937</v>
      </c>
      <c r="Q11" s="42">
        <f t="shared" si="9"/>
        <v>454.40127425215553</v>
      </c>
      <c r="R11" s="38">
        <f t="shared" si="10"/>
        <v>0</v>
      </c>
      <c r="S11" s="38">
        <f t="shared" si="11"/>
        <v>0</v>
      </c>
      <c r="T11" s="38">
        <f>Policy_Sched!$J11*J11</f>
        <v>127.77802064544724</v>
      </c>
      <c r="U11" s="42">
        <f t="shared" si="12"/>
        <v>740.56369768102456</v>
      </c>
      <c r="V11" s="42">
        <f t="shared" si="13"/>
        <v>868.34171832647178</v>
      </c>
      <c r="W11" s="38">
        <f>IF($A11&gt;LastT,0,N11+W12/(1+Policy_Sched!$K11))</f>
        <v>17992.939193032013</v>
      </c>
      <c r="X11" s="38">
        <f>IF($A11&gt;LastT,0,(-Q11+X12)/(1+Policy_Sched!$K11))</f>
        <v>-4201.029699280175</v>
      </c>
      <c r="Y11" s="38">
        <f>IF($A11&gt;LastT,0,-V11+Y12/(1+Policy_Sched!$K11))</f>
        <v>-5341.8662940563354</v>
      </c>
      <c r="Z11" s="42">
        <f t="shared" si="14"/>
        <v>8450.0431996955012</v>
      </c>
      <c r="AA11" s="38">
        <f>IF($A11&gt;LastT,0,N11-V11-Q11/(1+Policy_Sched!$K11)+Z12/(1+Policy_Sched!$K11))</f>
        <v>8450.0431996955012</v>
      </c>
    </row>
    <row r="12" spans="1:27" x14ac:dyDescent="0.2">
      <c r="A12" s="30">
        <f t="shared" si="15"/>
        <v>5</v>
      </c>
      <c r="B12" s="31">
        <f t="shared" si="16"/>
        <v>1</v>
      </c>
      <c r="C12" s="31">
        <f>IF($A12&gt;LastT,0,IF(AND($D$3&lt;&gt;0,$A12&gt;=T0,Policy_Sched!$B12&lt;LastAge),1+$D$3*$E$3,1))</f>
        <v>0.75</v>
      </c>
      <c r="D12" s="36">
        <f>IF($A12&gt;LastT,0,IF($C$3="up",MIN(Policy_Sched!$E12*(1+IF($A12&gt;=T0,$E$3,0)),$F$3),IF($C$3="down",MAX(Policy_Sched!$E12*(1-IF($A12&gt;=T0,$E$3,0)),Policy_Sched!$E12-$F$3),Policy_Sched!$E12)))</f>
        <v>0.08</v>
      </c>
      <c r="E12" s="37">
        <f t="shared" si="17"/>
        <v>0.65745083578112129</v>
      </c>
      <c r="F12" s="37">
        <f t="shared" si="0"/>
        <v>0</v>
      </c>
      <c r="G12" s="37">
        <f t="shared" si="1"/>
        <v>0.65745083578112129</v>
      </c>
      <c r="H12" s="37">
        <f t="shared" si="2"/>
        <v>0</v>
      </c>
      <c r="I12" s="37">
        <f t="shared" si="3"/>
        <v>0</v>
      </c>
      <c r="J12" s="37">
        <f t="shared" si="4"/>
        <v>0.65745083578112129</v>
      </c>
      <c r="K12" s="37">
        <f>IF($A12&gt;LastT,0,J12*Policy_Sched!$C12*Policy_Sched!$D12*C12)</f>
        <v>3.4171007189723774E-4</v>
      </c>
      <c r="L12" s="41">
        <f t="shared" si="5"/>
        <v>5.2596066862489702E-2</v>
      </c>
      <c r="M12" s="38">
        <f t="shared" si="6"/>
        <v>1035.7416990934148</v>
      </c>
      <c r="N12" s="38">
        <f t="shared" si="7"/>
        <v>2349.8409941202913</v>
      </c>
      <c r="O12" s="38">
        <f t="shared" si="8"/>
        <v>341.71007189723775</v>
      </c>
      <c r="P12" s="38">
        <f>Policy_Sched!$I12*(L12+I12)</f>
        <v>105.56021868206021</v>
      </c>
      <c r="Q12" s="42">
        <f t="shared" si="9"/>
        <v>447.27029057929798</v>
      </c>
      <c r="R12" s="38">
        <f t="shared" si="10"/>
        <v>0</v>
      </c>
      <c r="S12" s="38">
        <f t="shared" si="11"/>
        <v>0</v>
      </c>
      <c r="T12" s="38">
        <f>Policy_Sched!$J12*J12</f>
        <v>0</v>
      </c>
      <c r="U12" s="42">
        <f t="shared" si="12"/>
        <v>680.94924572232424</v>
      </c>
      <c r="V12" s="42">
        <f t="shared" si="13"/>
        <v>680.94924572232424</v>
      </c>
      <c r="W12" s="38">
        <f>IF($A12&gt;LastT,0,N12+W13/(1+Policy_Sched!$K12))</f>
        <v>15668.939461824912</v>
      </c>
      <c r="X12" s="38">
        <f>IF($A12&gt;LastT,0,(-Q12+X13)/(1+Policy_Sched!$K12))</f>
        <v>-3809.6438705172218</v>
      </c>
      <c r="Y12" s="38">
        <f>IF($A12&gt;LastT,0,-V12+Y13/(1+Policy_Sched!$K12))</f>
        <v>-4540.6274443658112</v>
      </c>
      <c r="Z12" s="42">
        <f t="shared" si="14"/>
        <v>7318.6681469418781</v>
      </c>
      <c r="AA12" s="38">
        <f>IF($A12&gt;LastT,0,N12-V12-Q12/(1+Policy_Sched!$K12)+Z13/(1+Policy_Sched!$K12))</f>
        <v>7318.6681469418781</v>
      </c>
    </row>
    <row r="13" spans="1:27" x14ac:dyDescent="0.2">
      <c r="A13" s="30">
        <f t="shared" si="15"/>
        <v>6</v>
      </c>
      <c r="B13" s="31">
        <f t="shared" si="16"/>
        <v>1</v>
      </c>
      <c r="C13" s="31">
        <f>IF($A13&gt;LastT,0,IF(AND($D$3&lt;&gt;0,$A13&gt;=T0,Policy_Sched!$B13&lt;LastAge),1+$D$3*$E$3,1))</f>
        <v>0.75</v>
      </c>
      <c r="D13" s="36">
        <f>IF($A13&gt;LastT,0,IF($C$3="up",MIN(Policy_Sched!$E13*(1+IF($A13&gt;=T0,$E$3,0)),$F$3),IF($C$3="down",MAX(Policy_Sched!$E13*(1-IF($A13&gt;=T0,$E$3,0)),Policy_Sched!$E13-$F$3),Policy_Sched!$E13)))</f>
        <v>0.08</v>
      </c>
      <c r="E13" s="37">
        <f t="shared" si="17"/>
        <v>0.60451305884673434</v>
      </c>
      <c r="F13" s="37">
        <f t="shared" si="0"/>
        <v>0</v>
      </c>
      <c r="G13" s="37">
        <f t="shared" si="1"/>
        <v>0.60451305884673434</v>
      </c>
      <c r="H13" s="37">
        <f t="shared" si="2"/>
        <v>0</v>
      </c>
      <c r="I13" s="37">
        <f t="shared" si="3"/>
        <v>0</v>
      </c>
      <c r="J13" s="37">
        <f t="shared" si="4"/>
        <v>0.60451305884673434</v>
      </c>
      <c r="K13" s="37">
        <f>IF($A13&gt;LastT,0,J13*Policy_Sched!$C13*Policy_Sched!$D13*C13)</f>
        <v>3.332378236892622E-4</v>
      </c>
      <c r="L13" s="41">
        <f t="shared" si="5"/>
        <v>4.8361044707738748E-2</v>
      </c>
      <c r="M13" s="38">
        <f t="shared" si="6"/>
        <v>1035.7416990934148</v>
      </c>
      <c r="N13" s="38">
        <f t="shared" si="7"/>
        <v>2160.6323847339736</v>
      </c>
      <c r="O13" s="38">
        <f t="shared" si="8"/>
        <v>333.2378236892622</v>
      </c>
      <c r="P13" s="38">
        <f>Policy_Sched!$I13*(L13+I13)</f>
        <v>109.43729566195456</v>
      </c>
      <c r="Q13" s="42">
        <f t="shared" si="9"/>
        <v>442.67511935121678</v>
      </c>
      <c r="R13" s="38">
        <f t="shared" si="10"/>
        <v>0</v>
      </c>
      <c r="S13" s="38">
        <f t="shared" si="11"/>
        <v>0</v>
      </c>
      <c r="T13" s="38">
        <f>Policy_Sched!$J13*J13</f>
        <v>0</v>
      </c>
      <c r="U13" s="42">
        <f t="shared" si="12"/>
        <v>626.11938269407403</v>
      </c>
      <c r="V13" s="42">
        <f t="shared" si="13"/>
        <v>626.11938269407403</v>
      </c>
      <c r="W13" s="38">
        <f>IF($A13&gt;LastT,0,N13+W14/(1+Policy_Sched!$K13))</f>
        <v>13518.884944720188</v>
      </c>
      <c r="X13" s="38">
        <f>IF($A13&gt;LastT,0,(-Q13+X14)/(1+Policy_Sched!$K13))</f>
        <v>-3419.5182379956818</v>
      </c>
      <c r="Y13" s="38">
        <f>IF($A13&gt;LastT,0,-V13+Y14/(1+Policy_Sched!$K13))</f>
        <v>-3917.5733716231389</v>
      </c>
      <c r="Z13" s="42">
        <f t="shared" si="14"/>
        <v>6181.7933351013671</v>
      </c>
      <c r="AA13" s="38">
        <f>IF($A13&gt;LastT,0,N13-V13-Q13/(1+Policy_Sched!$K13)+Z14/(1+Policy_Sched!$K13))</f>
        <v>6181.793335101368</v>
      </c>
    </row>
    <row r="14" spans="1:27" x14ac:dyDescent="0.2">
      <c r="A14" s="30">
        <f t="shared" si="15"/>
        <v>7</v>
      </c>
      <c r="B14" s="31">
        <f t="shared" si="16"/>
        <v>1</v>
      </c>
      <c r="C14" s="31">
        <f>IF($A14&gt;LastT,0,IF(AND($D$3&lt;&gt;0,$A14&gt;=T0,Policy_Sched!$B14&lt;LastAge),1+$D$3*$E$3,1))</f>
        <v>0.75</v>
      </c>
      <c r="D14" s="36">
        <f>IF($A14&gt;LastT,0,IF($C$3="up",MIN(Policy_Sched!$E14*(1+IF($A14&gt;=T0,$E$3,0)),$F$3),IF($C$3="down",MAX(Policy_Sched!$E14*(1-IF($A14&gt;=T0,$E$3,0)),Policy_Sched!$E14-$F$3),Policy_Sched!$E14)))</f>
        <v>0.08</v>
      </c>
      <c r="E14" s="37">
        <f t="shared" si="17"/>
        <v>0.55581877631530641</v>
      </c>
      <c r="F14" s="37">
        <f t="shared" si="0"/>
        <v>0</v>
      </c>
      <c r="G14" s="37">
        <f t="shared" si="1"/>
        <v>0.55581877631530641</v>
      </c>
      <c r="H14" s="37">
        <f t="shared" si="2"/>
        <v>0</v>
      </c>
      <c r="I14" s="37">
        <f t="shared" si="3"/>
        <v>0</v>
      </c>
      <c r="J14" s="37">
        <f t="shared" si="4"/>
        <v>0.55581877631530641</v>
      </c>
      <c r="K14" s="37">
        <f>IF($A14&gt;LastT,0,J14*Policy_Sched!$C14*Policy_Sched!$D14*C14)</f>
        <v>3.326575376247109E-4</v>
      </c>
      <c r="L14" s="41">
        <f t="shared" si="5"/>
        <v>4.4465502105224514E-2</v>
      </c>
      <c r="M14" s="38">
        <f t="shared" si="6"/>
        <v>1035.7416990934148</v>
      </c>
      <c r="N14" s="38">
        <f t="shared" si="7"/>
        <v>1986.5907453531715</v>
      </c>
      <c r="O14" s="38">
        <f t="shared" si="8"/>
        <v>332.65753762471093</v>
      </c>
      <c r="P14" s="38">
        <f>Policy_Sched!$I14*(L14+I14)</f>
        <v>108.97529392832138</v>
      </c>
      <c r="Q14" s="42">
        <f t="shared" si="9"/>
        <v>441.6328315530323</v>
      </c>
      <c r="R14" s="38">
        <f t="shared" si="10"/>
        <v>0</v>
      </c>
      <c r="S14" s="38">
        <f t="shared" si="11"/>
        <v>0</v>
      </c>
      <c r="T14" s="38">
        <f>Policy_Sched!$J14*J14</f>
        <v>0</v>
      </c>
      <c r="U14" s="42">
        <f t="shared" si="12"/>
        <v>575.68468376883811</v>
      </c>
      <c r="V14" s="42">
        <f t="shared" si="13"/>
        <v>575.68468376883811</v>
      </c>
      <c r="W14" s="38">
        <f>IF($A14&gt;LastT,0,N14+W15/(1+Policy_Sched!$K14))</f>
        <v>11528.626348386008</v>
      </c>
      <c r="X14" s="38">
        <f>IF($A14&gt;LastT,0,(-Q14+X15)/(1+Policy_Sched!$K14))</f>
        <v>-3028.1358922144</v>
      </c>
      <c r="Y14" s="38">
        <f>IF($A14&gt;LastT,0,-V14+Y15/(1+Policy_Sched!$K14))</f>
        <v>-3340.8257987630004</v>
      </c>
      <c r="Z14" s="42">
        <f t="shared" si="14"/>
        <v>5159.6646574086071</v>
      </c>
      <c r="AA14" s="38">
        <f>IF($A14&gt;LastT,0,N14-V14-Q14/(1+Policy_Sched!$K14)+Z15/(1+Policy_Sched!$K14))</f>
        <v>5159.664657408608</v>
      </c>
    </row>
    <row r="15" spans="1:27" x14ac:dyDescent="0.2">
      <c r="A15" s="30">
        <f t="shared" si="15"/>
        <v>8</v>
      </c>
      <c r="B15" s="31">
        <f t="shared" si="16"/>
        <v>1</v>
      </c>
      <c r="C15" s="31">
        <f>IF($A15&gt;LastT,0,IF(AND($D$3&lt;&gt;0,$A15&gt;=T0,Policy_Sched!$B15&lt;LastAge),1+$D$3*$E$3,1))</f>
        <v>0.75</v>
      </c>
      <c r="D15" s="36">
        <f>IF($A15&gt;LastT,0,IF($C$3="up",MIN(Policy_Sched!$E15*(1+IF($A15&gt;=T0,$E$3,0)),$F$3),IF($C$3="down",MAX(Policy_Sched!$E15*(1-IF($A15&gt;=T0,$E$3,0)),Policy_Sched!$E15-$F$3),Policy_Sched!$E15)))</f>
        <v>0.08</v>
      </c>
      <c r="E15" s="37">
        <f t="shared" si="17"/>
        <v>0.51102061667245724</v>
      </c>
      <c r="F15" s="37">
        <f t="shared" si="0"/>
        <v>0</v>
      </c>
      <c r="G15" s="37">
        <f t="shared" si="1"/>
        <v>0.51102061667245724</v>
      </c>
      <c r="H15" s="37">
        <f t="shared" si="2"/>
        <v>0</v>
      </c>
      <c r="I15" s="37">
        <f t="shared" si="3"/>
        <v>0</v>
      </c>
      <c r="J15" s="37">
        <f t="shared" si="4"/>
        <v>0.51102061667245724</v>
      </c>
      <c r="K15" s="37">
        <f>IF($A15&gt;LastT,0,J15*Policy_Sched!$C15*Policy_Sched!$D15*C15)</f>
        <v>3.3535727969130006E-4</v>
      </c>
      <c r="L15" s="41">
        <f t="shared" si="5"/>
        <v>4.088164933379658E-2</v>
      </c>
      <c r="M15" s="38">
        <f t="shared" si="6"/>
        <v>1035.7416990934148</v>
      </c>
      <c r="N15" s="38">
        <f t="shared" si="7"/>
        <v>1826.4745111638242</v>
      </c>
      <c r="O15" s="38">
        <f t="shared" si="8"/>
        <v>335.35727969130005</v>
      </c>
      <c r="P15" s="38">
        <f>Policy_Sched!$I15*(L15+I15)</f>
        <v>103.96790176027821</v>
      </c>
      <c r="Q15" s="42">
        <f t="shared" si="9"/>
        <v>439.32518145157826</v>
      </c>
      <c r="R15" s="38">
        <f t="shared" si="10"/>
        <v>0</v>
      </c>
      <c r="S15" s="38">
        <f t="shared" si="11"/>
        <v>0</v>
      </c>
      <c r="T15" s="38">
        <f>Policy_Sched!$J15*J15</f>
        <v>0</v>
      </c>
      <c r="U15" s="42">
        <f t="shared" si="12"/>
        <v>529.28536178409547</v>
      </c>
      <c r="V15" s="42">
        <f t="shared" si="13"/>
        <v>529.28536178409547</v>
      </c>
      <c r="W15" s="38">
        <f>IF($A15&gt;LastT,0,N15+W16/(1+Policy_Sched!$K15))</f>
        <v>9685.1661370783277</v>
      </c>
      <c r="X15" s="38">
        <f>IF($A15&gt;LastT,0,(-Q15+X16)/(1+Policy_Sched!$K15))</f>
        <v>-2631.9250990445835</v>
      </c>
      <c r="Y15" s="38">
        <f>IF($A15&gt;LastT,0,-V15+Y16/(1+Policy_Sched!$K15))</f>
        <v>-2806.6182317190746</v>
      </c>
      <c r="Z15" s="42">
        <f t="shared" si="14"/>
        <v>4246.62280631467</v>
      </c>
      <c r="AA15" s="38">
        <f>IF($A15&gt;LastT,0,N15-V15-Q15/(1+Policy_Sched!$K15)+Z16/(1+Policy_Sched!$K15))</f>
        <v>4246.6228063146691</v>
      </c>
    </row>
    <row r="16" spans="1:27" x14ac:dyDescent="0.2">
      <c r="A16" s="30">
        <f t="shared" si="15"/>
        <v>9</v>
      </c>
      <c r="B16" s="31">
        <f t="shared" si="16"/>
        <v>1</v>
      </c>
      <c r="C16" s="31">
        <f>IF($A16&gt;LastT,0,IF(AND($D$3&lt;&gt;0,$A16&gt;=T0,Policy_Sched!$B16&lt;LastAge),1+$D$3*$E$3,1))</f>
        <v>0.75</v>
      </c>
      <c r="D16" s="36">
        <f>IF($A16&gt;LastT,0,IF($C$3="up",MIN(Policy_Sched!$E16*(1+IF($A16&gt;=T0,$E$3,0)),$F$3),IF($C$3="down",MAX(Policy_Sched!$E16*(1-IF($A16&gt;=T0,$E$3,0)),Policy_Sched!$E16-$F$3),Policy_Sched!$E16)))</f>
        <v>0.08</v>
      </c>
      <c r="E16" s="37">
        <f t="shared" si="17"/>
        <v>0.46980361005896942</v>
      </c>
      <c r="F16" s="37">
        <f t="shared" si="0"/>
        <v>0</v>
      </c>
      <c r="G16" s="37">
        <f t="shared" si="1"/>
        <v>0.46980361005896942</v>
      </c>
      <c r="H16" s="37">
        <f t="shared" si="2"/>
        <v>0</v>
      </c>
      <c r="I16" s="37">
        <f t="shared" si="3"/>
        <v>0</v>
      </c>
      <c r="J16" s="37">
        <f t="shared" si="4"/>
        <v>0.46980361005896942</v>
      </c>
      <c r="K16" s="37">
        <f>IF($A16&gt;LastT,0,J16*Policy_Sched!$C16*Policy_Sched!$D16*C16)</f>
        <v>3.3543977758210421E-4</v>
      </c>
      <c r="L16" s="41">
        <f t="shared" si="5"/>
        <v>3.7584288804717557E-2</v>
      </c>
      <c r="M16" s="38">
        <f t="shared" si="6"/>
        <v>1035.7416990934148</v>
      </c>
      <c r="N16" s="38">
        <f t="shared" si="7"/>
        <v>1679.1579263727672</v>
      </c>
      <c r="O16" s="38">
        <f t="shared" si="8"/>
        <v>335.43977758210423</v>
      </c>
      <c r="P16" s="38">
        <f>Policy_Sched!$I16*(L16+I16)</f>
        <v>94.971462206858419</v>
      </c>
      <c r="Q16" s="42">
        <f t="shared" si="9"/>
        <v>430.41123978896263</v>
      </c>
      <c r="R16" s="38">
        <f t="shared" si="10"/>
        <v>0</v>
      </c>
      <c r="S16" s="38">
        <f t="shared" si="11"/>
        <v>0</v>
      </c>
      <c r="T16" s="38">
        <f>Policy_Sched!$J16*J16</f>
        <v>0</v>
      </c>
      <c r="U16" s="42">
        <f t="shared" si="12"/>
        <v>486.59518932269708</v>
      </c>
      <c r="V16" s="42">
        <f t="shared" si="13"/>
        <v>486.59518932269708</v>
      </c>
      <c r="W16" s="38">
        <f>IF($A16&gt;LastT,0,N16+W17/(1+Policy_Sched!$K16))</f>
        <v>7976.5720003032193</v>
      </c>
      <c r="X16" s="38">
        <f>IF($A16&gt;LastT,0,(-Q16+X17)/(1+Policy_Sched!$K16))</f>
        <v>-2232.0787940786736</v>
      </c>
      <c r="Y16" s="38">
        <f>IF($A16&gt;LastT,0,-V16+Y17/(1+Policy_Sched!$K16))</f>
        <v>-2311.4928629840033</v>
      </c>
      <c r="Z16" s="42">
        <f t="shared" si="14"/>
        <v>3433.0003432405424</v>
      </c>
      <c r="AA16" s="38">
        <f>IF($A16&gt;LastT,0,N16-V16-Q16/(1+Policy_Sched!$K16)+Z17/(1+Policy_Sched!$K16))</f>
        <v>3433.000343240542</v>
      </c>
    </row>
    <row r="17" spans="1:27" x14ac:dyDescent="0.2">
      <c r="A17" s="30">
        <f t="shared" si="15"/>
        <v>10</v>
      </c>
      <c r="B17" s="31">
        <f t="shared" si="16"/>
        <v>1</v>
      </c>
      <c r="C17" s="31">
        <f>IF($A17&gt;LastT,0,IF(AND($D$3&lt;&gt;0,$A17&gt;=T0,Policy_Sched!$B17&lt;LastAge),1+$D$3*$E$3,1))</f>
        <v>0.75</v>
      </c>
      <c r="D17" s="36">
        <f>IF($A17&gt;LastT,0,IF($C$3="up",MIN(Policy_Sched!$E17*(1+IF($A17&gt;=T0,$E$3,0)),$F$3),IF($C$3="down",MAX(Policy_Sched!$E17*(1-IF($A17&gt;=T0,$E$3,0)),Policy_Sched!$E17-$F$3),Policy_Sched!$E17)))</f>
        <v>0.08</v>
      </c>
      <c r="E17" s="37">
        <f t="shared" si="17"/>
        <v>0.43188388147666978</v>
      </c>
      <c r="F17" s="37">
        <f t="shared" si="0"/>
        <v>0</v>
      </c>
      <c r="G17" s="37">
        <f t="shared" si="1"/>
        <v>0.43188388147666978</v>
      </c>
      <c r="H17" s="37">
        <f t="shared" si="2"/>
        <v>0</v>
      </c>
      <c r="I17" s="37">
        <f t="shared" si="3"/>
        <v>0</v>
      </c>
      <c r="J17" s="37">
        <f t="shared" si="4"/>
        <v>0.43188388147666978</v>
      </c>
      <c r="K17" s="37">
        <f>IF($A17&gt;LastT,0,J17*Policy_Sched!$C17*Policy_Sched!$D17*C17)</f>
        <v>3.333063855296199E-4</v>
      </c>
      <c r="L17" s="41">
        <f t="shared" si="5"/>
        <v>3.4550710518133583E-2</v>
      </c>
      <c r="M17" s="38">
        <f t="shared" si="6"/>
        <v>1035.7416990934148</v>
      </c>
      <c r="N17" s="38">
        <f t="shared" si="7"/>
        <v>1543.6263735035157</v>
      </c>
      <c r="O17" s="38">
        <f t="shared" si="8"/>
        <v>333.30638552961989</v>
      </c>
      <c r="P17" s="38">
        <f>Policy_Sched!$I17*(L17+I17)</f>
        <v>82.873669431057834</v>
      </c>
      <c r="Q17" s="42">
        <f t="shared" si="9"/>
        <v>416.18005496067769</v>
      </c>
      <c r="R17" s="38">
        <f t="shared" si="10"/>
        <v>0</v>
      </c>
      <c r="S17" s="38">
        <f t="shared" si="11"/>
        <v>0</v>
      </c>
      <c r="T17" s="38">
        <f>Policy_Sched!$J17*J17</f>
        <v>0</v>
      </c>
      <c r="U17" s="42">
        <f t="shared" si="12"/>
        <v>447.32014521170493</v>
      </c>
      <c r="V17" s="42">
        <f t="shared" si="13"/>
        <v>447.32014521170493</v>
      </c>
      <c r="W17" s="38">
        <f>IF($A17&gt;LastT,0,N17+W18/(1+Policy_Sched!$K17))</f>
        <v>6391.8752850394085</v>
      </c>
      <c r="X17" s="38">
        <f>IF($A17&gt;LastT,0,(-Q17+X18)/(1+Policy_Sched!$K17))</f>
        <v>-1835.1487362008911</v>
      </c>
      <c r="Y17" s="38">
        <f>IF($A17&gt;LastT,0,-V17+Y18/(1+Policy_Sched!$K17))</f>
        <v>-1852.2711387662257</v>
      </c>
      <c r="Z17" s="42">
        <f t="shared" si="14"/>
        <v>2704.4554100722917</v>
      </c>
      <c r="AA17" s="38">
        <f>IF($A17&gt;LastT,0,N17-V17-Q17/(1+Policy_Sched!$K17)+Z18/(1+Policy_Sched!$K17))</f>
        <v>2704.4554100722917</v>
      </c>
    </row>
    <row r="18" spans="1:27" x14ac:dyDescent="0.2">
      <c r="A18" s="30">
        <f t="shared" si="15"/>
        <v>11</v>
      </c>
      <c r="B18" s="31">
        <f t="shared" si="16"/>
        <v>1</v>
      </c>
      <c r="C18" s="31">
        <f>IF($A18&gt;LastT,0,IF(AND($D$3&lt;&gt;0,$A18&gt;=T0,Policy_Sched!$B18&lt;LastAge),1+$D$3*$E$3,1))</f>
        <v>0.75</v>
      </c>
      <c r="D18" s="36">
        <f>IF($A18&gt;LastT,0,IF($C$3="up",MIN(Policy_Sched!$E18*(1+IF($A18&gt;=T0,$E$3,0)),$F$3),IF($C$3="down",MAX(Policy_Sched!$E18*(1-IF($A18&gt;=T0,$E$3,0)),Policy_Sched!$E18-$F$3),Policy_Sched!$E18)))</f>
        <v>0.08</v>
      </c>
      <c r="E18" s="37">
        <f t="shared" si="17"/>
        <v>0.39699986457300657</v>
      </c>
      <c r="F18" s="37">
        <f t="shared" si="0"/>
        <v>0</v>
      </c>
      <c r="G18" s="37">
        <f t="shared" si="1"/>
        <v>0.39699986457300657</v>
      </c>
      <c r="H18" s="37">
        <f t="shared" si="2"/>
        <v>0</v>
      </c>
      <c r="I18" s="37">
        <f t="shared" si="3"/>
        <v>0</v>
      </c>
      <c r="J18" s="37">
        <f t="shared" si="4"/>
        <v>0.39699986457300657</v>
      </c>
      <c r="K18" s="37">
        <f>IF($A18&gt;LastT,0,J18*Policy_Sched!$C18*Policy_Sched!$D18*C18)</f>
        <v>3.3139563695231723E-4</v>
      </c>
      <c r="L18" s="41">
        <f t="shared" si="5"/>
        <v>3.1759989165840524E-2</v>
      </c>
      <c r="M18" s="38">
        <f t="shared" si="6"/>
        <v>1035.7416990934148</v>
      </c>
      <c r="N18" s="38">
        <f t="shared" si="7"/>
        <v>1418.9449699694831</v>
      </c>
      <c r="O18" s="38">
        <f t="shared" si="8"/>
        <v>331.3956369523172</v>
      </c>
      <c r="P18" s="38">
        <f>Policy_Sched!$I18*(L18+I18)</f>
        <v>68.273073138472824</v>
      </c>
      <c r="Q18" s="42">
        <f t="shared" si="9"/>
        <v>399.66871009079</v>
      </c>
      <c r="R18" s="38">
        <f t="shared" si="10"/>
        <v>0</v>
      </c>
      <c r="S18" s="38">
        <f t="shared" si="11"/>
        <v>0</v>
      </c>
      <c r="T18" s="38">
        <f>Policy_Sched!$J18*J18</f>
        <v>0</v>
      </c>
      <c r="U18" s="42">
        <f t="shared" si="12"/>
        <v>411.18931427270138</v>
      </c>
      <c r="V18" s="42">
        <f t="shared" si="13"/>
        <v>411.18931427270138</v>
      </c>
      <c r="W18" s="38">
        <f>IF($A18&gt;LastT,0,N18+W19/(1+Policy_Sched!$K18))</f>
        <v>4920.9726452089308</v>
      </c>
      <c r="X18" s="38">
        <f>IF($A18&gt;LastT,0,(-Q18+X19)/(1+Policy_Sched!$K18))</f>
        <v>-1446.4959122832267</v>
      </c>
      <c r="Y18" s="38">
        <f>IF($A18&gt;LastT,0,-V18+Y19/(1+Policy_Sched!$K18))</f>
        <v>-1426.0252584578384</v>
      </c>
      <c r="Z18" s="42">
        <f t="shared" si="14"/>
        <v>2048.4514744678654</v>
      </c>
      <c r="AA18" s="38">
        <f>IF($A18&gt;LastT,0,N18-V18-Q18/(1+Policy_Sched!$K18)+Z19/(1+Policy_Sched!$K18))</f>
        <v>2048.4514744678654</v>
      </c>
    </row>
    <row r="19" spans="1:27" x14ac:dyDescent="0.2">
      <c r="A19" s="30">
        <f t="shared" si="15"/>
        <v>12</v>
      </c>
      <c r="B19" s="31">
        <f t="shared" si="16"/>
        <v>1</v>
      </c>
      <c r="C19" s="31">
        <f>IF($A19&gt;LastT,0,IF(AND($D$3&lt;&gt;0,$A19&gt;=T0,Policy_Sched!$B19&lt;LastAge),1+$D$3*$E$3,1))</f>
        <v>0.75</v>
      </c>
      <c r="D19" s="36">
        <f>IF($A19&gt;LastT,0,IF($C$3="up",MIN(Policy_Sched!$E19*(1+IF($A19&gt;=T0,$E$3,0)),$F$3),IF($C$3="down",MAX(Policy_Sched!$E19*(1-IF($A19&gt;=T0,$E$3,0)),Policy_Sched!$E19-$F$3),Policy_Sched!$E19)))</f>
        <v>0.08</v>
      </c>
      <c r="E19" s="37">
        <f t="shared" si="17"/>
        <v>0.36490847977021368</v>
      </c>
      <c r="F19" s="37">
        <f t="shared" si="0"/>
        <v>0</v>
      </c>
      <c r="G19" s="37">
        <f t="shared" si="1"/>
        <v>0.36490847977021368</v>
      </c>
      <c r="H19" s="37">
        <f t="shared" si="2"/>
        <v>0</v>
      </c>
      <c r="I19" s="37">
        <f t="shared" si="3"/>
        <v>0</v>
      </c>
      <c r="J19" s="37">
        <f t="shared" si="4"/>
        <v>0.36490847977021368</v>
      </c>
      <c r="K19" s="37">
        <f>IF($A19&gt;LastT,0,J19*Policy_Sched!$C19*Policy_Sched!$D19*C19)</f>
        <v>3.3142812675129656E-4</v>
      </c>
      <c r="L19" s="41">
        <f t="shared" si="5"/>
        <v>2.9192678381617095E-2</v>
      </c>
      <c r="M19" s="38">
        <f t="shared" si="6"/>
        <v>1035.7416990934148</v>
      </c>
      <c r="N19" s="38">
        <f t="shared" si="7"/>
        <v>1304.2449080582423</v>
      </c>
      <c r="O19" s="38">
        <f t="shared" si="8"/>
        <v>331.42812675129659</v>
      </c>
      <c r="P19" s="38">
        <f>Policy_Sched!$I19*(L19+I19)</f>
        <v>51.406169011923048</v>
      </c>
      <c r="Q19" s="42">
        <f t="shared" si="9"/>
        <v>382.83429576321964</v>
      </c>
      <c r="R19" s="38">
        <f t="shared" si="10"/>
        <v>0</v>
      </c>
      <c r="S19" s="38">
        <f t="shared" si="11"/>
        <v>0</v>
      </c>
      <c r="T19" s="38">
        <f>Policy_Sched!$J19*J19</f>
        <v>0</v>
      </c>
      <c r="U19" s="42">
        <f t="shared" si="12"/>
        <v>377.95092885079612</v>
      </c>
      <c r="V19" s="42">
        <f t="shared" si="13"/>
        <v>377.95092885079612</v>
      </c>
      <c r="W19" s="38">
        <f>IF($A19&gt;LastT,0,N19+W20/(1+Policy_Sched!$K19))</f>
        <v>3554.5580903680388</v>
      </c>
      <c r="X19" s="38">
        <f>IF($A19&gt;LastT,0,(-Q19+X20)/(1+Policy_Sched!$K19))</f>
        <v>-1068.524640876685</v>
      </c>
      <c r="Y19" s="38">
        <f>IF($A19&gt;LastT,0,-V19+Y20/(1+Policy_Sched!$K19))</f>
        <v>-1030.0584833479138</v>
      </c>
      <c r="Z19" s="42">
        <f t="shared" si="14"/>
        <v>1455.97496614344</v>
      </c>
      <c r="AA19" s="38">
        <f>IF($A19&gt;LastT,0,N19-V19-Q19/(1+Policy_Sched!$K19)+Z20/(1+Policy_Sched!$K19))</f>
        <v>1455.9749661434403</v>
      </c>
    </row>
    <row r="20" spans="1:27" x14ac:dyDescent="0.2">
      <c r="A20" s="30">
        <f t="shared" si="15"/>
        <v>13</v>
      </c>
      <c r="B20" s="31">
        <f t="shared" si="16"/>
        <v>1</v>
      </c>
      <c r="C20" s="31">
        <f>IF($A20&gt;LastT,0,IF(AND($D$3&lt;&gt;0,$A20&gt;=T0,Policy_Sched!$B20&lt;LastAge),1+$D$3*$E$3,1))</f>
        <v>0.75</v>
      </c>
      <c r="D20" s="36">
        <f>IF($A20&gt;LastT,0,IF($C$3="up",MIN(Policy_Sched!$E20*(1+IF($A20&gt;=T0,$E$3,0)),$F$3),IF($C$3="down",MAX(Policy_Sched!$E20*(1-IF($A20&gt;=T0,$E$3,0)),Policy_Sched!$E20-$F$3),Policy_Sched!$E20)))</f>
        <v>0.08</v>
      </c>
      <c r="E20" s="37">
        <f t="shared" si="17"/>
        <v>0.33538437326184528</v>
      </c>
      <c r="F20" s="37">
        <f t="shared" si="0"/>
        <v>0</v>
      </c>
      <c r="G20" s="37">
        <f t="shared" si="1"/>
        <v>0.33538437326184528</v>
      </c>
      <c r="H20" s="37">
        <f t="shared" si="2"/>
        <v>0</v>
      </c>
      <c r="I20" s="37">
        <f t="shared" si="3"/>
        <v>0</v>
      </c>
      <c r="J20" s="37">
        <f t="shared" si="4"/>
        <v>0.33538437326184528</v>
      </c>
      <c r="K20" s="37">
        <f>IF($A20&gt;LastT,0,J20*Policy_Sched!$C20*Policy_Sched!$D20*C20)</f>
        <v>3.3454591232869062E-4</v>
      </c>
      <c r="L20" s="41">
        <f t="shared" si="5"/>
        <v>2.6830749860947623E-2</v>
      </c>
      <c r="M20" s="38">
        <f t="shared" si="6"/>
        <v>1035.7416990934148</v>
      </c>
      <c r="N20" s="38">
        <f t="shared" si="7"/>
        <v>1198.7207349758389</v>
      </c>
      <c r="O20" s="38">
        <f t="shared" si="8"/>
        <v>334.54591232869063</v>
      </c>
      <c r="P20" s="38">
        <f>Policy_Sched!$I20*(L20+I20)</f>
        <v>32.263307213205444</v>
      </c>
      <c r="Q20" s="42">
        <f t="shared" si="9"/>
        <v>366.80921954189608</v>
      </c>
      <c r="R20" s="38">
        <f t="shared" si="10"/>
        <v>0</v>
      </c>
      <c r="S20" s="38">
        <f t="shared" si="11"/>
        <v>0</v>
      </c>
      <c r="T20" s="38">
        <f>Policy_Sched!$J20*J20</f>
        <v>0</v>
      </c>
      <c r="U20" s="42">
        <f t="shared" si="12"/>
        <v>347.37158061160369</v>
      </c>
      <c r="V20" s="42">
        <f t="shared" si="13"/>
        <v>347.37158061160369</v>
      </c>
      <c r="W20" s="38">
        <f>IF($A20&gt;LastT,0,N20+W21/(1+Policy_Sched!$K20))</f>
        <v>2284.0678800444434</v>
      </c>
      <c r="X20" s="38">
        <f>IF($A20&gt;LastT,0,(-Q20+X21)/(1+Policy_Sched!$K20))</f>
        <v>-701.71821472661543</v>
      </c>
      <c r="Y20" s="38">
        <f>IF($A20&gt;LastT,0,-V20+Y21/(1+Policy_Sched!$K20))</f>
        <v>-661.88916781457442</v>
      </c>
      <c r="Z20" s="42">
        <f t="shared" si="14"/>
        <v>920.46049750325358</v>
      </c>
      <c r="AA20" s="38">
        <f>IF($A20&gt;LastT,0,N20-V20-Q20/(1+Policy_Sched!$K20)+Z21/(1+Policy_Sched!$K20))</f>
        <v>920.46049750325335</v>
      </c>
    </row>
    <row r="21" spans="1:27" x14ac:dyDescent="0.2">
      <c r="A21" s="30">
        <f t="shared" si="15"/>
        <v>14</v>
      </c>
      <c r="B21" s="31">
        <f t="shared" si="16"/>
        <v>1</v>
      </c>
      <c r="C21" s="31">
        <f>IF($A21&gt;LastT,0,IF(AND($D$3&lt;&gt;0,$A21&gt;=T0,Policy_Sched!$B21&lt;LastAge),1+$D$3*$E$3,1))</f>
        <v>0.75</v>
      </c>
      <c r="D21" s="36">
        <f>IF($A21&gt;LastT,0,IF($C$3="up",MIN(Policy_Sched!$E21*(1+IF($A21&gt;=T0,$E$3,0)),$F$3),IF($C$3="down",MAX(Policy_Sched!$E21*(1-IF($A21&gt;=T0,$E$3,0)),Policy_Sched!$E21-$F$3),Policy_Sched!$E21)))</f>
        <v>0.08</v>
      </c>
      <c r="E21" s="37">
        <f t="shared" si="17"/>
        <v>0.30821907748856897</v>
      </c>
      <c r="F21" s="37">
        <f t="shared" si="0"/>
        <v>0</v>
      </c>
      <c r="G21" s="37">
        <f t="shared" si="1"/>
        <v>0.30821907748856897</v>
      </c>
      <c r="H21" s="37">
        <f t="shared" si="2"/>
        <v>0</v>
      </c>
      <c r="I21" s="37">
        <f t="shared" si="3"/>
        <v>0</v>
      </c>
      <c r="J21" s="37">
        <f t="shared" si="4"/>
        <v>0.30821907748856897</v>
      </c>
      <c r="K21" s="37">
        <f>IF($A21&gt;LastT,0,J21*Policy_Sched!$C21*Policy_Sched!$D21*C21)</f>
        <v>3.3981153293114727E-4</v>
      </c>
      <c r="L21" s="41">
        <f t="shared" si="5"/>
        <v>2.4657526199085518E-2</v>
      </c>
      <c r="M21" s="38">
        <f t="shared" si="6"/>
        <v>1035.7416990934148</v>
      </c>
      <c r="N21" s="38">
        <f t="shared" si="7"/>
        <v>1101.6273522446334</v>
      </c>
      <c r="O21" s="38">
        <f t="shared" si="8"/>
        <v>339.81153293114727</v>
      </c>
      <c r="P21" s="38">
        <f>Policy_Sched!$I21*(L21+I21)</f>
        <v>10.804757000555451</v>
      </c>
      <c r="Q21" s="42">
        <f t="shared" si="9"/>
        <v>350.61628993170274</v>
      </c>
      <c r="R21" s="38">
        <f t="shared" si="10"/>
        <v>0</v>
      </c>
      <c r="S21" s="38">
        <f t="shared" si="11"/>
        <v>0</v>
      </c>
      <c r="T21" s="38">
        <f>Policy_Sched!$J21*J21</f>
        <v>0</v>
      </c>
      <c r="U21" s="42">
        <f t="shared" si="12"/>
        <v>319.23535101101533</v>
      </c>
      <c r="V21" s="42">
        <f t="shared" si="13"/>
        <v>319.23535101101533</v>
      </c>
      <c r="W21" s="38">
        <f>IF($A21&gt;LastT,0,N21+W22/(1+Policy_Sched!$K21))</f>
        <v>1101.6273522446334</v>
      </c>
      <c r="X21" s="38">
        <f>IF($A21&gt;LastT,0,(-Q21+X22)/(1+Policy_Sched!$K21))</f>
        <v>-345.43476840561851</v>
      </c>
      <c r="Y21" s="38">
        <f>IF($A21&gt;LastT,0,-V21+Y22/(1+Policy_Sched!$K21))</f>
        <v>-319.23535101101533</v>
      </c>
      <c r="Z21" s="42">
        <f t="shared" si="14"/>
        <v>436.95723282799946</v>
      </c>
      <c r="AA21" s="38">
        <f>IF($A21&gt;LastT,0,N21-V21-Q21/(1+Policy_Sched!$K21)+Z22/(1+Policy_Sched!$K21))</f>
        <v>436.95723282799946</v>
      </c>
    </row>
    <row r="22" spans="1:27" x14ac:dyDescent="0.2">
      <c r="A22" s="30">
        <f t="shared" si="15"/>
        <v>15</v>
      </c>
      <c r="B22" s="31">
        <f t="shared" si="16"/>
        <v>1</v>
      </c>
      <c r="C22" s="31">
        <f>IF($A22&gt;LastT,0,IF(AND($D$3&lt;&gt;0,$A22&gt;=T0,Policy_Sched!$B22&lt;LastAge),1+$D$3*$E$3,1))</f>
        <v>0.75</v>
      </c>
      <c r="D22" s="36">
        <f>IF($A22&gt;LastT,0,IF($C$3="up",MIN(Policy_Sched!$E22*(1+IF($A22&gt;=T0,$E$3,0)),$F$3),IF($C$3="down",MAX(Policy_Sched!$E22*(1-IF($A22&gt;=T0,$E$3,0)),Policy_Sched!$E22-$F$3),Policy_Sched!$E22)))</f>
        <v>0.08</v>
      </c>
      <c r="E22" s="37">
        <f t="shared" si="17"/>
        <v>0.28322173975655229</v>
      </c>
      <c r="F22" s="37">
        <f t="shared" si="0"/>
        <v>0.28322173975655229</v>
      </c>
      <c r="G22" s="37">
        <f t="shared" si="1"/>
        <v>0</v>
      </c>
      <c r="H22" s="37">
        <f t="shared" si="2"/>
        <v>0</v>
      </c>
      <c r="I22" s="37">
        <f t="shared" si="3"/>
        <v>0</v>
      </c>
      <c r="J22" s="37">
        <f t="shared" si="4"/>
        <v>0</v>
      </c>
      <c r="K22" s="37">
        <f>IF($A22&gt;LastT,0,J22*Policy_Sched!$C22*Policy_Sched!$D22*C22)</f>
        <v>0</v>
      </c>
      <c r="L22" s="41">
        <f t="shared" si="5"/>
        <v>0</v>
      </c>
      <c r="M22" s="38">
        <f t="shared" si="6"/>
        <v>1035.7416990934148</v>
      </c>
      <c r="N22" s="38">
        <f t="shared" si="7"/>
        <v>0</v>
      </c>
      <c r="O22" s="38">
        <f t="shared" si="8"/>
        <v>0</v>
      </c>
      <c r="P22" s="38">
        <f>Policy_Sched!$I22*(L22+I22)</f>
        <v>0</v>
      </c>
      <c r="Q22" s="42">
        <f t="shared" si="9"/>
        <v>0</v>
      </c>
      <c r="R22" s="38">
        <f t="shared" si="10"/>
        <v>0</v>
      </c>
      <c r="S22" s="38">
        <f t="shared" si="11"/>
        <v>0</v>
      </c>
      <c r="T22" s="38">
        <f>Policy_Sched!$J22*J22</f>
        <v>0</v>
      </c>
      <c r="U22" s="42">
        <f t="shared" si="12"/>
        <v>0</v>
      </c>
      <c r="V22" s="42">
        <f t="shared" si="13"/>
        <v>0</v>
      </c>
      <c r="W22" s="38">
        <f>IF($A22&gt;LastT,0,N22+W23/(1+Policy_Sched!$K22))</f>
        <v>0</v>
      </c>
      <c r="X22" s="38">
        <f>IF($A22&gt;LastT,0,(-Q22+X23)/(1+Policy_Sched!$K22))</f>
        <v>0</v>
      </c>
      <c r="Y22" s="38">
        <f>IF($A22&gt;LastT,0,-V22+Y23/(1+Policy_Sched!$K22))</f>
        <v>0</v>
      </c>
      <c r="Z22" s="42">
        <f t="shared" si="14"/>
        <v>0</v>
      </c>
      <c r="AA22" s="38">
        <f>IF($A22&gt;LastT,0,N22-V22-Q22/(1+Policy_Sched!$K22)+Z23/(1+Policy_Sched!$K22))</f>
        <v>0</v>
      </c>
    </row>
    <row r="23" spans="1:27" x14ac:dyDescent="0.2">
      <c r="A23" s="30">
        <f t="shared" si="15"/>
        <v>16</v>
      </c>
      <c r="B23" s="31">
        <f t="shared" si="16"/>
        <v>0</v>
      </c>
      <c r="C23" s="31">
        <f>IF($A23&gt;LastT,0,IF(AND($D$3&lt;&gt;0,$A23&gt;=T0,Policy_Sched!$B23&lt;LastAge),1+$D$3*$E$3,1))</f>
        <v>0</v>
      </c>
      <c r="D23" s="36">
        <f>IF($A23&gt;LastT,0,IF($C$3="up",MIN(Policy_Sched!$E23*(1+IF($A23&gt;=T0,$E$3,0)),$F$3),IF($C$3="down",MAX(Policy_Sched!$E23*(1-IF($A23&gt;=T0,$E$3,0)),Policy_Sched!$E23-$F$3),Policy_Sched!$E23)))</f>
        <v>0</v>
      </c>
      <c r="E23" s="37">
        <f t="shared" si="17"/>
        <v>0</v>
      </c>
      <c r="F23" s="37">
        <f t="shared" si="0"/>
        <v>0</v>
      </c>
      <c r="G23" s="37">
        <f t="shared" si="1"/>
        <v>0</v>
      </c>
      <c r="H23" s="37">
        <f t="shared" si="2"/>
        <v>0</v>
      </c>
      <c r="I23" s="37">
        <f t="shared" si="3"/>
        <v>0</v>
      </c>
      <c r="J23" s="37">
        <f t="shared" si="4"/>
        <v>0</v>
      </c>
      <c r="K23" s="37">
        <f>IF($A23&gt;LastT,0,J23*Policy_Sched!$C23*Policy_Sched!$D23*C23)</f>
        <v>0</v>
      </c>
      <c r="L23" s="41">
        <f t="shared" si="5"/>
        <v>0</v>
      </c>
      <c r="M23" s="38">
        <f t="shared" si="6"/>
        <v>0</v>
      </c>
      <c r="N23" s="38">
        <f t="shared" si="7"/>
        <v>0</v>
      </c>
      <c r="O23" s="38">
        <f t="shared" si="8"/>
        <v>0</v>
      </c>
      <c r="P23" s="38">
        <f>Policy_Sched!$I23*(L23+I23)</f>
        <v>0</v>
      </c>
      <c r="Q23" s="42">
        <f t="shared" si="9"/>
        <v>0</v>
      </c>
      <c r="R23" s="38">
        <f t="shared" si="10"/>
        <v>0</v>
      </c>
      <c r="S23" s="38">
        <f t="shared" si="11"/>
        <v>0</v>
      </c>
      <c r="T23" s="38">
        <f>Policy_Sched!$J23*J23</f>
        <v>0</v>
      </c>
      <c r="U23" s="42">
        <f t="shared" si="12"/>
        <v>0</v>
      </c>
      <c r="V23" s="42">
        <f t="shared" si="13"/>
        <v>0</v>
      </c>
      <c r="W23" s="38">
        <f>IF($A23&gt;LastT,0,N23+W24/(1+Policy_Sched!$K23))</f>
        <v>0</v>
      </c>
      <c r="X23" s="38">
        <f>IF($A23&gt;LastT,0,(-Q23+X24)/(1+Policy_Sched!$K23))</f>
        <v>0</v>
      </c>
      <c r="Y23" s="38">
        <f>IF($A23&gt;LastT,0,-V23+Y24/(1+Policy_Sched!$K23))</f>
        <v>0</v>
      </c>
      <c r="Z23" s="42">
        <f t="shared" si="14"/>
        <v>0</v>
      </c>
      <c r="AA23" s="38">
        <f>IF($A23&gt;LastT,0,N23-V23-Q23/(1+Policy_Sched!$K23)+Z24/(1+Policy_Sched!$K23))</f>
        <v>0</v>
      </c>
    </row>
    <row r="24" spans="1:27" x14ac:dyDescent="0.2">
      <c r="A24" s="30">
        <f t="shared" si="15"/>
        <v>17</v>
      </c>
      <c r="B24" s="31">
        <f t="shared" si="16"/>
        <v>0</v>
      </c>
      <c r="C24" s="31">
        <f>IF($A24&gt;LastT,0,IF(AND($D$3&lt;&gt;0,$A24&gt;=T0,Policy_Sched!$B24&lt;LastAge),1+$D$3*$E$3,1))</f>
        <v>0</v>
      </c>
      <c r="D24" s="36">
        <f>IF($A24&gt;LastT,0,IF($C$3="up",MIN(Policy_Sched!$E24*(1+IF($A24&gt;=T0,$E$3,0)),$F$3),IF($C$3="down",MAX(Policy_Sched!$E24*(1-IF($A24&gt;=T0,$E$3,0)),Policy_Sched!$E24-$F$3),Policy_Sched!$E24)))</f>
        <v>0</v>
      </c>
      <c r="E24" s="37">
        <f t="shared" si="17"/>
        <v>0</v>
      </c>
      <c r="F24" s="37">
        <f t="shared" si="0"/>
        <v>0</v>
      </c>
      <c r="G24" s="37">
        <f t="shared" si="1"/>
        <v>0</v>
      </c>
      <c r="H24" s="37">
        <f t="shared" si="2"/>
        <v>0</v>
      </c>
      <c r="I24" s="37">
        <f t="shared" si="3"/>
        <v>0</v>
      </c>
      <c r="J24" s="37">
        <f t="shared" si="4"/>
        <v>0</v>
      </c>
      <c r="K24" s="37">
        <f>IF($A24&gt;LastT,0,J24*Policy_Sched!$C24*Policy_Sched!$D24*C24)</f>
        <v>0</v>
      </c>
      <c r="L24" s="41">
        <f t="shared" si="5"/>
        <v>0</v>
      </c>
      <c r="M24" s="38">
        <f t="shared" si="6"/>
        <v>0</v>
      </c>
      <c r="N24" s="38">
        <f t="shared" si="7"/>
        <v>0</v>
      </c>
      <c r="O24" s="38">
        <f t="shared" si="8"/>
        <v>0</v>
      </c>
      <c r="P24" s="38">
        <f>Policy_Sched!$I24*(L24+I24)</f>
        <v>0</v>
      </c>
      <c r="Q24" s="42">
        <f t="shared" si="9"/>
        <v>0</v>
      </c>
      <c r="R24" s="38">
        <f t="shared" si="10"/>
        <v>0</v>
      </c>
      <c r="S24" s="38">
        <f t="shared" si="11"/>
        <v>0</v>
      </c>
      <c r="T24" s="38">
        <f>Policy_Sched!$J24*J24</f>
        <v>0</v>
      </c>
      <c r="U24" s="42">
        <f t="shared" si="12"/>
        <v>0</v>
      </c>
      <c r="V24" s="42">
        <f t="shared" si="13"/>
        <v>0</v>
      </c>
      <c r="W24" s="38">
        <f>IF($A24&gt;LastT,0,N24+W25/(1+Policy_Sched!$K24))</f>
        <v>0</v>
      </c>
      <c r="X24" s="38">
        <f>IF($A24&gt;LastT,0,(-Q24+X25)/(1+Policy_Sched!$K24))</f>
        <v>0</v>
      </c>
      <c r="Y24" s="38">
        <f>IF($A24&gt;LastT,0,-V24+Y25/(1+Policy_Sched!$K24))</f>
        <v>0</v>
      </c>
      <c r="Z24" s="42">
        <f t="shared" si="14"/>
        <v>0</v>
      </c>
      <c r="AA24" s="38">
        <f>IF($A24&gt;LastT,0,N24-V24-Q24/(1+Policy_Sched!$K24)+Z25/(1+Policy_Sched!$K24))</f>
        <v>0</v>
      </c>
    </row>
    <row r="25" spans="1:27" x14ac:dyDescent="0.2">
      <c r="A25" s="30">
        <f t="shared" si="15"/>
        <v>18</v>
      </c>
      <c r="B25" s="31">
        <f t="shared" si="16"/>
        <v>0</v>
      </c>
      <c r="C25" s="31">
        <f>IF($A25&gt;LastT,0,IF(AND($D$3&lt;&gt;0,$A25&gt;=T0,Policy_Sched!$B25&lt;LastAge),1+$D$3*$E$3,1))</f>
        <v>0</v>
      </c>
      <c r="D25" s="36">
        <f>IF($A25&gt;LastT,0,IF($C$3="up",MIN(Policy_Sched!$E25*(1+IF($A25&gt;=T0,$E$3,0)),$F$3),IF($C$3="down",MAX(Policy_Sched!$E25*(1-IF($A25&gt;=T0,$E$3,0)),Policy_Sched!$E25-$F$3),Policy_Sched!$E25)))</f>
        <v>0</v>
      </c>
      <c r="E25" s="37">
        <f t="shared" si="17"/>
        <v>0</v>
      </c>
      <c r="F25" s="37">
        <f t="shared" si="0"/>
        <v>0</v>
      </c>
      <c r="G25" s="37">
        <f t="shared" si="1"/>
        <v>0</v>
      </c>
      <c r="H25" s="37">
        <f t="shared" si="2"/>
        <v>0</v>
      </c>
      <c r="I25" s="37">
        <f t="shared" si="3"/>
        <v>0</v>
      </c>
      <c r="J25" s="37">
        <f t="shared" si="4"/>
        <v>0</v>
      </c>
      <c r="K25" s="37">
        <f>IF($A25&gt;LastT,0,J25*Policy_Sched!$C25*Policy_Sched!$D25*C25)</f>
        <v>0</v>
      </c>
      <c r="L25" s="41">
        <f t="shared" si="5"/>
        <v>0</v>
      </c>
      <c r="M25" s="38">
        <f t="shared" si="6"/>
        <v>0</v>
      </c>
      <c r="N25" s="38">
        <f t="shared" si="7"/>
        <v>0</v>
      </c>
      <c r="O25" s="38">
        <f t="shared" si="8"/>
        <v>0</v>
      </c>
      <c r="P25" s="38">
        <f>Policy_Sched!$I25*(L25+I25)</f>
        <v>0</v>
      </c>
      <c r="Q25" s="42">
        <f t="shared" si="9"/>
        <v>0</v>
      </c>
      <c r="R25" s="38">
        <f t="shared" si="10"/>
        <v>0</v>
      </c>
      <c r="S25" s="38">
        <f t="shared" si="11"/>
        <v>0</v>
      </c>
      <c r="T25" s="38">
        <f>Policy_Sched!$J25*J25</f>
        <v>0</v>
      </c>
      <c r="U25" s="42">
        <f t="shared" si="12"/>
        <v>0</v>
      </c>
      <c r="V25" s="42">
        <f t="shared" si="13"/>
        <v>0</v>
      </c>
      <c r="W25" s="38">
        <f>IF($A25&gt;LastT,0,N25+W26/(1+Policy_Sched!$K25))</f>
        <v>0</v>
      </c>
      <c r="X25" s="38">
        <f>IF($A25&gt;LastT,0,(-Q25+X26)/(1+Policy_Sched!$K25))</f>
        <v>0</v>
      </c>
      <c r="Y25" s="38">
        <f>IF($A25&gt;LastT,0,-V25+Y26/(1+Policy_Sched!$K25))</f>
        <v>0</v>
      </c>
      <c r="Z25" s="42">
        <f t="shared" si="14"/>
        <v>0</v>
      </c>
      <c r="AA25" s="38">
        <f>IF($A25&gt;LastT,0,N25-V25-Q25/(1+Policy_Sched!$K25)+Z26/(1+Policy_Sched!$K25))</f>
        <v>0</v>
      </c>
    </row>
    <row r="26" spans="1:27" x14ac:dyDescent="0.2">
      <c r="A26" s="30">
        <f t="shared" si="15"/>
        <v>19</v>
      </c>
      <c r="B26" s="31">
        <f t="shared" si="16"/>
        <v>0</v>
      </c>
      <c r="C26" s="31">
        <f>IF($A26&gt;LastT,0,IF(AND($D$3&lt;&gt;0,$A26&gt;=T0,Policy_Sched!$B26&lt;LastAge),1+$D$3*$E$3,1))</f>
        <v>0</v>
      </c>
      <c r="D26" s="36">
        <f>IF($A26&gt;LastT,0,IF($C$3="up",MIN(Policy_Sched!$E26*(1+IF($A26&gt;=T0,$E$3,0)),$F$3),IF($C$3="down",MAX(Policy_Sched!$E26*(1-IF($A26&gt;=T0,$E$3,0)),Policy_Sched!$E26-$F$3),Policy_Sched!$E26)))</f>
        <v>0</v>
      </c>
      <c r="E26" s="37">
        <f t="shared" si="17"/>
        <v>0</v>
      </c>
      <c r="F26" s="37">
        <f t="shared" si="0"/>
        <v>0</v>
      </c>
      <c r="G26" s="37">
        <f t="shared" si="1"/>
        <v>0</v>
      </c>
      <c r="H26" s="37">
        <f t="shared" si="2"/>
        <v>0</v>
      </c>
      <c r="I26" s="37">
        <f t="shared" si="3"/>
        <v>0</v>
      </c>
      <c r="J26" s="37">
        <f t="shared" si="4"/>
        <v>0</v>
      </c>
      <c r="K26" s="37">
        <f>IF($A26&gt;LastT,0,J26*Policy_Sched!$C26*Policy_Sched!$D26*C26)</f>
        <v>0</v>
      </c>
      <c r="L26" s="41">
        <f t="shared" si="5"/>
        <v>0</v>
      </c>
      <c r="M26" s="38">
        <f t="shared" si="6"/>
        <v>0</v>
      </c>
      <c r="N26" s="38">
        <f t="shared" si="7"/>
        <v>0</v>
      </c>
      <c r="O26" s="38">
        <f t="shared" si="8"/>
        <v>0</v>
      </c>
      <c r="P26" s="38">
        <f>Policy_Sched!$I26*(L26+I26)</f>
        <v>0</v>
      </c>
      <c r="Q26" s="42">
        <f t="shared" si="9"/>
        <v>0</v>
      </c>
      <c r="R26" s="38">
        <f t="shared" si="10"/>
        <v>0</v>
      </c>
      <c r="S26" s="38">
        <f t="shared" si="11"/>
        <v>0</v>
      </c>
      <c r="T26" s="38">
        <f>Policy_Sched!$J26*J26</f>
        <v>0</v>
      </c>
      <c r="U26" s="42">
        <f t="shared" si="12"/>
        <v>0</v>
      </c>
      <c r="V26" s="42">
        <f t="shared" si="13"/>
        <v>0</v>
      </c>
      <c r="W26" s="38">
        <f>IF($A26&gt;LastT,0,N26+W27/(1+Policy_Sched!$K26))</f>
        <v>0</v>
      </c>
      <c r="X26" s="38">
        <f>IF($A26&gt;LastT,0,(-Q26+X27)/(1+Policy_Sched!$K26))</f>
        <v>0</v>
      </c>
      <c r="Y26" s="38">
        <f>IF($A26&gt;LastT,0,-V26+Y27/(1+Policy_Sched!$K26))</f>
        <v>0</v>
      </c>
      <c r="Z26" s="42">
        <f t="shared" si="14"/>
        <v>0</v>
      </c>
      <c r="AA26" s="38">
        <f>IF($A26&gt;LastT,0,N26-V26-Q26/(1+Policy_Sched!$K26)+Z27/(1+Policy_Sched!$K26))</f>
        <v>0</v>
      </c>
    </row>
    <row r="27" spans="1:27" x14ac:dyDescent="0.2">
      <c r="A27" s="30">
        <f t="shared" si="15"/>
        <v>20</v>
      </c>
      <c r="B27" s="31">
        <f t="shared" si="16"/>
        <v>0</v>
      </c>
      <c r="C27" s="31">
        <f>IF($A27&gt;LastT,0,IF(AND($D$3&lt;&gt;0,$A27&gt;=T0,Policy_Sched!$B27&lt;LastAge),1+$D$3*$E$3,1))</f>
        <v>0</v>
      </c>
      <c r="D27" s="36">
        <f>IF($A27&gt;LastT,0,IF($C$3="up",MIN(Policy_Sched!$E27*(1+IF($A27&gt;=T0,$E$3,0)),$F$3),IF($C$3="down",MAX(Policy_Sched!$E27*(1-IF($A27&gt;=T0,$E$3,0)),Policy_Sched!$E27-$F$3),Policy_Sched!$E27)))</f>
        <v>0</v>
      </c>
      <c r="E27" s="37">
        <f t="shared" si="17"/>
        <v>0</v>
      </c>
      <c r="F27" s="37">
        <f t="shared" si="0"/>
        <v>0</v>
      </c>
      <c r="G27" s="37">
        <f t="shared" si="1"/>
        <v>0</v>
      </c>
      <c r="H27" s="37">
        <f t="shared" si="2"/>
        <v>0</v>
      </c>
      <c r="I27" s="37">
        <f t="shared" si="3"/>
        <v>0</v>
      </c>
      <c r="J27" s="37">
        <f t="shared" si="4"/>
        <v>0</v>
      </c>
      <c r="K27" s="37">
        <f>IF($A27&gt;LastT,0,J27*Policy_Sched!$C27*Policy_Sched!$D27*C27)</f>
        <v>0</v>
      </c>
      <c r="L27" s="41">
        <f t="shared" si="5"/>
        <v>0</v>
      </c>
      <c r="M27" s="38">
        <f t="shared" si="6"/>
        <v>0</v>
      </c>
      <c r="N27" s="38">
        <f t="shared" si="7"/>
        <v>0</v>
      </c>
      <c r="O27" s="38">
        <f t="shared" si="8"/>
        <v>0</v>
      </c>
      <c r="P27" s="38">
        <f>Policy_Sched!$I27*(L27+I27)</f>
        <v>0</v>
      </c>
      <c r="Q27" s="42">
        <f t="shared" si="9"/>
        <v>0</v>
      </c>
      <c r="R27" s="38">
        <f t="shared" si="10"/>
        <v>0</v>
      </c>
      <c r="S27" s="38">
        <f t="shared" si="11"/>
        <v>0</v>
      </c>
      <c r="T27" s="38">
        <f>Policy_Sched!$J27*J27</f>
        <v>0</v>
      </c>
      <c r="U27" s="42">
        <f t="shared" si="12"/>
        <v>0</v>
      </c>
      <c r="V27" s="42">
        <f t="shared" si="13"/>
        <v>0</v>
      </c>
      <c r="W27" s="38">
        <f>IF($A27&gt;LastT,0,N27+W28/(1+Policy_Sched!$K27))</f>
        <v>0</v>
      </c>
      <c r="X27" s="38">
        <f>IF($A27&gt;LastT,0,(-Q27+X28)/(1+Policy_Sched!$K27))</f>
        <v>0</v>
      </c>
      <c r="Y27" s="38">
        <f>IF($A27&gt;LastT,0,-V27+Y28/(1+Policy_Sched!$K27))</f>
        <v>0</v>
      </c>
      <c r="Z27" s="42">
        <f t="shared" si="14"/>
        <v>0</v>
      </c>
      <c r="AA27" s="38">
        <f>IF($A27&gt;LastT,0,N27-V27-Q27/(1+Policy_Sched!$K27)+Z28/(1+Policy_Sched!$K27))</f>
        <v>0</v>
      </c>
    </row>
    <row r="28" spans="1:27" x14ac:dyDescent="0.2">
      <c r="A28" s="30">
        <f t="shared" si="15"/>
        <v>21</v>
      </c>
      <c r="B28" s="31">
        <f t="shared" si="16"/>
        <v>0</v>
      </c>
      <c r="C28" s="31">
        <f>IF($A28&gt;LastT,0,IF(AND($D$3&lt;&gt;0,$A28&gt;=T0,Policy_Sched!$B28&lt;LastAge),1+$D$3*$E$3,1))</f>
        <v>0</v>
      </c>
      <c r="D28" s="36">
        <f>IF($A28&gt;LastT,0,IF($C$3="up",MIN(Policy_Sched!$E28*(1+IF($A28&gt;=T0,$E$3,0)),$F$3),IF($C$3="down",MAX(Policy_Sched!$E28*(1-IF($A28&gt;=T0,$E$3,0)),Policy_Sched!$E28-$F$3),Policy_Sched!$E28)))</f>
        <v>0</v>
      </c>
      <c r="E28" s="37">
        <f t="shared" si="17"/>
        <v>0</v>
      </c>
      <c r="F28" s="37">
        <f t="shared" si="0"/>
        <v>0</v>
      </c>
      <c r="G28" s="37">
        <f t="shared" si="1"/>
        <v>0</v>
      </c>
      <c r="H28" s="37">
        <f t="shared" si="2"/>
        <v>0</v>
      </c>
      <c r="I28" s="37">
        <f t="shared" si="3"/>
        <v>0</v>
      </c>
      <c r="J28" s="37">
        <f t="shared" si="4"/>
        <v>0</v>
      </c>
      <c r="K28" s="37">
        <f>IF($A28&gt;LastT,0,J28*Policy_Sched!$C28*Policy_Sched!$D28*C28)</f>
        <v>0</v>
      </c>
      <c r="L28" s="41">
        <f t="shared" si="5"/>
        <v>0</v>
      </c>
      <c r="M28" s="38">
        <f t="shared" si="6"/>
        <v>0</v>
      </c>
      <c r="N28" s="38">
        <f t="shared" si="7"/>
        <v>0</v>
      </c>
      <c r="O28" s="38">
        <f t="shared" si="8"/>
        <v>0</v>
      </c>
      <c r="P28" s="38">
        <f>Policy_Sched!$I28*(L28+I28)</f>
        <v>0</v>
      </c>
      <c r="Q28" s="42">
        <f t="shared" si="9"/>
        <v>0</v>
      </c>
      <c r="R28" s="38">
        <f t="shared" si="10"/>
        <v>0</v>
      </c>
      <c r="S28" s="38">
        <f t="shared" si="11"/>
        <v>0</v>
      </c>
      <c r="T28" s="38">
        <f>Policy_Sched!$J28*J28</f>
        <v>0</v>
      </c>
      <c r="U28" s="42">
        <f t="shared" si="12"/>
        <v>0</v>
      </c>
      <c r="V28" s="42">
        <f t="shared" si="13"/>
        <v>0</v>
      </c>
      <c r="W28" s="38">
        <f>IF($A28&gt;LastT,0,N28+W29/(1+Policy_Sched!$K28))</f>
        <v>0</v>
      </c>
      <c r="X28" s="38">
        <f>IF($A28&gt;LastT,0,(-Q28+X29)/(1+Policy_Sched!$K28))</f>
        <v>0</v>
      </c>
      <c r="Y28" s="38">
        <f>IF($A28&gt;LastT,0,-V28+Y29/(1+Policy_Sched!$K28))</f>
        <v>0</v>
      </c>
      <c r="Z28" s="42">
        <f t="shared" si="14"/>
        <v>0</v>
      </c>
      <c r="AA28" s="38">
        <f>IF($A28&gt;LastT,0,N28-V28-Q28/(1+Policy_Sched!$K28)+Z29/(1+Policy_Sched!$K28))</f>
        <v>0</v>
      </c>
    </row>
    <row r="29" spans="1:27" x14ac:dyDescent="0.2">
      <c r="A29" s="30">
        <f t="shared" si="15"/>
        <v>22</v>
      </c>
      <c r="B29" s="31">
        <f t="shared" si="16"/>
        <v>0</v>
      </c>
      <c r="C29" s="31">
        <f>IF($A29&gt;LastT,0,IF(AND($D$3&lt;&gt;0,$A29&gt;=T0,Policy_Sched!$B29&lt;LastAge),1+$D$3*$E$3,1))</f>
        <v>0</v>
      </c>
      <c r="D29" s="36">
        <f>IF($A29&gt;LastT,0,IF($C$3="up",MIN(Policy_Sched!$E29*(1+IF($A29&gt;=T0,$E$3,0)),$F$3),IF($C$3="down",MAX(Policy_Sched!$E29*(1-IF($A29&gt;=T0,$E$3,0)),Policy_Sched!$E29-$F$3),Policy_Sched!$E29)))</f>
        <v>0</v>
      </c>
      <c r="E29" s="37">
        <f t="shared" si="17"/>
        <v>0</v>
      </c>
      <c r="F29" s="37">
        <f t="shared" si="0"/>
        <v>0</v>
      </c>
      <c r="G29" s="37">
        <f t="shared" si="1"/>
        <v>0</v>
      </c>
      <c r="H29" s="37">
        <f t="shared" si="2"/>
        <v>0</v>
      </c>
      <c r="I29" s="37">
        <f t="shared" si="3"/>
        <v>0</v>
      </c>
      <c r="J29" s="37">
        <f t="shared" si="4"/>
        <v>0</v>
      </c>
      <c r="K29" s="37">
        <f>IF($A29&gt;LastT,0,J29*Policy_Sched!$C29*Policy_Sched!$D29*C29)</f>
        <v>0</v>
      </c>
      <c r="L29" s="41">
        <f t="shared" si="5"/>
        <v>0</v>
      </c>
      <c r="M29" s="38">
        <f t="shared" si="6"/>
        <v>0</v>
      </c>
      <c r="N29" s="38">
        <f t="shared" si="7"/>
        <v>0</v>
      </c>
      <c r="O29" s="38">
        <f t="shared" si="8"/>
        <v>0</v>
      </c>
      <c r="P29" s="38">
        <f>Policy_Sched!$I29*(L29+I29)</f>
        <v>0</v>
      </c>
      <c r="Q29" s="42">
        <f t="shared" si="9"/>
        <v>0</v>
      </c>
      <c r="R29" s="38">
        <f t="shared" si="10"/>
        <v>0</v>
      </c>
      <c r="S29" s="38">
        <f t="shared" si="11"/>
        <v>0</v>
      </c>
      <c r="T29" s="38">
        <f>Policy_Sched!$J29*J29</f>
        <v>0</v>
      </c>
      <c r="U29" s="42">
        <f t="shared" si="12"/>
        <v>0</v>
      </c>
      <c r="V29" s="42">
        <f t="shared" si="13"/>
        <v>0</v>
      </c>
      <c r="W29" s="38">
        <f>IF($A29&gt;LastT,0,N29+W30/(1+Policy_Sched!$K29))</f>
        <v>0</v>
      </c>
      <c r="X29" s="38">
        <f>IF($A29&gt;LastT,0,(-Q29+X30)/(1+Policy_Sched!$K29))</f>
        <v>0</v>
      </c>
      <c r="Y29" s="38">
        <f>IF($A29&gt;LastT,0,-V29+Y30/(1+Policy_Sched!$K29))</f>
        <v>0</v>
      </c>
      <c r="Z29" s="42">
        <f t="shared" si="14"/>
        <v>0</v>
      </c>
      <c r="AA29" s="38">
        <f>IF($A29&gt;LastT,0,N29-V29-Q29/(1+Policy_Sched!$K29)+Z30/(1+Policy_Sched!$K29))</f>
        <v>0</v>
      </c>
    </row>
    <row r="30" spans="1:27" x14ac:dyDescent="0.2">
      <c r="A30" s="30">
        <f t="shared" si="15"/>
        <v>23</v>
      </c>
      <c r="B30" s="31">
        <f t="shared" si="16"/>
        <v>0</v>
      </c>
      <c r="C30" s="31">
        <f>IF($A30&gt;LastT,0,IF(AND($D$3&lt;&gt;0,$A30&gt;=T0,Policy_Sched!$B30&lt;LastAge),1+$D$3*$E$3,1))</f>
        <v>0</v>
      </c>
      <c r="D30" s="36">
        <f>IF($A30&gt;LastT,0,IF($C$3="up",MIN(Policy_Sched!$E30*(1+IF($A30&gt;=T0,$E$3,0)),$F$3),IF($C$3="down",MAX(Policy_Sched!$E30*(1-IF($A30&gt;=T0,$E$3,0)),Policy_Sched!$E30-$F$3),Policy_Sched!$E30)))</f>
        <v>0</v>
      </c>
      <c r="E30" s="37">
        <f t="shared" si="17"/>
        <v>0</v>
      </c>
      <c r="F30" s="37">
        <f t="shared" si="0"/>
        <v>0</v>
      </c>
      <c r="G30" s="37">
        <f t="shared" si="1"/>
        <v>0</v>
      </c>
      <c r="H30" s="37">
        <f t="shared" si="2"/>
        <v>0</v>
      </c>
      <c r="I30" s="37">
        <f t="shared" si="3"/>
        <v>0</v>
      </c>
      <c r="J30" s="37">
        <f t="shared" si="4"/>
        <v>0</v>
      </c>
      <c r="K30" s="37">
        <f>IF($A30&gt;LastT,0,J30*Policy_Sched!$C30*Policy_Sched!$D30*C30)</f>
        <v>0</v>
      </c>
      <c r="L30" s="41">
        <f t="shared" si="5"/>
        <v>0</v>
      </c>
      <c r="M30" s="38">
        <f t="shared" si="6"/>
        <v>0</v>
      </c>
      <c r="N30" s="38">
        <f t="shared" si="7"/>
        <v>0</v>
      </c>
      <c r="O30" s="38">
        <f t="shared" si="8"/>
        <v>0</v>
      </c>
      <c r="P30" s="38">
        <f>Policy_Sched!$I30*(L30+I30)</f>
        <v>0</v>
      </c>
      <c r="Q30" s="42">
        <f t="shared" si="9"/>
        <v>0</v>
      </c>
      <c r="R30" s="38">
        <f t="shared" si="10"/>
        <v>0</v>
      </c>
      <c r="S30" s="38">
        <f t="shared" si="11"/>
        <v>0</v>
      </c>
      <c r="T30" s="38">
        <f>Policy_Sched!$J30*J30</f>
        <v>0</v>
      </c>
      <c r="U30" s="42">
        <f t="shared" si="12"/>
        <v>0</v>
      </c>
      <c r="V30" s="42">
        <f t="shared" si="13"/>
        <v>0</v>
      </c>
      <c r="W30" s="38">
        <f>IF($A30&gt;LastT,0,N30+W31/(1+Policy_Sched!$K30))</f>
        <v>0</v>
      </c>
      <c r="X30" s="38">
        <f>IF($A30&gt;LastT,0,(-Q30+X31)/(1+Policy_Sched!$K30))</f>
        <v>0</v>
      </c>
      <c r="Y30" s="38">
        <f>IF($A30&gt;LastT,0,-V30+Y31/(1+Policy_Sched!$K30))</f>
        <v>0</v>
      </c>
      <c r="Z30" s="42">
        <f t="shared" si="14"/>
        <v>0</v>
      </c>
      <c r="AA30" s="38">
        <f>IF($A30&gt;LastT,0,N30-V30-Q30/(1+Policy_Sched!$K30)+Z31/(1+Policy_Sched!$K30))</f>
        <v>0</v>
      </c>
    </row>
    <row r="31" spans="1:27" x14ac:dyDescent="0.2">
      <c r="A31" s="30">
        <f t="shared" si="15"/>
        <v>24</v>
      </c>
      <c r="B31" s="31">
        <f t="shared" si="16"/>
        <v>0</v>
      </c>
      <c r="C31" s="31">
        <f>IF($A31&gt;LastT,0,IF(AND($D$3&lt;&gt;0,$A31&gt;=T0,Policy_Sched!$B31&lt;LastAge),1+$D$3*$E$3,1))</f>
        <v>0</v>
      </c>
      <c r="D31" s="36">
        <f>IF($A31&gt;LastT,0,IF($C$3="up",MIN(Policy_Sched!$E31*(1+IF($A31&gt;=T0,$E$3,0)),$F$3),IF($C$3="down",MAX(Policy_Sched!$E31*(1-IF($A31&gt;=T0,$E$3,0)),Policy_Sched!$E31-$F$3),Policy_Sched!$E31)))</f>
        <v>0</v>
      </c>
      <c r="E31" s="37">
        <f t="shared" si="17"/>
        <v>0</v>
      </c>
      <c r="F31" s="37">
        <f t="shared" si="0"/>
        <v>0</v>
      </c>
      <c r="G31" s="37">
        <f t="shared" si="1"/>
        <v>0</v>
      </c>
      <c r="H31" s="37">
        <f t="shared" si="2"/>
        <v>0</v>
      </c>
      <c r="I31" s="37">
        <f t="shared" si="3"/>
        <v>0</v>
      </c>
      <c r="J31" s="37">
        <f t="shared" si="4"/>
        <v>0</v>
      </c>
      <c r="K31" s="37">
        <f>IF($A31&gt;LastT,0,J31*Policy_Sched!$C31*Policy_Sched!$D31*C31)</f>
        <v>0</v>
      </c>
      <c r="L31" s="41">
        <f t="shared" si="5"/>
        <v>0</v>
      </c>
      <c r="M31" s="38">
        <f t="shared" si="6"/>
        <v>0</v>
      </c>
      <c r="N31" s="38">
        <f t="shared" si="7"/>
        <v>0</v>
      </c>
      <c r="O31" s="38">
        <f t="shared" si="8"/>
        <v>0</v>
      </c>
      <c r="P31" s="38">
        <f>Policy_Sched!$I31*(L31+I31)</f>
        <v>0</v>
      </c>
      <c r="Q31" s="42">
        <f t="shared" si="9"/>
        <v>0</v>
      </c>
      <c r="R31" s="38">
        <f t="shared" si="10"/>
        <v>0</v>
      </c>
      <c r="S31" s="38">
        <f t="shared" si="11"/>
        <v>0</v>
      </c>
      <c r="T31" s="38">
        <f>Policy_Sched!$J31*J31</f>
        <v>0</v>
      </c>
      <c r="U31" s="42">
        <f t="shared" si="12"/>
        <v>0</v>
      </c>
      <c r="V31" s="42">
        <f t="shared" si="13"/>
        <v>0</v>
      </c>
      <c r="W31" s="38">
        <f>IF($A31&gt;LastT,0,N31+W32/(1+Policy_Sched!$K31))</f>
        <v>0</v>
      </c>
      <c r="X31" s="38">
        <f>IF($A31&gt;LastT,0,(-Q31+X32)/(1+Policy_Sched!$K31))</f>
        <v>0</v>
      </c>
      <c r="Y31" s="38">
        <f>IF($A31&gt;LastT,0,-V31+Y32/(1+Policy_Sched!$K31))</f>
        <v>0</v>
      </c>
      <c r="Z31" s="42">
        <f t="shared" si="14"/>
        <v>0</v>
      </c>
      <c r="AA31" s="38">
        <f>IF($A31&gt;LastT,0,N31-V31-Q31/(1+Policy_Sched!$K31)+Z32/(1+Policy_Sched!$K31))</f>
        <v>0</v>
      </c>
    </row>
    <row r="32" spans="1:27" x14ac:dyDescent="0.2">
      <c r="A32" s="30">
        <f t="shared" si="15"/>
        <v>25</v>
      </c>
      <c r="B32" s="31">
        <f t="shared" si="16"/>
        <v>0</v>
      </c>
      <c r="C32" s="31">
        <f>IF($A32&gt;LastT,0,IF(AND($D$3&lt;&gt;0,$A32&gt;=T0,Policy_Sched!$B32&lt;LastAge),1+$D$3*$E$3,1))</f>
        <v>0</v>
      </c>
      <c r="D32" s="36">
        <f>IF($A32&gt;LastT,0,IF($C$3="up",MIN(Policy_Sched!$E32*(1+IF($A32&gt;=T0,$E$3,0)),$F$3),IF($C$3="down",MAX(Policy_Sched!$E32*(1-IF($A32&gt;=T0,$E$3,0)),Policy_Sched!$E32-$F$3),Policy_Sched!$E32)))</f>
        <v>0</v>
      </c>
      <c r="E32" s="37">
        <f t="shared" si="17"/>
        <v>0</v>
      </c>
      <c r="F32" s="37">
        <f t="shared" si="0"/>
        <v>0</v>
      </c>
      <c r="G32" s="37">
        <f t="shared" si="1"/>
        <v>0</v>
      </c>
      <c r="H32" s="37">
        <f t="shared" si="2"/>
        <v>0</v>
      </c>
      <c r="I32" s="37">
        <f t="shared" si="3"/>
        <v>0</v>
      </c>
      <c r="J32" s="37">
        <f t="shared" si="4"/>
        <v>0</v>
      </c>
      <c r="K32" s="37">
        <f>IF($A32&gt;LastT,0,J32*Policy_Sched!$C32*Policy_Sched!$D32*C32)</f>
        <v>0</v>
      </c>
      <c r="L32" s="41">
        <f t="shared" si="5"/>
        <v>0</v>
      </c>
      <c r="M32" s="38">
        <f t="shared" si="6"/>
        <v>0</v>
      </c>
      <c r="N32" s="38">
        <f t="shared" si="7"/>
        <v>0</v>
      </c>
      <c r="O32" s="38">
        <f t="shared" si="8"/>
        <v>0</v>
      </c>
      <c r="P32" s="38">
        <f>Policy_Sched!$I32*(L32+I32)</f>
        <v>0</v>
      </c>
      <c r="Q32" s="42">
        <f t="shared" si="9"/>
        <v>0</v>
      </c>
      <c r="R32" s="38">
        <f t="shared" si="10"/>
        <v>0</v>
      </c>
      <c r="S32" s="38">
        <f t="shared" si="11"/>
        <v>0</v>
      </c>
      <c r="T32" s="38">
        <f>Policy_Sched!$J32*J32</f>
        <v>0</v>
      </c>
      <c r="U32" s="42">
        <f t="shared" si="12"/>
        <v>0</v>
      </c>
      <c r="V32" s="42">
        <f t="shared" si="13"/>
        <v>0</v>
      </c>
      <c r="W32" s="38">
        <f>IF($A32&gt;LastT,0,N32+W33/(1+Policy_Sched!$K32))</f>
        <v>0</v>
      </c>
      <c r="X32" s="38">
        <f>IF($A32&gt;LastT,0,(-Q32+X33)/(1+Policy_Sched!$K32))</f>
        <v>0</v>
      </c>
      <c r="Y32" s="38">
        <f>IF($A32&gt;LastT,0,-V32+Y33/(1+Policy_Sched!$K32))</f>
        <v>0</v>
      </c>
      <c r="Z32" s="42">
        <f t="shared" si="14"/>
        <v>0</v>
      </c>
      <c r="AA32" s="38">
        <f>IF($A32&gt;LastT,0,N32-V32-Q32/(1+Policy_Sched!$K32)+Z33/(1+Policy_Sched!$K32))</f>
        <v>0</v>
      </c>
    </row>
    <row r="33" spans="1:27" x14ac:dyDescent="0.2">
      <c r="A33" s="30">
        <f t="shared" si="15"/>
        <v>26</v>
      </c>
      <c r="B33" s="31">
        <f t="shared" si="16"/>
        <v>0</v>
      </c>
      <c r="C33" s="31">
        <f>IF($A33&gt;LastT,0,IF(AND($D$3&lt;&gt;0,$A33&gt;=T0,Policy_Sched!$B33&lt;LastAge),1+$D$3*$E$3,1))</f>
        <v>0</v>
      </c>
      <c r="D33" s="36">
        <f>IF($A33&gt;LastT,0,IF($C$3="up",MIN(Policy_Sched!$E33*(1+IF($A33&gt;=T0,$E$3,0)),$F$3),IF($C$3="down",MAX(Policy_Sched!$E33*(1-IF($A33&gt;=T0,$E$3,0)),Policy_Sched!$E33-$F$3),Policy_Sched!$E33)))</f>
        <v>0</v>
      </c>
      <c r="E33" s="37">
        <f t="shared" si="17"/>
        <v>0</v>
      </c>
      <c r="F33" s="37">
        <f t="shared" si="0"/>
        <v>0</v>
      </c>
      <c r="G33" s="37">
        <f t="shared" si="1"/>
        <v>0</v>
      </c>
      <c r="H33" s="37">
        <f t="shared" si="2"/>
        <v>0</v>
      </c>
      <c r="I33" s="37">
        <f t="shared" si="3"/>
        <v>0</v>
      </c>
      <c r="J33" s="37">
        <f t="shared" si="4"/>
        <v>0</v>
      </c>
      <c r="K33" s="37">
        <f>IF($A33&gt;LastT,0,J33*Policy_Sched!$C33*Policy_Sched!$D33*C33)</f>
        <v>0</v>
      </c>
      <c r="L33" s="41">
        <f t="shared" si="5"/>
        <v>0</v>
      </c>
      <c r="M33" s="38">
        <f t="shared" si="6"/>
        <v>0</v>
      </c>
      <c r="N33" s="38">
        <f t="shared" si="7"/>
        <v>0</v>
      </c>
      <c r="O33" s="38">
        <f t="shared" si="8"/>
        <v>0</v>
      </c>
      <c r="P33" s="38">
        <f>Policy_Sched!$I33*(L33+I33)</f>
        <v>0</v>
      </c>
      <c r="Q33" s="42">
        <f t="shared" si="9"/>
        <v>0</v>
      </c>
      <c r="R33" s="38">
        <f t="shared" si="10"/>
        <v>0</v>
      </c>
      <c r="S33" s="38">
        <f t="shared" si="11"/>
        <v>0</v>
      </c>
      <c r="T33" s="38">
        <f>Policy_Sched!$J33*J33</f>
        <v>0</v>
      </c>
      <c r="U33" s="42">
        <f t="shared" si="12"/>
        <v>0</v>
      </c>
      <c r="V33" s="42">
        <f t="shared" si="13"/>
        <v>0</v>
      </c>
      <c r="W33" s="38">
        <f>IF($A33&gt;LastT,0,N33+W34/(1+Policy_Sched!$K33))</f>
        <v>0</v>
      </c>
      <c r="X33" s="38">
        <f>IF($A33&gt;LastT,0,(-Q33+X34)/(1+Policy_Sched!$K33))</f>
        <v>0</v>
      </c>
      <c r="Y33" s="38">
        <f>IF($A33&gt;LastT,0,-V33+Y34/(1+Policy_Sched!$K33))</f>
        <v>0</v>
      </c>
      <c r="Z33" s="42">
        <f t="shared" si="14"/>
        <v>0</v>
      </c>
      <c r="AA33" s="38">
        <f>IF($A33&gt;LastT,0,N33-V33-Q33/(1+Policy_Sched!$K33)+Z34/(1+Policy_Sched!$K33))</f>
        <v>0</v>
      </c>
    </row>
    <row r="34" spans="1:27" x14ac:dyDescent="0.2">
      <c r="A34" s="30">
        <f t="shared" si="15"/>
        <v>27</v>
      </c>
      <c r="B34" s="31">
        <f t="shared" si="16"/>
        <v>0</v>
      </c>
      <c r="C34" s="31">
        <f>IF($A34&gt;LastT,0,IF(AND($D$3&lt;&gt;0,$A34&gt;=T0,Policy_Sched!$B34&lt;LastAge),1+$D$3*$E$3,1))</f>
        <v>0</v>
      </c>
      <c r="D34" s="36">
        <f>IF($A34&gt;LastT,0,IF($C$3="up",MIN(Policy_Sched!$E34*(1+IF($A34&gt;=T0,$E$3,0)),$F$3),IF($C$3="down",MAX(Policy_Sched!$E34*(1-IF($A34&gt;=T0,$E$3,0)),Policy_Sched!$E34-$F$3),Policy_Sched!$E34)))</f>
        <v>0</v>
      </c>
      <c r="E34" s="37">
        <f t="shared" si="17"/>
        <v>0</v>
      </c>
      <c r="F34" s="37">
        <f t="shared" si="0"/>
        <v>0</v>
      </c>
      <c r="G34" s="37">
        <f t="shared" si="1"/>
        <v>0</v>
      </c>
      <c r="H34" s="37">
        <f t="shared" si="2"/>
        <v>0</v>
      </c>
      <c r="I34" s="37">
        <f t="shared" si="3"/>
        <v>0</v>
      </c>
      <c r="J34" s="37">
        <f t="shared" si="4"/>
        <v>0</v>
      </c>
      <c r="K34" s="37">
        <f>IF($A34&gt;LastT,0,J34*Policy_Sched!$C34*Policy_Sched!$D34*C34)</f>
        <v>0</v>
      </c>
      <c r="L34" s="41">
        <f t="shared" si="5"/>
        <v>0</v>
      </c>
      <c r="M34" s="38">
        <f t="shared" si="6"/>
        <v>0</v>
      </c>
      <c r="N34" s="38">
        <f t="shared" si="7"/>
        <v>0</v>
      </c>
      <c r="O34" s="38">
        <f t="shared" si="8"/>
        <v>0</v>
      </c>
      <c r="P34" s="38">
        <f>Policy_Sched!$I34*(L34+I34)</f>
        <v>0</v>
      </c>
      <c r="Q34" s="42">
        <f t="shared" si="9"/>
        <v>0</v>
      </c>
      <c r="R34" s="38">
        <f t="shared" si="10"/>
        <v>0</v>
      </c>
      <c r="S34" s="38">
        <f t="shared" si="11"/>
        <v>0</v>
      </c>
      <c r="T34" s="38">
        <f>Policy_Sched!$J34*J34</f>
        <v>0</v>
      </c>
      <c r="U34" s="42">
        <f t="shared" si="12"/>
        <v>0</v>
      </c>
      <c r="V34" s="42">
        <f t="shared" si="13"/>
        <v>0</v>
      </c>
      <c r="W34" s="38">
        <f>IF($A34&gt;LastT,0,N34+W35/(1+Policy_Sched!$K34))</f>
        <v>0</v>
      </c>
      <c r="X34" s="38">
        <f>IF($A34&gt;LastT,0,(-Q34+X35)/(1+Policy_Sched!$K34))</f>
        <v>0</v>
      </c>
      <c r="Y34" s="38">
        <f>IF($A34&gt;LastT,0,-V34+Y35/(1+Policy_Sched!$K34))</f>
        <v>0</v>
      </c>
      <c r="Z34" s="42">
        <f t="shared" si="14"/>
        <v>0</v>
      </c>
      <c r="AA34" s="38">
        <f>IF($A34&gt;LastT,0,N34-V34-Q34/(1+Policy_Sched!$K34)+Z35/(1+Policy_Sched!$K34))</f>
        <v>0</v>
      </c>
    </row>
    <row r="35" spans="1:27" x14ac:dyDescent="0.2">
      <c r="A35" s="30">
        <f t="shared" si="15"/>
        <v>28</v>
      </c>
      <c r="B35" s="31">
        <f t="shared" si="16"/>
        <v>0</v>
      </c>
      <c r="C35" s="31">
        <f>IF($A35&gt;LastT,0,IF(AND($D$3&lt;&gt;0,$A35&gt;=T0,Policy_Sched!$B35&lt;LastAge),1+$D$3*$E$3,1))</f>
        <v>0</v>
      </c>
      <c r="D35" s="36">
        <f>IF($A35&gt;LastT,0,IF($C$3="up",MIN(Policy_Sched!$E35*(1+IF($A35&gt;=T0,$E$3,0)),$F$3),IF($C$3="down",MAX(Policy_Sched!$E35*(1-IF($A35&gt;=T0,$E$3,0)),Policy_Sched!$E35-$F$3),Policy_Sched!$E35)))</f>
        <v>0</v>
      </c>
      <c r="E35" s="37">
        <f t="shared" si="17"/>
        <v>0</v>
      </c>
      <c r="F35" s="37">
        <f t="shared" si="0"/>
        <v>0</v>
      </c>
      <c r="G35" s="37">
        <f t="shared" si="1"/>
        <v>0</v>
      </c>
      <c r="H35" s="37">
        <f t="shared" si="2"/>
        <v>0</v>
      </c>
      <c r="I35" s="37">
        <f t="shared" si="3"/>
        <v>0</v>
      </c>
      <c r="J35" s="37">
        <f t="shared" si="4"/>
        <v>0</v>
      </c>
      <c r="K35" s="37">
        <f>IF($A35&gt;LastT,0,J35*Policy_Sched!$C35*Policy_Sched!$D35*C35)</f>
        <v>0</v>
      </c>
      <c r="L35" s="41">
        <f t="shared" si="5"/>
        <v>0</v>
      </c>
      <c r="M35" s="38">
        <f t="shared" si="6"/>
        <v>0</v>
      </c>
      <c r="N35" s="38">
        <f t="shared" si="7"/>
        <v>0</v>
      </c>
      <c r="O35" s="38">
        <f t="shared" si="8"/>
        <v>0</v>
      </c>
      <c r="P35" s="38">
        <f>Policy_Sched!$I35*(L35+I35)</f>
        <v>0</v>
      </c>
      <c r="Q35" s="42">
        <f t="shared" si="9"/>
        <v>0</v>
      </c>
      <c r="R35" s="38">
        <f t="shared" si="10"/>
        <v>0</v>
      </c>
      <c r="S35" s="38">
        <f t="shared" si="11"/>
        <v>0</v>
      </c>
      <c r="T35" s="38">
        <f>Policy_Sched!$J35*J35</f>
        <v>0</v>
      </c>
      <c r="U35" s="42">
        <f t="shared" si="12"/>
        <v>0</v>
      </c>
      <c r="V35" s="42">
        <f t="shared" si="13"/>
        <v>0</v>
      </c>
      <c r="W35" s="38">
        <f>IF($A35&gt;LastT,0,N35+W36/(1+Policy_Sched!$K35))</f>
        <v>0</v>
      </c>
      <c r="X35" s="38">
        <f>IF($A35&gt;LastT,0,(-Q35+X36)/(1+Policy_Sched!$K35))</f>
        <v>0</v>
      </c>
      <c r="Y35" s="38">
        <f>IF($A35&gt;LastT,0,-V35+Y36/(1+Policy_Sched!$K35))</f>
        <v>0</v>
      </c>
      <c r="Z35" s="42">
        <f t="shared" si="14"/>
        <v>0</v>
      </c>
      <c r="AA35" s="38">
        <f>IF($A35&gt;LastT,0,N35-V35-Q35/(1+Policy_Sched!$K35)+Z36/(1+Policy_Sched!$K35))</f>
        <v>0</v>
      </c>
    </row>
    <row r="36" spans="1:27" x14ac:dyDescent="0.2">
      <c r="A36" s="30">
        <f t="shared" si="15"/>
        <v>29</v>
      </c>
      <c r="B36" s="31">
        <f t="shared" si="16"/>
        <v>0</v>
      </c>
      <c r="C36" s="31">
        <f>IF($A36&gt;LastT,0,IF(AND($D$3&lt;&gt;0,$A36&gt;=T0,Policy_Sched!$B36&lt;LastAge),1+$D$3*$E$3,1))</f>
        <v>0</v>
      </c>
      <c r="D36" s="36">
        <f>IF($A36&gt;LastT,0,IF($C$3="up",MIN(Policy_Sched!$E36*(1+IF($A36&gt;=T0,$E$3,0)),$F$3),IF($C$3="down",MAX(Policy_Sched!$E36*(1-IF($A36&gt;=T0,$E$3,0)),Policy_Sched!$E36-$F$3),Policy_Sched!$E36)))</f>
        <v>0</v>
      </c>
      <c r="E36" s="37">
        <f t="shared" si="17"/>
        <v>0</v>
      </c>
      <c r="F36" s="37">
        <f t="shared" si="0"/>
        <v>0</v>
      </c>
      <c r="G36" s="37">
        <f t="shared" si="1"/>
        <v>0</v>
      </c>
      <c r="H36" s="37">
        <f t="shared" si="2"/>
        <v>0</v>
      </c>
      <c r="I36" s="37">
        <f t="shared" si="3"/>
        <v>0</v>
      </c>
      <c r="J36" s="37">
        <f t="shared" si="4"/>
        <v>0</v>
      </c>
      <c r="K36" s="37">
        <f>IF($A36&gt;LastT,0,J36*Policy_Sched!$C36*Policy_Sched!$D36*C36)</f>
        <v>0</v>
      </c>
      <c r="L36" s="41">
        <f t="shared" si="5"/>
        <v>0</v>
      </c>
      <c r="M36" s="38">
        <f t="shared" si="6"/>
        <v>0</v>
      </c>
      <c r="N36" s="38">
        <f t="shared" si="7"/>
        <v>0</v>
      </c>
      <c r="O36" s="38">
        <f t="shared" si="8"/>
        <v>0</v>
      </c>
      <c r="P36" s="38">
        <f>Policy_Sched!$I36*(L36+I36)</f>
        <v>0</v>
      </c>
      <c r="Q36" s="42">
        <f t="shared" si="9"/>
        <v>0</v>
      </c>
      <c r="R36" s="38">
        <f t="shared" si="10"/>
        <v>0</v>
      </c>
      <c r="S36" s="38">
        <f t="shared" si="11"/>
        <v>0</v>
      </c>
      <c r="T36" s="38">
        <f>Policy_Sched!$J36*J36</f>
        <v>0</v>
      </c>
      <c r="U36" s="42">
        <f t="shared" si="12"/>
        <v>0</v>
      </c>
      <c r="V36" s="42">
        <f t="shared" si="13"/>
        <v>0</v>
      </c>
      <c r="W36" s="38">
        <f>IF($A36&gt;LastT,0,N36+W37/(1+Policy_Sched!$K36))</f>
        <v>0</v>
      </c>
      <c r="X36" s="38">
        <f>IF($A36&gt;LastT,0,(-Q36+X37)/(1+Policy_Sched!$K36))</f>
        <v>0</v>
      </c>
      <c r="Y36" s="38">
        <f>IF($A36&gt;LastT,0,-V36+Y37/(1+Policy_Sched!$K36))</f>
        <v>0</v>
      </c>
      <c r="Z36" s="42">
        <f t="shared" si="14"/>
        <v>0</v>
      </c>
      <c r="AA36" s="38">
        <f>IF($A36&gt;LastT,0,N36-V36-Q36/(1+Policy_Sched!$K36)+Z37/(1+Policy_Sched!$K36))</f>
        <v>0</v>
      </c>
    </row>
    <row r="37" spans="1:27" x14ac:dyDescent="0.2">
      <c r="A37" s="30">
        <f t="shared" si="15"/>
        <v>30</v>
      </c>
      <c r="B37" s="31">
        <f t="shared" si="16"/>
        <v>0</v>
      </c>
      <c r="C37" s="31">
        <f>IF($A37&gt;LastT,0,IF(AND($D$3&lt;&gt;0,$A37&gt;=T0,Policy_Sched!$B37&lt;LastAge),1+$D$3*$E$3,1))</f>
        <v>0</v>
      </c>
      <c r="D37" s="36">
        <f>IF($A37&gt;LastT,0,IF($C$3="up",MIN(Policy_Sched!$E37*(1+IF($A37&gt;=T0,$E$3,0)),$F$3),IF($C$3="down",MAX(Policy_Sched!$E37*(1-IF($A37&gt;=T0,$E$3,0)),Policy_Sched!$E37-$F$3),Policy_Sched!$E37)))</f>
        <v>0</v>
      </c>
      <c r="E37" s="37">
        <f t="shared" si="17"/>
        <v>0</v>
      </c>
      <c r="F37" s="37">
        <f t="shared" si="0"/>
        <v>0</v>
      </c>
      <c r="G37" s="37">
        <f t="shared" si="1"/>
        <v>0</v>
      </c>
      <c r="H37" s="37">
        <f t="shared" si="2"/>
        <v>0</v>
      </c>
      <c r="I37" s="37">
        <f t="shared" si="3"/>
        <v>0</v>
      </c>
      <c r="J37" s="37">
        <f t="shared" si="4"/>
        <v>0</v>
      </c>
      <c r="K37" s="37">
        <f>IF($A37&gt;LastT,0,J37*Policy_Sched!$C37*Policy_Sched!$D37*C37)</f>
        <v>0</v>
      </c>
      <c r="L37" s="41">
        <f t="shared" si="5"/>
        <v>0</v>
      </c>
      <c r="M37" s="38">
        <f t="shared" si="6"/>
        <v>0</v>
      </c>
      <c r="N37" s="38">
        <f t="shared" si="7"/>
        <v>0</v>
      </c>
      <c r="O37" s="38">
        <f t="shared" si="8"/>
        <v>0</v>
      </c>
      <c r="P37" s="38">
        <f>Policy_Sched!$I37*(L37+I37)</f>
        <v>0</v>
      </c>
      <c r="Q37" s="42">
        <f t="shared" si="9"/>
        <v>0</v>
      </c>
      <c r="R37" s="38">
        <f t="shared" si="10"/>
        <v>0</v>
      </c>
      <c r="S37" s="38">
        <f t="shared" si="11"/>
        <v>0</v>
      </c>
      <c r="T37" s="38">
        <f>Policy_Sched!$J37*J37</f>
        <v>0</v>
      </c>
      <c r="U37" s="42">
        <f t="shared" si="12"/>
        <v>0</v>
      </c>
      <c r="V37" s="42">
        <f t="shared" si="13"/>
        <v>0</v>
      </c>
      <c r="W37" s="38">
        <f>IF($A37&gt;LastT,0,N37+W38/(1+Policy_Sched!$K37))</f>
        <v>0</v>
      </c>
      <c r="X37" s="38">
        <f>IF($A37&gt;LastT,0,(-Q37+X38)/(1+Policy_Sched!$K37))</f>
        <v>0</v>
      </c>
      <c r="Y37" s="38">
        <f>IF($A37&gt;LastT,0,-V37+Y38/(1+Policy_Sched!$K37))</f>
        <v>0</v>
      </c>
      <c r="Z37" s="42">
        <f t="shared" si="14"/>
        <v>0</v>
      </c>
      <c r="AA37" s="38">
        <f>IF($A37&gt;LastT,0,N37-V37-Q37/(1+Policy_Sched!$K37)+Z38/(1+Policy_Sched!$K37))</f>
        <v>0</v>
      </c>
    </row>
    <row r="38" spans="1:27" x14ac:dyDescent="0.2">
      <c r="A38" s="30">
        <f t="shared" si="15"/>
        <v>31</v>
      </c>
      <c r="B38" s="31">
        <f t="shared" si="16"/>
        <v>0</v>
      </c>
      <c r="C38" s="31">
        <f>IF($A38&gt;LastT,0,IF(AND($D$3&lt;&gt;0,$A38&gt;=T0,Policy_Sched!$B38&lt;LastAge),1+$D$3*$E$3,1))</f>
        <v>0</v>
      </c>
      <c r="D38" s="36">
        <f>IF($A38&gt;LastT,0,IF($C$3="up",MIN(Policy_Sched!$E38*(1+IF($A38&gt;=T0,$E$3,0)),$F$3),IF($C$3="down",MAX(Policy_Sched!$E38*(1-IF($A38&gt;=T0,$E$3,0)),Policy_Sched!$E38-$F$3),Policy_Sched!$E38)))</f>
        <v>0</v>
      </c>
      <c r="E38" s="37">
        <f t="shared" si="17"/>
        <v>0</v>
      </c>
      <c r="F38" s="37">
        <f t="shared" si="0"/>
        <v>0</v>
      </c>
      <c r="G38" s="37">
        <f t="shared" si="1"/>
        <v>0</v>
      </c>
      <c r="H38" s="37">
        <f t="shared" si="2"/>
        <v>0</v>
      </c>
      <c r="I38" s="37">
        <f t="shared" si="3"/>
        <v>0</v>
      </c>
      <c r="J38" s="37">
        <f t="shared" si="4"/>
        <v>0</v>
      </c>
      <c r="K38" s="37">
        <f>IF($A38&gt;LastT,0,J38*Policy_Sched!$C38*Policy_Sched!$D38*C38)</f>
        <v>0</v>
      </c>
      <c r="L38" s="41">
        <f t="shared" si="5"/>
        <v>0</v>
      </c>
      <c r="M38" s="38">
        <f t="shared" si="6"/>
        <v>0</v>
      </c>
      <c r="N38" s="38">
        <f t="shared" si="7"/>
        <v>0</v>
      </c>
      <c r="O38" s="38">
        <f t="shared" si="8"/>
        <v>0</v>
      </c>
      <c r="P38" s="38">
        <f>Policy_Sched!$I38*(L38+I38)</f>
        <v>0</v>
      </c>
      <c r="Q38" s="42">
        <f t="shared" si="9"/>
        <v>0</v>
      </c>
      <c r="R38" s="38">
        <f t="shared" si="10"/>
        <v>0</v>
      </c>
      <c r="S38" s="38">
        <f t="shared" si="11"/>
        <v>0</v>
      </c>
      <c r="T38" s="38">
        <f>Policy_Sched!$J38*J38</f>
        <v>0</v>
      </c>
      <c r="U38" s="42">
        <f t="shared" si="12"/>
        <v>0</v>
      </c>
      <c r="V38" s="42">
        <f t="shared" si="13"/>
        <v>0</v>
      </c>
      <c r="W38" s="38">
        <f>IF($A38&gt;LastT,0,N38+W39/(1+Policy_Sched!$K38))</f>
        <v>0</v>
      </c>
      <c r="X38" s="38">
        <f>IF($A38&gt;LastT,0,(-Q38+X39)/(1+Policy_Sched!$K38))</f>
        <v>0</v>
      </c>
      <c r="Y38" s="38">
        <f>IF($A38&gt;LastT,0,-V38+Y39/(1+Policy_Sched!$K38))</f>
        <v>0</v>
      </c>
      <c r="Z38" s="42">
        <f t="shared" si="14"/>
        <v>0</v>
      </c>
      <c r="AA38" s="38">
        <f>IF($A38&gt;LastT,0,N38-V38-Q38/(1+Policy_Sched!$K38)+Z39/(1+Policy_Sched!$K38))</f>
        <v>0</v>
      </c>
    </row>
    <row r="39" spans="1:27" x14ac:dyDescent="0.2">
      <c r="A39" s="30">
        <f t="shared" si="15"/>
        <v>32</v>
      </c>
      <c r="B39" s="31">
        <f t="shared" si="16"/>
        <v>0</v>
      </c>
      <c r="C39" s="31">
        <f>IF($A39&gt;LastT,0,IF(AND($D$3&lt;&gt;0,$A39&gt;=T0,Policy_Sched!$B39&lt;LastAge),1+$D$3*$E$3,1))</f>
        <v>0</v>
      </c>
      <c r="D39" s="36">
        <f>IF($A39&gt;LastT,0,IF($C$3="up",MIN(Policy_Sched!$E39*(1+IF($A39&gt;=T0,$E$3,0)),$F$3),IF($C$3="down",MAX(Policy_Sched!$E39*(1-IF($A39&gt;=T0,$E$3,0)),Policy_Sched!$E39-$F$3),Policy_Sched!$E39)))</f>
        <v>0</v>
      </c>
      <c r="E39" s="37">
        <f t="shared" si="17"/>
        <v>0</v>
      </c>
      <c r="F39" s="37">
        <f t="shared" ref="F39:F70" si="18">IF($A39&gt;LastT,0,IF($A39=PolicyTerm,E39,0))</f>
        <v>0</v>
      </c>
      <c r="G39" s="37">
        <f t="shared" ref="G39:G70" si="19">IF($A39&gt;LastT,0,E39-F39)</f>
        <v>0</v>
      </c>
      <c r="H39" s="37">
        <f t="shared" ref="H39:H70" si="20">IF($A39=0,PolicyCount,0)</f>
        <v>0</v>
      </c>
      <c r="I39" s="37">
        <f t="shared" ref="I39:I70" si="21">IF($A39&gt;LastT,0,IF(AND($C$3="mass",$A39=T0),(G39+H39)*$E$3,0))</f>
        <v>0</v>
      </c>
      <c r="J39" s="37">
        <f t="shared" ref="J39:J70" si="22">IF($A39&gt;LastT,0,G39+H39-I39)</f>
        <v>0</v>
      </c>
      <c r="K39" s="37">
        <f>IF($A39&gt;LastT,0,J39*Policy_Sched!$C39*Policy_Sched!$D39*C39)</f>
        <v>0</v>
      </c>
      <c r="L39" s="41">
        <f t="shared" ref="L39:L70" si="23">J39*D39</f>
        <v>0</v>
      </c>
      <c r="M39" s="38">
        <f t="shared" ref="M39:M70" si="24">IF($A39&gt;LastT,0,(SizeAnnPrem*ExpsMaintAnnPrem+(SumAssured*ExpsMaintSA+ExpsMaintPol)*B39)*(1+IF($B$3="exps",$E$3,0)))</f>
        <v>0</v>
      </c>
      <c r="N39" s="38">
        <f t="shared" ref="N39:N70" si="25">SizePremium*J39</f>
        <v>0</v>
      </c>
      <c r="O39" s="38">
        <f t="shared" ref="O39:O70" si="26">SumAssured*K39</f>
        <v>0</v>
      </c>
      <c r="P39" s="38">
        <f>Policy_Sched!$I39*(L39+I39)</f>
        <v>0</v>
      </c>
      <c r="Q39" s="42">
        <f t="shared" ref="Q39:Q70" si="27">O39+P39</f>
        <v>0</v>
      </c>
      <c r="R39" s="38">
        <f t="shared" ref="R39:R70" si="28">IF($A39=0,SizeExpsAcq0*H39,0)</f>
        <v>0</v>
      </c>
      <c r="S39" s="38">
        <f t="shared" ref="S39:S70" si="29">IF($A39=0,SizeExpsCommInit0*J39,0)</f>
        <v>0</v>
      </c>
      <c r="T39" s="38">
        <f>Policy_Sched!$J39*J39</f>
        <v>0</v>
      </c>
      <c r="U39" s="42">
        <f t="shared" ref="U39:U70" si="30">M39*J39</f>
        <v>0</v>
      </c>
      <c r="V39" s="42">
        <f t="shared" ref="V39:V70" si="31">S39+T39+R39+U39</f>
        <v>0</v>
      </c>
      <c r="W39" s="38">
        <f>IF($A39&gt;LastT,0,N39+W40/(1+Policy_Sched!$K39))</f>
        <v>0</v>
      </c>
      <c r="X39" s="38">
        <f>IF($A39&gt;LastT,0,(-Q39+X40)/(1+Policy_Sched!$K39))</f>
        <v>0</v>
      </c>
      <c r="Y39" s="38">
        <f>IF($A39&gt;LastT,0,-V39+Y40/(1+Policy_Sched!$K39))</f>
        <v>0</v>
      </c>
      <c r="Z39" s="42">
        <f t="shared" ref="Z39:Z70" si="32">W39+Y39+X39</f>
        <v>0</v>
      </c>
      <c r="AA39" s="38">
        <f>IF($A39&gt;LastT,0,N39-V39-Q39/(1+Policy_Sched!$K39)+Z40/(1+Policy_Sched!$K39))</f>
        <v>0</v>
      </c>
    </row>
    <row r="40" spans="1:27" x14ac:dyDescent="0.2">
      <c r="A40" s="30">
        <f t="shared" ref="A40:A71" si="33">A39+1</f>
        <v>33</v>
      </c>
      <c r="B40" s="31">
        <f t="shared" ref="B40:B71" si="34">IF($A40&gt;LastT,0,IF($B$3="exps",B39*(1+InflRate+IF($A40&gt;=T0,$G$3,0)),B39/(1+InflRate)))</f>
        <v>0</v>
      </c>
      <c r="C40" s="31">
        <f>IF($A40&gt;LastT,0,IF(AND($D$3&lt;&gt;0,$A40&gt;=T0,Policy_Sched!$B40&lt;LastAge),1+$D$3*$E$3,1))</f>
        <v>0</v>
      </c>
      <c r="D40" s="36">
        <f>IF($A40&gt;LastT,0,IF($C$3="up",MIN(Policy_Sched!$E40*(1+IF($A40&gt;=T0,$E$3,0)),$F$3),IF($C$3="down",MAX(Policy_Sched!$E40*(1-IF($A40&gt;=T0,$E$3,0)),Policy_Sched!$E40-$F$3),Policy_Sched!$E40)))</f>
        <v>0</v>
      </c>
      <c r="E40" s="37">
        <f t="shared" ref="E40:E71" si="35">IF($A40&gt;LastT,0,J39-K39-L39)</f>
        <v>0</v>
      </c>
      <c r="F40" s="37">
        <f t="shared" si="18"/>
        <v>0</v>
      </c>
      <c r="G40" s="37">
        <f t="shared" si="19"/>
        <v>0</v>
      </c>
      <c r="H40" s="37">
        <f t="shared" si="20"/>
        <v>0</v>
      </c>
      <c r="I40" s="37">
        <f t="shared" si="21"/>
        <v>0</v>
      </c>
      <c r="J40" s="37">
        <f t="shared" si="22"/>
        <v>0</v>
      </c>
      <c r="K40" s="37">
        <f>IF($A40&gt;LastT,0,J40*Policy_Sched!$C40*Policy_Sched!$D40*C40)</f>
        <v>0</v>
      </c>
      <c r="L40" s="41">
        <f t="shared" si="23"/>
        <v>0</v>
      </c>
      <c r="M40" s="38">
        <f t="shared" si="24"/>
        <v>0</v>
      </c>
      <c r="N40" s="38">
        <f t="shared" si="25"/>
        <v>0</v>
      </c>
      <c r="O40" s="38">
        <f t="shared" si="26"/>
        <v>0</v>
      </c>
      <c r="P40" s="38">
        <f>Policy_Sched!$I40*(L40+I40)</f>
        <v>0</v>
      </c>
      <c r="Q40" s="42">
        <f t="shared" si="27"/>
        <v>0</v>
      </c>
      <c r="R40" s="38">
        <f t="shared" si="28"/>
        <v>0</v>
      </c>
      <c r="S40" s="38">
        <f t="shared" si="29"/>
        <v>0</v>
      </c>
      <c r="T40" s="38">
        <f>Policy_Sched!$J40*J40</f>
        <v>0</v>
      </c>
      <c r="U40" s="42">
        <f t="shared" si="30"/>
        <v>0</v>
      </c>
      <c r="V40" s="42">
        <f t="shared" si="31"/>
        <v>0</v>
      </c>
      <c r="W40" s="38">
        <f>IF($A40&gt;LastT,0,N40+W41/(1+Policy_Sched!$K40))</f>
        <v>0</v>
      </c>
      <c r="X40" s="38">
        <f>IF($A40&gt;LastT,0,(-Q40+X41)/(1+Policy_Sched!$K40))</f>
        <v>0</v>
      </c>
      <c r="Y40" s="38">
        <f>IF($A40&gt;LastT,0,-V40+Y41/(1+Policy_Sched!$K40))</f>
        <v>0</v>
      </c>
      <c r="Z40" s="42">
        <f t="shared" si="32"/>
        <v>0</v>
      </c>
      <c r="AA40" s="38">
        <f>IF($A40&gt;LastT,0,N40-V40-Q40/(1+Policy_Sched!$K40)+Z41/(1+Policy_Sched!$K40))</f>
        <v>0</v>
      </c>
    </row>
    <row r="41" spans="1:27" x14ac:dyDescent="0.2">
      <c r="A41" s="30">
        <f t="shared" si="33"/>
        <v>34</v>
      </c>
      <c r="B41" s="31">
        <f t="shared" si="34"/>
        <v>0</v>
      </c>
      <c r="C41" s="31">
        <f>IF($A41&gt;LastT,0,IF(AND($D$3&lt;&gt;0,$A41&gt;=T0,Policy_Sched!$B41&lt;LastAge),1+$D$3*$E$3,1))</f>
        <v>0</v>
      </c>
      <c r="D41" s="36">
        <f>IF($A41&gt;LastT,0,IF($C$3="up",MIN(Policy_Sched!$E41*(1+IF($A41&gt;=T0,$E$3,0)),$F$3),IF($C$3="down",MAX(Policy_Sched!$E41*(1-IF($A41&gt;=T0,$E$3,0)),Policy_Sched!$E41-$F$3),Policy_Sched!$E41)))</f>
        <v>0</v>
      </c>
      <c r="E41" s="37">
        <f t="shared" si="35"/>
        <v>0</v>
      </c>
      <c r="F41" s="37">
        <f t="shared" si="18"/>
        <v>0</v>
      </c>
      <c r="G41" s="37">
        <f t="shared" si="19"/>
        <v>0</v>
      </c>
      <c r="H41" s="37">
        <f t="shared" si="20"/>
        <v>0</v>
      </c>
      <c r="I41" s="37">
        <f t="shared" si="21"/>
        <v>0</v>
      </c>
      <c r="J41" s="37">
        <f t="shared" si="22"/>
        <v>0</v>
      </c>
      <c r="K41" s="37">
        <f>IF($A41&gt;LastT,0,J41*Policy_Sched!$C41*Policy_Sched!$D41*C41)</f>
        <v>0</v>
      </c>
      <c r="L41" s="41">
        <f t="shared" si="23"/>
        <v>0</v>
      </c>
      <c r="M41" s="38">
        <f t="shared" si="24"/>
        <v>0</v>
      </c>
      <c r="N41" s="38">
        <f t="shared" si="25"/>
        <v>0</v>
      </c>
      <c r="O41" s="38">
        <f t="shared" si="26"/>
        <v>0</v>
      </c>
      <c r="P41" s="38">
        <f>Policy_Sched!$I41*(L41+I41)</f>
        <v>0</v>
      </c>
      <c r="Q41" s="42">
        <f t="shared" si="27"/>
        <v>0</v>
      </c>
      <c r="R41" s="38">
        <f t="shared" si="28"/>
        <v>0</v>
      </c>
      <c r="S41" s="38">
        <f t="shared" si="29"/>
        <v>0</v>
      </c>
      <c r="T41" s="38">
        <f>Policy_Sched!$J41*J41</f>
        <v>0</v>
      </c>
      <c r="U41" s="42">
        <f t="shared" si="30"/>
        <v>0</v>
      </c>
      <c r="V41" s="42">
        <f t="shared" si="31"/>
        <v>0</v>
      </c>
      <c r="W41" s="38">
        <f>IF($A41&gt;LastT,0,N41+W42/(1+Policy_Sched!$K41))</f>
        <v>0</v>
      </c>
      <c r="X41" s="38">
        <f>IF($A41&gt;LastT,0,(-Q41+X42)/(1+Policy_Sched!$K41))</f>
        <v>0</v>
      </c>
      <c r="Y41" s="38">
        <f>IF($A41&gt;LastT,0,-V41+Y42/(1+Policy_Sched!$K41))</f>
        <v>0</v>
      </c>
      <c r="Z41" s="42">
        <f t="shared" si="32"/>
        <v>0</v>
      </c>
      <c r="AA41" s="38">
        <f>IF($A41&gt;LastT,0,N41-V41-Q41/(1+Policy_Sched!$K41)+Z42/(1+Policy_Sched!$K41))</f>
        <v>0</v>
      </c>
    </row>
    <row r="42" spans="1:27" x14ac:dyDescent="0.2">
      <c r="A42" s="30">
        <f t="shared" si="33"/>
        <v>35</v>
      </c>
      <c r="B42" s="31">
        <f t="shared" si="34"/>
        <v>0</v>
      </c>
      <c r="C42" s="31">
        <f>IF($A42&gt;LastT,0,IF(AND($D$3&lt;&gt;0,$A42&gt;=T0,Policy_Sched!$B42&lt;LastAge),1+$D$3*$E$3,1))</f>
        <v>0</v>
      </c>
      <c r="D42" s="36">
        <f>IF($A42&gt;LastT,0,IF($C$3="up",MIN(Policy_Sched!$E42*(1+IF($A42&gt;=T0,$E$3,0)),$F$3),IF($C$3="down",MAX(Policy_Sched!$E42*(1-IF($A42&gt;=T0,$E$3,0)),Policy_Sched!$E42-$F$3),Policy_Sched!$E42)))</f>
        <v>0</v>
      </c>
      <c r="E42" s="37">
        <f t="shared" si="35"/>
        <v>0</v>
      </c>
      <c r="F42" s="37">
        <f t="shared" si="18"/>
        <v>0</v>
      </c>
      <c r="G42" s="37">
        <f t="shared" si="19"/>
        <v>0</v>
      </c>
      <c r="H42" s="37">
        <f t="shared" si="20"/>
        <v>0</v>
      </c>
      <c r="I42" s="37">
        <f t="shared" si="21"/>
        <v>0</v>
      </c>
      <c r="J42" s="37">
        <f t="shared" si="22"/>
        <v>0</v>
      </c>
      <c r="K42" s="37">
        <f>IF($A42&gt;LastT,0,J42*Policy_Sched!$C42*Policy_Sched!$D42*C42)</f>
        <v>0</v>
      </c>
      <c r="L42" s="41">
        <f t="shared" si="23"/>
        <v>0</v>
      </c>
      <c r="M42" s="38">
        <f t="shared" si="24"/>
        <v>0</v>
      </c>
      <c r="N42" s="38">
        <f t="shared" si="25"/>
        <v>0</v>
      </c>
      <c r="O42" s="38">
        <f t="shared" si="26"/>
        <v>0</v>
      </c>
      <c r="P42" s="38">
        <f>Policy_Sched!$I42*(L42+I42)</f>
        <v>0</v>
      </c>
      <c r="Q42" s="42">
        <f t="shared" si="27"/>
        <v>0</v>
      </c>
      <c r="R42" s="38">
        <f t="shared" si="28"/>
        <v>0</v>
      </c>
      <c r="S42" s="38">
        <f t="shared" si="29"/>
        <v>0</v>
      </c>
      <c r="T42" s="38">
        <f>Policy_Sched!$J42*J42</f>
        <v>0</v>
      </c>
      <c r="U42" s="42">
        <f t="shared" si="30"/>
        <v>0</v>
      </c>
      <c r="V42" s="42">
        <f t="shared" si="31"/>
        <v>0</v>
      </c>
      <c r="W42" s="38">
        <f>IF($A42&gt;LastT,0,N42+W43/(1+Policy_Sched!$K42))</f>
        <v>0</v>
      </c>
      <c r="X42" s="38">
        <f>IF($A42&gt;LastT,0,(-Q42+X43)/(1+Policy_Sched!$K42))</f>
        <v>0</v>
      </c>
      <c r="Y42" s="38">
        <f>IF($A42&gt;LastT,0,-V42+Y43/(1+Policy_Sched!$K42))</f>
        <v>0</v>
      </c>
      <c r="Z42" s="42">
        <f t="shared" si="32"/>
        <v>0</v>
      </c>
      <c r="AA42" s="38">
        <f>IF($A42&gt;LastT,0,N42-V42-Q42/(1+Policy_Sched!$K42)+Z43/(1+Policy_Sched!$K42))</f>
        <v>0</v>
      </c>
    </row>
    <row r="43" spans="1:27" x14ac:dyDescent="0.2">
      <c r="A43" s="30">
        <f t="shared" si="33"/>
        <v>36</v>
      </c>
      <c r="B43" s="31">
        <f t="shared" si="34"/>
        <v>0</v>
      </c>
      <c r="C43" s="31">
        <f>IF($A43&gt;LastT,0,IF(AND($D$3&lt;&gt;0,$A43&gt;=T0,Policy_Sched!$B43&lt;LastAge),1+$D$3*$E$3,1))</f>
        <v>0</v>
      </c>
      <c r="D43" s="36">
        <f>IF($A43&gt;LastT,0,IF($C$3="up",MIN(Policy_Sched!$E43*(1+IF($A43&gt;=T0,$E$3,0)),$F$3),IF($C$3="down",MAX(Policy_Sched!$E43*(1-IF($A43&gt;=T0,$E$3,0)),Policy_Sched!$E43-$F$3),Policy_Sched!$E43)))</f>
        <v>0</v>
      </c>
      <c r="E43" s="37">
        <f t="shared" si="35"/>
        <v>0</v>
      </c>
      <c r="F43" s="37">
        <f t="shared" si="18"/>
        <v>0</v>
      </c>
      <c r="G43" s="37">
        <f t="shared" si="19"/>
        <v>0</v>
      </c>
      <c r="H43" s="37">
        <f t="shared" si="20"/>
        <v>0</v>
      </c>
      <c r="I43" s="37">
        <f t="shared" si="21"/>
        <v>0</v>
      </c>
      <c r="J43" s="37">
        <f t="shared" si="22"/>
        <v>0</v>
      </c>
      <c r="K43" s="37">
        <f>IF($A43&gt;LastT,0,J43*Policy_Sched!$C43*Policy_Sched!$D43*C43)</f>
        <v>0</v>
      </c>
      <c r="L43" s="41">
        <f t="shared" si="23"/>
        <v>0</v>
      </c>
      <c r="M43" s="38">
        <f t="shared" si="24"/>
        <v>0</v>
      </c>
      <c r="N43" s="38">
        <f t="shared" si="25"/>
        <v>0</v>
      </c>
      <c r="O43" s="38">
        <f t="shared" si="26"/>
        <v>0</v>
      </c>
      <c r="P43" s="38">
        <f>Policy_Sched!$I43*(L43+I43)</f>
        <v>0</v>
      </c>
      <c r="Q43" s="42">
        <f t="shared" si="27"/>
        <v>0</v>
      </c>
      <c r="R43" s="38">
        <f t="shared" si="28"/>
        <v>0</v>
      </c>
      <c r="S43" s="38">
        <f t="shared" si="29"/>
        <v>0</v>
      </c>
      <c r="T43" s="38">
        <f>Policy_Sched!$J43*J43</f>
        <v>0</v>
      </c>
      <c r="U43" s="42">
        <f t="shared" si="30"/>
        <v>0</v>
      </c>
      <c r="V43" s="42">
        <f t="shared" si="31"/>
        <v>0</v>
      </c>
      <c r="W43" s="38">
        <f>IF($A43&gt;LastT,0,N43+W44/(1+Policy_Sched!$K43))</f>
        <v>0</v>
      </c>
      <c r="X43" s="38">
        <f>IF($A43&gt;LastT,0,(-Q43+X44)/(1+Policy_Sched!$K43))</f>
        <v>0</v>
      </c>
      <c r="Y43" s="38">
        <f>IF($A43&gt;LastT,0,-V43+Y44/(1+Policy_Sched!$K43))</f>
        <v>0</v>
      </c>
      <c r="Z43" s="42">
        <f t="shared" si="32"/>
        <v>0</v>
      </c>
      <c r="AA43" s="38">
        <f>IF($A43&gt;LastT,0,N43-V43-Q43/(1+Policy_Sched!$K43)+Z44/(1+Policy_Sched!$K43))</f>
        <v>0</v>
      </c>
    </row>
    <row r="44" spans="1:27" x14ac:dyDescent="0.2">
      <c r="A44" s="30">
        <f t="shared" si="33"/>
        <v>37</v>
      </c>
      <c r="B44" s="31">
        <f t="shared" si="34"/>
        <v>0</v>
      </c>
      <c r="C44" s="31">
        <f>IF($A44&gt;LastT,0,IF(AND($D$3&lt;&gt;0,$A44&gt;=T0,Policy_Sched!$B44&lt;LastAge),1+$D$3*$E$3,1))</f>
        <v>0</v>
      </c>
      <c r="D44" s="36">
        <f>IF($A44&gt;LastT,0,IF($C$3="up",MIN(Policy_Sched!$E44*(1+IF($A44&gt;=T0,$E$3,0)),$F$3),IF($C$3="down",MAX(Policy_Sched!$E44*(1-IF($A44&gt;=T0,$E$3,0)),Policy_Sched!$E44-$F$3),Policy_Sched!$E44)))</f>
        <v>0</v>
      </c>
      <c r="E44" s="37">
        <f t="shared" si="35"/>
        <v>0</v>
      </c>
      <c r="F44" s="37">
        <f t="shared" si="18"/>
        <v>0</v>
      </c>
      <c r="G44" s="37">
        <f t="shared" si="19"/>
        <v>0</v>
      </c>
      <c r="H44" s="37">
        <f t="shared" si="20"/>
        <v>0</v>
      </c>
      <c r="I44" s="37">
        <f t="shared" si="21"/>
        <v>0</v>
      </c>
      <c r="J44" s="37">
        <f t="shared" si="22"/>
        <v>0</v>
      </c>
      <c r="K44" s="37">
        <f>IF($A44&gt;LastT,0,J44*Policy_Sched!$C44*Policy_Sched!$D44*C44)</f>
        <v>0</v>
      </c>
      <c r="L44" s="41">
        <f t="shared" si="23"/>
        <v>0</v>
      </c>
      <c r="M44" s="38">
        <f t="shared" si="24"/>
        <v>0</v>
      </c>
      <c r="N44" s="38">
        <f t="shared" si="25"/>
        <v>0</v>
      </c>
      <c r="O44" s="38">
        <f t="shared" si="26"/>
        <v>0</v>
      </c>
      <c r="P44" s="38">
        <f>Policy_Sched!$I44*(L44+I44)</f>
        <v>0</v>
      </c>
      <c r="Q44" s="42">
        <f t="shared" si="27"/>
        <v>0</v>
      </c>
      <c r="R44" s="38">
        <f t="shared" si="28"/>
        <v>0</v>
      </c>
      <c r="S44" s="38">
        <f t="shared" si="29"/>
        <v>0</v>
      </c>
      <c r="T44" s="38">
        <f>Policy_Sched!$J44*J44</f>
        <v>0</v>
      </c>
      <c r="U44" s="42">
        <f t="shared" si="30"/>
        <v>0</v>
      </c>
      <c r="V44" s="42">
        <f t="shared" si="31"/>
        <v>0</v>
      </c>
      <c r="W44" s="38">
        <f>IF($A44&gt;LastT,0,N44+W45/(1+Policy_Sched!$K44))</f>
        <v>0</v>
      </c>
      <c r="X44" s="38">
        <f>IF($A44&gt;LastT,0,(-Q44+X45)/(1+Policy_Sched!$K44))</f>
        <v>0</v>
      </c>
      <c r="Y44" s="38">
        <f>IF($A44&gt;LastT,0,-V44+Y45/(1+Policy_Sched!$K44))</f>
        <v>0</v>
      </c>
      <c r="Z44" s="42">
        <f t="shared" si="32"/>
        <v>0</v>
      </c>
      <c r="AA44" s="38">
        <f>IF($A44&gt;LastT,0,N44-V44-Q44/(1+Policy_Sched!$K44)+Z45/(1+Policy_Sched!$K44))</f>
        <v>0</v>
      </c>
    </row>
    <row r="45" spans="1:27" x14ac:dyDescent="0.2">
      <c r="A45" s="30">
        <f t="shared" si="33"/>
        <v>38</v>
      </c>
      <c r="B45" s="31">
        <f t="shared" si="34"/>
        <v>0</v>
      </c>
      <c r="C45" s="31">
        <f>IF($A45&gt;LastT,0,IF(AND($D$3&lt;&gt;0,$A45&gt;=T0,Policy_Sched!$B45&lt;LastAge),1+$D$3*$E$3,1))</f>
        <v>0</v>
      </c>
      <c r="D45" s="36">
        <f>IF($A45&gt;LastT,0,IF($C$3="up",MIN(Policy_Sched!$E45*(1+IF($A45&gt;=T0,$E$3,0)),$F$3),IF($C$3="down",MAX(Policy_Sched!$E45*(1-IF($A45&gt;=T0,$E$3,0)),Policy_Sched!$E45-$F$3),Policy_Sched!$E45)))</f>
        <v>0</v>
      </c>
      <c r="E45" s="37">
        <f t="shared" si="35"/>
        <v>0</v>
      </c>
      <c r="F45" s="37">
        <f t="shared" si="18"/>
        <v>0</v>
      </c>
      <c r="G45" s="37">
        <f t="shared" si="19"/>
        <v>0</v>
      </c>
      <c r="H45" s="37">
        <f t="shared" si="20"/>
        <v>0</v>
      </c>
      <c r="I45" s="37">
        <f t="shared" si="21"/>
        <v>0</v>
      </c>
      <c r="J45" s="37">
        <f t="shared" si="22"/>
        <v>0</v>
      </c>
      <c r="K45" s="37">
        <f>IF($A45&gt;LastT,0,J45*Policy_Sched!$C45*Policy_Sched!$D45*C45)</f>
        <v>0</v>
      </c>
      <c r="L45" s="41">
        <f t="shared" si="23"/>
        <v>0</v>
      </c>
      <c r="M45" s="38">
        <f t="shared" si="24"/>
        <v>0</v>
      </c>
      <c r="N45" s="38">
        <f t="shared" si="25"/>
        <v>0</v>
      </c>
      <c r="O45" s="38">
        <f t="shared" si="26"/>
        <v>0</v>
      </c>
      <c r="P45" s="38">
        <f>Policy_Sched!$I45*(L45+I45)</f>
        <v>0</v>
      </c>
      <c r="Q45" s="42">
        <f t="shared" si="27"/>
        <v>0</v>
      </c>
      <c r="R45" s="38">
        <f t="shared" si="28"/>
        <v>0</v>
      </c>
      <c r="S45" s="38">
        <f t="shared" si="29"/>
        <v>0</v>
      </c>
      <c r="T45" s="38">
        <f>Policy_Sched!$J45*J45</f>
        <v>0</v>
      </c>
      <c r="U45" s="42">
        <f t="shared" si="30"/>
        <v>0</v>
      </c>
      <c r="V45" s="42">
        <f t="shared" si="31"/>
        <v>0</v>
      </c>
      <c r="W45" s="38">
        <f>IF($A45&gt;LastT,0,N45+W46/(1+Policy_Sched!$K45))</f>
        <v>0</v>
      </c>
      <c r="X45" s="38">
        <f>IF($A45&gt;LastT,0,(-Q45+X46)/(1+Policy_Sched!$K45))</f>
        <v>0</v>
      </c>
      <c r="Y45" s="38">
        <f>IF($A45&gt;LastT,0,-V45+Y46/(1+Policy_Sched!$K45))</f>
        <v>0</v>
      </c>
      <c r="Z45" s="42">
        <f t="shared" si="32"/>
        <v>0</v>
      </c>
      <c r="AA45" s="38">
        <f>IF($A45&gt;LastT,0,N45-V45-Q45/(1+Policy_Sched!$K45)+Z46/(1+Policy_Sched!$K45))</f>
        <v>0</v>
      </c>
    </row>
    <row r="46" spans="1:27" x14ac:dyDescent="0.2">
      <c r="A46" s="30">
        <f t="shared" si="33"/>
        <v>39</v>
      </c>
      <c r="B46" s="31">
        <f t="shared" si="34"/>
        <v>0</v>
      </c>
      <c r="C46" s="31">
        <f>IF($A46&gt;LastT,0,IF(AND($D$3&lt;&gt;0,$A46&gt;=T0,Policy_Sched!$B46&lt;LastAge),1+$D$3*$E$3,1))</f>
        <v>0</v>
      </c>
      <c r="D46" s="36">
        <f>IF($A46&gt;LastT,0,IF($C$3="up",MIN(Policy_Sched!$E46*(1+IF($A46&gt;=T0,$E$3,0)),$F$3),IF($C$3="down",MAX(Policy_Sched!$E46*(1-IF($A46&gt;=T0,$E$3,0)),Policy_Sched!$E46-$F$3),Policy_Sched!$E46)))</f>
        <v>0</v>
      </c>
      <c r="E46" s="37">
        <f t="shared" si="35"/>
        <v>0</v>
      </c>
      <c r="F46" s="37">
        <f t="shared" si="18"/>
        <v>0</v>
      </c>
      <c r="G46" s="37">
        <f t="shared" si="19"/>
        <v>0</v>
      </c>
      <c r="H46" s="37">
        <f t="shared" si="20"/>
        <v>0</v>
      </c>
      <c r="I46" s="37">
        <f t="shared" si="21"/>
        <v>0</v>
      </c>
      <c r="J46" s="37">
        <f t="shared" si="22"/>
        <v>0</v>
      </c>
      <c r="K46" s="37">
        <f>IF($A46&gt;LastT,0,J46*Policy_Sched!$C46*Policy_Sched!$D46*C46)</f>
        <v>0</v>
      </c>
      <c r="L46" s="41">
        <f t="shared" si="23"/>
        <v>0</v>
      </c>
      <c r="M46" s="38">
        <f t="shared" si="24"/>
        <v>0</v>
      </c>
      <c r="N46" s="38">
        <f t="shared" si="25"/>
        <v>0</v>
      </c>
      <c r="O46" s="38">
        <f t="shared" si="26"/>
        <v>0</v>
      </c>
      <c r="P46" s="38">
        <f>Policy_Sched!$I46*(L46+I46)</f>
        <v>0</v>
      </c>
      <c r="Q46" s="42">
        <f t="shared" si="27"/>
        <v>0</v>
      </c>
      <c r="R46" s="38">
        <f t="shared" si="28"/>
        <v>0</v>
      </c>
      <c r="S46" s="38">
        <f t="shared" si="29"/>
        <v>0</v>
      </c>
      <c r="T46" s="38">
        <f>Policy_Sched!$J46*J46</f>
        <v>0</v>
      </c>
      <c r="U46" s="42">
        <f t="shared" si="30"/>
        <v>0</v>
      </c>
      <c r="V46" s="42">
        <f t="shared" si="31"/>
        <v>0</v>
      </c>
      <c r="W46" s="38">
        <f>IF($A46&gt;LastT,0,N46+W47/(1+Policy_Sched!$K46))</f>
        <v>0</v>
      </c>
      <c r="X46" s="38">
        <f>IF($A46&gt;LastT,0,(-Q46+X47)/(1+Policy_Sched!$K46))</f>
        <v>0</v>
      </c>
      <c r="Y46" s="38">
        <f>IF($A46&gt;LastT,0,-V46+Y47/(1+Policy_Sched!$K46))</f>
        <v>0</v>
      </c>
      <c r="Z46" s="42">
        <f t="shared" si="32"/>
        <v>0</v>
      </c>
      <c r="AA46" s="38">
        <f>IF($A46&gt;LastT,0,N46-V46-Q46/(1+Policy_Sched!$K46)+Z47/(1+Policy_Sched!$K46))</f>
        <v>0</v>
      </c>
    </row>
    <row r="47" spans="1:27" x14ac:dyDescent="0.2">
      <c r="A47" s="30">
        <f t="shared" si="33"/>
        <v>40</v>
      </c>
      <c r="B47" s="31">
        <f t="shared" si="34"/>
        <v>0</v>
      </c>
      <c r="C47" s="31">
        <f>IF($A47&gt;LastT,0,IF(AND($D$3&lt;&gt;0,$A47&gt;=T0,Policy_Sched!$B47&lt;LastAge),1+$D$3*$E$3,1))</f>
        <v>0</v>
      </c>
      <c r="D47" s="36">
        <f>IF($A47&gt;LastT,0,IF($C$3="up",MIN(Policy_Sched!$E47*(1+IF($A47&gt;=T0,$E$3,0)),$F$3),IF($C$3="down",MAX(Policy_Sched!$E47*(1-IF($A47&gt;=T0,$E$3,0)),Policy_Sched!$E47-$F$3),Policy_Sched!$E47)))</f>
        <v>0</v>
      </c>
      <c r="E47" s="37">
        <f t="shared" si="35"/>
        <v>0</v>
      </c>
      <c r="F47" s="37">
        <f t="shared" si="18"/>
        <v>0</v>
      </c>
      <c r="G47" s="37">
        <f t="shared" si="19"/>
        <v>0</v>
      </c>
      <c r="H47" s="37">
        <f t="shared" si="20"/>
        <v>0</v>
      </c>
      <c r="I47" s="37">
        <f t="shared" si="21"/>
        <v>0</v>
      </c>
      <c r="J47" s="37">
        <f t="shared" si="22"/>
        <v>0</v>
      </c>
      <c r="K47" s="37">
        <f>IF($A47&gt;LastT,0,J47*Policy_Sched!$C47*Policy_Sched!$D47*C47)</f>
        <v>0</v>
      </c>
      <c r="L47" s="41">
        <f t="shared" si="23"/>
        <v>0</v>
      </c>
      <c r="M47" s="38">
        <f t="shared" si="24"/>
        <v>0</v>
      </c>
      <c r="N47" s="38">
        <f t="shared" si="25"/>
        <v>0</v>
      </c>
      <c r="O47" s="38">
        <f t="shared" si="26"/>
        <v>0</v>
      </c>
      <c r="P47" s="38">
        <f>Policy_Sched!$I47*(L47+I47)</f>
        <v>0</v>
      </c>
      <c r="Q47" s="42">
        <f t="shared" si="27"/>
        <v>0</v>
      </c>
      <c r="R47" s="38">
        <f t="shared" si="28"/>
        <v>0</v>
      </c>
      <c r="S47" s="38">
        <f t="shared" si="29"/>
        <v>0</v>
      </c>
      <c r="T47" s="38">
        <f>Policy_Sched!$J47*J47</f>
        <v>0</v>
      </c>
      <c r="U47" s="42">
        <f t="shared" si="30"/>
        <v>0</v>
      </c>
      <c r="V47" s="42">
        <f t="shared" si="31"/>
        <v>0</v>
      </c>
      <c r="W47" s="38">
        <f>IF($A47&gt;LastT,0,N47+W48/(1+Policy_Sched!$K47))</f>
        <v>0</v>
      </c>
      <c r="X47" s="38">
        <f>IF($A47&gt;LastT,0,(-Q47+X48)/(1+Policy_Sched!$K47))</f>
        <v>0</v>
      </c>
      <c r="Y47" s="38">
        <f>IF($A47&gt;LastT,0,-V47+Y48/(1+Policy_Sched!$K47))</f>
        <v>0</v>
      </c>
      <c r="Z47" s="42">
        <f t="shared" si="32"/>
        <v>0</v>
      </c>
      <c r="AA47" s="38">
        <f>IF($A47&gt;LastT,0,N47-V47-Q47/(1+Policy_Sched!$K47)+Z48/(1+Policy_Sched!$K47))</f>
        <v>0</v>
      </c>
    </row>
    <row r="48" spans="1:27" x14ac:dyDescent="0.2">
      <c r="A48" s="30">
        <f t="shared" si="33"/>
        <v>41</v>
      </c>
      <c r="B48" s="31">
        <f t="shared" si="34"/>
        <v>0</v>
      </c>
      <c r="C48" s="31">
        <f>IF($A48&gt;LastT,0,IF(AND($D$3&lt;&gt;0,$A48&gt;=T0,Policy_Sched!$B48&lt;LastAge),1+$D$3*$E$3,1))</f>
        <v>0</v>
      </c>
      <c r="D48" s="36">
        <f>IF($A48&gt;LastT,0,IF($C$3="up",MIN(Policy_Sched!$E48*(1+IF($A48&gt;=T0,$E$3,0)),$F$3),IF($C$3="down",MAX(Policy_Sched!$E48*(1-IF($A48&gt;=T0,$E$3,0)),Policy_Sched!$E48-$F$3),Policy_Sched!$E48)))</f>
        <v>0</v>
      </c>
      <c r="E48" s="37">
        <f t="shared" si="35"/>
        <v>0</v>
      </c>
      <c r="F48" s="37">
        <f t="shared" si="18"/>
        <v>0</v>
      </c>
      <c r="G48" s="37">
        <f t="shared" si="19"/>
        <v>0</v>
      </c>
      <c r="H48" s="37">
        <f t="shared" si="20"/>
        <v>0</v>
      </c>
      <c r="I48" s="37">
        <f t="shared" si="21"/>
        <v>0</v>
      </c>
      <c r="J48" s="37">
        <f t="shared" si="22"/>
        <v>0</v>
      </c>
      <c r="K48" s="37">
        <f>IF($A48&gt;LastT,0,J48*Policy_Sched!$C48*Policy_Sched!$D48*C48)</f>
        <v>0</v>
      </c>
      <c r="L48" s="41">
        <f t="shared" si="23"/>
        <v>0</v>
      </c>
      <c r="M48" s="38">
        <f t="shared" si="24"/>
        <v>0</v>
      </c>
      <c r="N48" s="38">
        <f t="shared" si="25"/>
        <v>0</v>
      </c>
      <c r="O48" s="38">
        <f t="shared" si="26"/>
        <v>0</v>
      </c>
      <c r="P48" s="38">
        <f>Policy_Sched!$I48*(L48+I48)</f>
        <v>0</v>
      </c>
      <c r="Q48" s="42">
        <f t="shared" si="27"/>
        <v>0</v>
      </c>
      <c r="R48" s="38">
        <f t="shared" si="28"/>
        <v>0</v>
      </c>
      <c r="S48" s="38">
        <f t="shared" si="29"/>
        <v>0</v>
      </c>
      <c r="T48" s="38">
        <f>Policy_Sched!$J48*J48</f>
        <v>0</v>
      </c>
      <c r="U48" s="42">
        <f t="shared" si="30"/>
        <v>0</v>
      </c>
      <c r="V48" s="42">
        <f t="shared" si="31"/>
        <v>0</v>
      </c>
      <c r="W48" s="38">
        <f>IF($A48&gt;LastT,0,N48+W49/(1+Policy_Sched!$K48))</f>
        <v>0</v>
      </c>
      <c r="X48" s="38">
        <f>IF($A48&gt;LastT,0,(-Q48+X49)/(1+Policy_Sched!$K48))</f>
        <v>0</v>
      </c>
      <c r="Y48" s="38">
        <f>IF($A48&gt;LastT,0,-V48+Y49/(1+Policy_Sched!$K48))</f>
        <v>0</v>
      </c>
      <c r="Z48" s="42">
        <f t="shared" si="32"/>
        <v>0</v>
      </c>
      <c r="AA48" s="38">
        <f>IF($A48&gt;LastT,0,N48-V48-Q48/(1+Policy_Sched!$K48)+Z49/(1+Policy_Sched!$K48))</f>
        <v>0</v>
      </c>
    </row>
    <row r="49" spans="1:27" x14ac:dyDescent="0.2">
      <c r="A49" s="30">
        <f t="shared" si="33"/>
        <v>42</v>
      </c>
      <c r="B49" s="31">
        <f t="shared" si="34"/>
        <v>0</v>
      </c>
      <c r="C49" s="31">
        <f>IF($A49&gt;LastT,0,IF(AND($D$3&lt;&gt;0,$A49&gt;=T0,Policy_Sched!$B49&lt;LastAge),1+$D$3*$E$3,1))</f>
        <v>0</v>
      </c>
      <c r="D49" s="36">
        <f>IF($A49&gt;LastT,0,IF($C$3="up",MIN(Policy_Sched!$E49*(1+IF($A49&gt;=T0,$E$3,0)),$F$3),IF($C$3="down",MAX(Policy_Sched!$E49*(1-IF($A49&gt;=T0,$E$3,0)),Policy_Sched!$E49-$F$3),Policy_Sched!$E49)))</f>
        <v>0</v>
      </c>
      <c r="E49" s="37">
        <f t="shared" si="35"/>
        <v>0</v>
      </c>
      <c r="F49" s="37">
        <f t="shared" si="18"/>
        <v>0</v>
      </c>
      <c r="G49" s="37">
        <f t="shared" si="19"/>
        <v>0</v>
      </c>
      <c r="H49" s="37">
        <f t="shared" si="20"/>
        <v>0</v>
      </c>
      <c r="I49" s="37">
        <f t="shared" si="21"/>
        <v>0</v>
      </c>
      <c r="J49" s="37">
        <f t="shared" si="22"/>
        <v>0</v>
      </c>
      <c r="K49" s="37">
        <f>IF($A49&gt;LastT,0,J49*Policy_Sched!$C49*Policy_Sched!$D49*C49)</f>
        <v>0</v>
      </c>
      <c r="L49" s="41">
        <f t="shared" si="23"/>
        <v>0</v>
      </c>
      <c r="M49" s="38">
        <f t="shared" si="24"/>
        <v>0</v>
      </c>
      <c r="N49" s="38">
        <f t="shared" si="25"/>
        <v>0</v>
      </c>
      <c r="O49" s="38">
        <f t="shared" si="26"/>
        <v>0</v>
      </c>
      <c r="P49" s="38">
        <f>Policy_Sched!$I49*(L49+I49)</f>
        <v>0</v>
      </c>
      <c r="Q49" s="42">
        <f t="shared" si="27"/>
        <v>0</v>
      </c>
      <c r="R49" s="38">
        <f t="shared" si="28"/>
        <v>0</v>
      </c>
      <c r="S49" s="38">
        <f t="shared" si="29"/>
        <v>0</v>
      </c>
      <c r="T49" s="38">
        <f>Policy_Sched!$J49*J49</f>
        <v>0</v>
      </c>
      <c r="U49" s="42">
        <f t="shared" si="30"/>
        <v>0</v>
      </c>
      <c r="V49" s="42">
        <f t="shared" si="31"/>
        <v>0</v>
      </c>
      <c r="W49" s="38">
        <f>IF($A49&gt;LastT,0,N49+W50/(1+Policy_Sched!$K49))</f>
        <v>0</v>
      </c>
      <c r="X49" s="38">
        <f>IF($A49&gt;LastT,0,(-Q49+X50)/(1+Policy_Sched!$K49))</f>
        <v>0</v>
      </c>
      <c r="Y49" s="38">
        <f>IF($A49&gt;LastT,0,-V49+Y50/(1+Policy_Sched!$K49))</f>
        <v>0</v>
      </c>
      <c r="Z49" s="42">
        <f t="shared" si="32"/>
        <v>0</v>
      </c>
      <c r="AA49" s="38">
        <f>IF($A49&gt;LastT,0,N49-V49-Q49/(1+Policy_Sched!$K49)+Z50/(1+Policy_Sched!$K49))</f>
        <v>0</v>
      </c>
    </row>
    <row r="50" spans="1:27" x14ac:dyDescent="0.2">
      <c r="A50" s="30">
        <f t="shared" si="33"/>
        <v>43</v>
      </c>
      <c r="B50" s="31">
        <f t="shared" si="34"/>
        <v>0</v>
      </c>
      <c r="C50" s="31">
        <f>IF($A50&gt;LastT,0,IF(AND($D$3&lt;&gt;0,$A50&gt;=T0,Policy_Sched!$B50&lt;LastAge),1+$D$3*$E$3,1))</f>
        <v>0</v>
      </c>
      <c r="D50" s="36">
        <f>IF($A50&gt;LastT,0,IF($C$3="up",MIN(Policy_Sched!$E50*(1+IF($A50&gt;=T0,$E$3,0)),$F$3),IF($C$3="down",MAX(Policy_Sched!$E50*(1-IF($A50&gt;=T0,$E$3,0)),Policy_Sched!$E50-$F$3),Policy_Sched!$E50)))</f>
        <v>0</v>
      </c>
      <c r="E50" s="37">
        <f t="shared" si="35"/>
        <v>0</v>
      </c>
      <c r="F50" s="37">
        <f t="shared" si="18"/>
        <v>0</v>
      </c>
      <c r="G50" s="37">
        <f t="shared" si="19"/>
        <v>0</v>
      </c>
      <c r="H50" s="37">
        <f t="shared" si="20"/>
        <v>0</v>
      </c>
      <c r="I50" s="37">
        <f t="shared" si="21"/>
        <v>0</v>
      </c>
      <c r="J50" s="37">
        <f t="shared" si="22"/>
        <v>0</v>
      </c>
      <c r="K50" s="37">
        <f>IF($A50&gt;LastT,0,J50*Policy_Sched!$C50*Policy_Sched!$D50*C50)</f>
        <v>0</v>
      </c>
      <c r="L50" s="41">
        <f t="shared" si="23"/>
        <v>0</v>
      </c>
      <c r="M50" s="38">
        <f t="shared" si="24"/>
        <v>0</v>
      </c>
      <c r="N50" s="38">
        <f t="shared" si="25"/>
        <v>0</v>
      </c>
      <c r="O50" s="38">
        <f t="shared" si="26"/>
        <v>0</v>
      </c>
      <c r="P50" s="38">
        <f>Policy_Sched!$I50*(L50+I50)</f>
        <v>0</v>
      </c>
      <c r="Q50" s="42">
        <f t="shared" si="27"/>
        <v>0</v>
      </c>
      <c r="R50" s="38">
        <f t="shared" si="28"/>
        <v>0</v>
      </c>
      <c r="S50" s="38">
        <f t="shared" si="29"/>
        <v>0</v>
      </c>
      <c r="T50" s="38">
        <f>Policy_Sched!$J50*J50</f>
        <v>0</v>
      </c>
      <c r="U50" s="42">
        <f t="shared" si="30"/>
        <v>0</v>
      </c>
      <c r="V50" s="42">
        <f t="shared" si="31"/>
        <v>0</v>
      </c>
      <c r="W50" s="38">
        <f>IF($A50&gt;LastT,0,N50+W51/(1+Policy_Sched!$K50))</f>
        <v>0</v>
      </c>
      <c r="X50" s="38">
        <f>IF($A50&gt;LastT,0,(-Q50+X51)/(1+Policy_Sched!$K50))</f>
        <v>0</v>
      </c>
      <c r="Y50" s="38">
        <f>IF($A50&gt;LastT,0,-V50+Y51/(1+Policy_Sched!$K50))</f>
        <v>0</v>
      </c>
      <c r="Z50" s="42">
        <f t="shared" si="32"/>
        <v>0</v>
      </c>
      <c r="AA50" s="38">
        <f>IF($A50&gt;LastT,0,N50-V50-Q50/(1+Policy_Sched!$K50)+Z51/(1+Policy_Sched!$K50))</f>
        <v>0</v>
      </c>
    </row>
    <row r="51" spans="1:27" x14ac:dyDescent="0.2">
      <c r="A51" s="30">
        <f t="shared" si="33"/>
        <v>44</v>
      </c>
      <c r="B51" s="31">
        <f t="shared" si="34"/>
        <v>0</v>
      </c>
      <c r="C51" s="31">
        <f>IF($A51&gt;LastT,0,IF(AND($D$3&lt;&gt;0,$A51&gt;=T0,Policy_Sched!$B51&lt;LastAge),1+$D$3*$E$3,1))</f>
        <v>0</v>
      </c>
      <c r="D51" s="36">
        <f>IF($A51&gt;LastT,0,IF($C$3="up",MIN(Policy_Sched!$E51*(1+IF($A51&gt;=T0,$E$3,0)),$F$3),IF($C$3="down",MAX(Policy_Sched!$E51*(1-IF($A51&gt;=T0,$E$3,0)),Policy_Sched!$E51-$F$3),Policy_Sched!$E51)))</f>
        <v>0</v>
      </c>
      <c r="E51" s="37">
        <f t="shared" si="35"/>
        <v>0</v>
      </c>
      <c r="F51" s="37">
        <f t="shared" si="18"/>
        <v>0</v>
      </c>
      <c r="G51" s="37">
        <f t="shared" si="19"/>
        <v>0</v>
      </c>
      <c r="H51" s="37">
        <f t="shared" si="20"/>
        <v>0</v>
      </c>
      <c r="I51" s="37">
        <f t="shared" si="21"/>
        <v>0</v>
      </c>
      <c r="J51" s="37">
        <f t="shared" si="22"/>
        <v>0</v>
      </c>
      <c r="K51" s="37">
        <f>IF($A51&gt;LastT,0,J51*Policy_Sched!$C51*Policy_Sched!$D51*C51)</f>
        <v>0</v>
      </c>
      <c r="L51" s="41">
        <f t="shared" si="23"/>
        <v>0</v>
      </c>
      <c r="M51" s="38">
        <f t="shared" si="24"/>
        <v>0</v>
      </c>
      <c r="N51" s="38">
        <f t="shared" si="25"/>
        <v>0</v>
      </c>
      <c r="O51" s="38">
        <f t="shared" si="26"/>
        <v>0</v>
      </c>
      <c r="P51" s="38">
        <f>Policy_Sched!$I51*(L51+I51)</f>
        <v>0</v>
      </c>
      <c r="Q51" s="42">
        <f t="shared" si="27"/>
        <v>0</v>
      </c>
      <c r="R51" s="38">
        <f t="shared" si="28"/>
        <v>0</v>
      </c>
      <c r="S51" s="38">
        <f t="shared" si="29"/>
        <v>0</v>
      </c>
      <c r="T51" s="38">
        <f>Policy_Sched!$J51*J51</f>
        <v>0</v>
      </c>
      <c r="U51" s="42">
        <f t="shared" si="30"/>
        <v>0</v>
      </c>
      <c r="V51" s="42">
        <f t="shared" si="31"/>
        <v>0</v>
      </c>
      <c r="W51" s="38">
        <f>IF($A51&gt;LastT,0,N51+W52/(1+Policy_Sched!$K51))</f>
        <v>0</v>
      </c>
      <c r="X51" s="38">
        <f>IF($A51&gt;LastT,0,(-Q51+X52)/(1+Policy_Sched!$K51))</f>
        <v>0</v>
      </c>
      <c r="Y51" s="38">
        <f>IF($A51&gt;LastT,0,-V51+Y52/(1+Policy_Sched!$K51))</f>
        <v>0</v>
      </c>
      <c r="Z51" s="42">
        <f t="shared" si="32"/>
        <v>0</v>
      </c>
      <c r="AA51" s="38">
        <f>IF($A51&gt;LastT,0,N51-V51-Q51/(1+Policy_Sched!$K51)+Z52/(1+Policy_Sched!$K51))</f>
        <v>0</v>
      </c>
    </row>
    <row r="52" spans="1:27" x14ac:dyDescent="0.2">
      <c r="A52" s="30">
        <f t="shared" si="33"/>
        <v>45</v>
      </c>
      <c r="B52" s="31">
        <f t="shared" si="34"/>
        <v>0</v>
      </c>
      <c r="C52" s="31">
        <f>IF($A52&gt;LastT,0,IF(AND($D$3&lt;&gt;0,$A52&gt;=T0,Policy_Sched!$B52&lt;LastAge),1+$D$3*$E$3,1))</f>
        <v>0</v>
      </c>
      <c r="D52" s="36">
        <f>IF($A52&gt;LastT,0,IF($C$3="up",MIN(Policy_Sched!$E52*(1+IF($A52&gt;=T0,$E$3,0)),$F$3),IF($C$3="down",MAX(Policy_Sched!$E52*(1-IF($A52&gt;=T0,$E$3,0)),Policy_Sched!$E52-$F$3),Policy_Sched!$E52)))</f>
        <v>0</v>
      </c>
      <c r="E52" s="37">
        <f t="shared" si="35"/>
        <v>0</v>
      </c>
      <c r="F52" s="37">
        <f t="shared" si="18"/>
        <v>0</v>
      </c>
      <c r="G52" s="37">
        <f t="shared" si="19"/>
        <v>0</v>
      </c>
      <c r="H52" s="37">
        <f t="shared" si="20"/>
        <v>0</v>
      </c>
      <c r="I52" s="37">
        <f t="shared" si="21"/>
        <v>0</v>
      </c>
      <c r="J52" s="37">
        <f t="shared" si="22"/>
        <v>0</v>
      </c>
      <c r="K52" s="37">
        <f>IF($A52&gt;LastT,0,J52*Policy_Sched!$C52*Policy_Sched!$D52*C52)</f>
        <v>0</v>
      </c>
      <c r="L52" s="41">
        <f t="shared" si="23"/>
        <v>0</v>
      </c>
      <c r="M52" s="38">
        <f t="shared" si="24"/>
        <v>0</v>
      </c>
      <c r="N52" s="38">
        <f t="shared" si="25"/>
        <v>0</v>
      </c>
      <c r="O52" s="38">
        <f t="shared" si="26"/>
        <v>0</v>
      </c>
      <c r="P52" s="38">
        <f>Policy_Sched!$I52*(L52+I52)</f>
        <v>0</v>
      </c>
      <c r="Q52" s="42">
        <f t="shared" si="27"/>
        <v>0</v>
      </c>
      <c r="R52" s="38">
        <f t="shared" si="28"/>
        <v>0</v>
      </c>
      <c r="S52" s="38">
        <f t="shared" si="29"/>
        <v>0</v>
      </c>
      <c r="T52" s="38">
        <f>Policy_Sched!$J52*J52</f>
        <v>0</v>
      </c>
      <c r="U52" s="42">
        <f t="shared" si="30"/>
        <v>0</v>
      </c>
      <c r="V52" s="42">
        <f t="shared" si="31"/>
        <v>0</v>
      </c>
      <c r="W52" s="38">
        <f>IF($A52&gt;LastT,0,N52+W53/(1+Policy_Sched!$K52))</f>
        <v>0</v>
      </c>
      <c r="X52" s="38">
        <f>IF($A52&gt;LastT,0,(-Q52+X53)/(1+Policy_Sched!$K52))</f>
        <v>0</v>
      </c>
      <c r="Y52" s="38">
        <f>IF($A52&gt;LastT,0,-V52+Y53/(1+Policy_Sched!$K52))</f>
        <v>0</v>
      </c>
      <c r="Z52" s="42">
        <f t="shared" si="32"/>
        <v>0</v>
      </c>
      <c r="AA52" s="38">
        <f>IF($A52&gt;LastT,0,N52-V52-Q52/(1+Policy_Sched!$K52)+Z53/(1+Policy_Sched!$K52))</f>
        <v>0</v>
      </c>
    </row>
    <row r="53" spans="1:27" x14ac:dyDescent="0.2">
      <c r="A53" s="30">
        <f t="shared" si="33"/>
        <v>46</v>
      </c>
      <c r="B53" s="31">
        <f t="shared" si="34"/>
        <v>0</v>
      </c>
      <c r="C53" s="31">
        <f>IF($A53&gt;LastT,0,IF(AND($D$3&lt;&gt;0,$A53&gt;=T0,Policy_Sched!$B53&lt;LastAge),1+$D$3*$E$3,1))</f>
        <v>0</v>
      </c>
      <c r="D53" s="36">
        <f>IF($A53&gt;LastT,0,IF($C$3="up",MIN(Policy_Sched!$E53*(1+IF($A53&gt;=T0,$E$3,0)),$F$3),IF($C$3="down",MAX(Policy_Sched!$E53*(1-IF($A53&gt;=T0,$E$3,0)),Policy_Sched!$E53-$F$3),Policy_Sched!$E53)))</f>
        <v>0</v>
      </c>
      <c r="E53" s="37">
        <f t="shared" si="35"/>
        <v>0</v>
      </c>
      <c r="F53" s="37">
        <f t="shared" si="18"/>
        <v>0</v>
      </c>
      <c r="G53" s="37">
        <f t="shared" si="19"/>
        <v>0</v>
      </c>
      <c r="H53" s="37">
        <f t="shared" si="20"/>
        <v>0</v>
      </c>
      <c r="I53" s="37">
        <f t="shared" si="21"/>
        <v>0</v>
      </c>
      <c r="J53" s="37">
        <f t="shared" si="22"/>
        <v>0</v>
      </c>
      <c r="K53" s="37">
        <f>IF($A53&gt;LastT,0,J53*Policy_Sched!$C53*Policy_Sched!$D53*C53)</f>
        <v>0</v>
      </c>
      <c r="L53" s="41">
        <f t="shared" si="23"/>
        <v>0</v>
      </c>
      <c r="M53" s="38">
        <f t="shared" si="24"/>
        <v>0</v>
      </c>
      <c r="N53" s="38">
        <f t="shared" si="25"/>
        <v>0</v>
      </c>
      <c r="O53" s="38">
        <f t="shared" si="26"/>
        <v>0</v>
      </c>
      <c r="P53" s="38">
        <f>Policy_Sched!$I53*(L53+I53)</f>
        <v>0</v>
      </c>
      <c r="Q53" s="42">
        <f t="shared" si="27"/>
        <v>0</v>
      </c>
      <c r="R53" s="38">
        <f t="shared" si="28"/>
        <v>0</v>
      </c>
      <c r="S53" s="38">
        <f t="shared" si="29"/>
        <v>0</v>
      </c>
      <c r="T53" s="38">
        <f>Policy_Sched!$J53*J53</f>
        <v>0</v>
      </c>
      <c r="U53" s="42">
        <f t="shared" si="30"/>
        <v>0</v>
      </c>
      <c r="V53" s="42">
        <f t="shared" si="31"/>
        <v>0</v>
      </c>
      <c r="W53" s="38">
        <f>IF($A53&gt;LastT,0,N53+W54/(1+Policy_Sched!$K53))</f>
        <v>0</v>
      </c>
      <c r="X53" s="38">
        <f>IF($A53&gt;LastT,0,(-Q53+X54)/(1+Policy_Sched!$K53))</f>
        <v>0</v>
      </c>
      <c r="Y53" s="38">
        <f>IF($A53&gt;LastT,0,-V53+Y54/(1+Policy_Sched!$K53))</f>
        <v>0</v>
      </c>
      <c r="Z53" s="42">
        <f t="shared" si="32"/>
        <v>0</v>
      </c>
      <c r="AA53" s="38">
        <f>IF($A53&gt;LastT,0,N53-V53-Q53/(1+Policy_Sched!$K53)+Z54/(1+Policy_Sched!$K53))</f>
        <v>0</v>
      </c>
    </row>
    <row r="54" spans="1:27" x14ac:dyDescent="0.2">
      <c r="A54" s="30">
        <f t="shared" si="33"/>
        <v>47</v>
      </c>
      <c r="B54" s="31">
        <f t="shared" si="34"/>
        <v>0</v>
      </c>
      <c r="C54" s="31">
        <f>IF($A54&gt;LastT,0,IF(AND($D$3&lt;&gt;0,$A54&gt;=T0,Policy_Sched!$B54&lt;LastAge),1+$D$3*$E$3,1))</f>
        <v>0</v>
      </c>
      <c r="D54" s="36">
        <f>IF($A54&gt;LastT,0,IF($C$3="up",MIN(Policy_Sched!$E54*(1+IF($A54&gt;=T0,$E$3,0)),$F$3),IF($C$3="down",MAX(Policy_Sched!$E54*(1-IF($A54&gt;=T0,$E$3,0)),Policy_Sched!$E54-$F$3),Policy_Sched!$E54)))</f>
        <v>0</v>
      </c>
      <c r="E54" s="37">
        <f t="shared" si="35"/>
        <v>0</v>
      </c>
      <c r="F54" s="37">
        <f t="shared" si="18"/>
        <v>0</v>
      </c>
      <c r="G54" s="37">
        <f t="shared" si="19"/>
        <v>0</v>
      </c>
      <c r="H54" s="37">
        <f t="shared" si="20"/>
        <v>0</v>
      </c>
      <c r="I54" s="37">
        <f t="shared" si="21"/>
        <v>0</v>
      </c>
      <c r="J54" s="37">
        <f t="shared" si="22"/>
        <v>0</v>
      </c>
      <c r="K54" s="37">
        <f>IF($A54&gt;LastT,0,J54*Policy_Sched!$C54*Policy_Sched!$D54*C54)</f>
        <v>0</v>
      </c>
      <c r="L54" s="41">
        <f t="shared" si="23"/>
        <v>0</v>
      </c>
      <c r="M54" s="38">
        <f t="shared" si="24"/>
        <v>0</v>
      </c>
      <c r="N54" s="38">
        <f t="shared" si="25"/>
        <v>0</v>
      </c>
      <c r="O54" s="38">
        <f t="shared" si="26"/>
        <v>0</v>
      </c>
      <c r="P54" s="38">
        <f>Policy_Sched!$I54*(L54+I54)</f>
        <v>0</v>
      </c>
      <c r="Q54" s="42">
        <f t="shared" si="27"/>
        <v>0</v>
      </c>
      <c r="R54" s="38">
        <f t="shared" si="28"/>
        <v>0</v>
      </c>
      <c r="S54" s="38">
        <f t="shared" si="29"/>
        <v>0</v>
      </c>
      <c r="T54" s="38">
        <f>Policy_Sched!$J54*J54</f>
        <v>0</v>
      </c>
      <c r="U54" s="42">
        <f t="shared" si="30"/>
        <v>0</v>
      </c>
      <c r="V54" s="42">
        <f t="shared" si="31"/>
        <v>0</v>
      </c>
      <c r="W54" s="38">
        <f>IF($A54&gt;LastT,0,N54+W55/(1+Policy_Sched!$K54))</f>
        <v>0</v>
      </c>
      <c r="X54" s="38">
        <f>IF($A54&gt;LastT,0,(-Q54+X55)/(1+Policy_Sched!$K54))</f>
        <v>0</v>
      </c>
      <c r="Y54" s="38">
        <f>IF($A54&gt;LastT,0,-V54+Y55/(1+Policy_Sched!$K54))</f>
        <v>0</v>
      </c>
      <c r="Z54" s="42">
        <f t="shared" si="32"/>
        <v>0</v>
      </c>
      <c r="AA54" s="38">
        <f>IF($A54&gt;LastT,0,N54-V54-Q54/(1+Policy_Sched!$K54)+Z55/(1+Policy_Sched!$K54))</f>
        <v>0</v>
      </c>
    </row>
    <row r="55" spans="1:27" x14ac:dyDescent="0.2">
      <c r="A55" s="30">
        <f t="shared" si="33"/>
        <v>48</v>
      </c>
      <c r="B55" s="31">
        <f t="shared" si="34"/>
        <v>0</v>
      </c>
      <c r="C55" s="31">
        <f>IF($A55&gt;LastT,0,IF(AND($D$3&lt;&gt;0,$A55&gt;=T0,Policy_Sched!$B55&lt;LastAge),1+$D$3*$E$3,1))</f>
        <v>0</v>
      </c>
      <c r="D55" s="36">
        <f>IF($A55&gt;LastT,0,IF($C$3="up",MIN(Policy_Sched!$E55*(1+IF($A55&gt;=T0,$E$3,0)),$F$3),IF($C$3="down",MAX(Policy_Sched!$E55*(1-IF($A55&gt;=T0,$E$3,0)),Policy_Sched!$E55-$F$3),Policy_Sched!$E55)))</f>
        <v>0</v>
      </c>
      <c r="E55" s="37">
        <f t="shared" si="35"/>
        <v>0</v>
      </c>
      <c r="F55" s="37">
        <f t="shared" si="18"/>
        <v>0</v>
      </c>
      <c r="G55" s="37">
        <f t="shared" si="19"/>
        <v>0</v>
      </c>
      <c r="H55" s="37">
        <f t="shared" si="20"/>
        <v>0</v>
      </c>
      <c r="I55" s="37">
        <f t="shared" si="21"/>
        <v>0</v>
      </c>
      <c r="J55" s="37">
        <f t="shared" si="22"/>
        <v>0</v>
      </c>
      <c r="K55" s="37">
        <f>IF($A55&gt;LastT,0,J55*Policy_Sched!$C55*Policy_Sched!$D55*C55)</f>
        <v>0</v>
      </c>
      <c r="L55" s="41">
        <f t="shared" si="23"/>
        <v>0</v>
      </c>
      <c r="M55" s="38">
        <f t="shared" si="24"/>
        <v>0</v>
      </c>
      <c r="N55" s="38">
        <f t="shared" si="25"/>
        <v>0</v>
      </c>
      <c r="O55" s="38">
        <f t="shared" si="26"/>
        <v>0</v>
      </c>
      <c r="P55" s="38">
        <f>Policy_Sched!$I55*(L55+I55)</f>
        <v>0</v>
      </c>
      <c r="Q55" s="42">
        <f t="shared" si="27"/>
        <v>0</v>
      </c>
      <c r="R55" s="38">
        <f t="shared" si="28"/>
        <v>0</v>
      </c>
      <c r="S55" s="38">
        <f t="shared" si="29"/>
        <v>0</v>
      </c>
      <c r="T55" s="38">
        <f>Policy_Sched!$J55*J55</f>
        <v>0</v>
      </c>
      <c r="U55" s="42">
        <f t="shared" si="30"/>
        <v>0</v>
      </c>
      <c r="V55" s="42">
        <f t="shared" si="31"/>
        <v>0</v>
      </c>
      <c r="W55" s="38">
        <f>IF($A55&gt;LastT,0,N55+W56/(1+Policy_Sched!$K55))</f>
        <v>0</v>
      </c>
      <c r="X55" s="38">
        <f>IF($A55&gt;LastT,0,(-Q55+X56)/(1+Policy_Sched!$K55))</f>
        <v>0</v>
      </c>
      <c r="Y55" s="38">
        <f>IF($A55&gt;LastT,0,-V55+Y56/(1+Policy_Sched!$K55))</f>
        <v>0</v>
      </c>
      <c r="Z55" s="42">
        <f t="shared" si="32"/>
        <v>0</v>
      </c>
      <c r="AA55" s="38">
        <f>IF($A55&gt;LastT,0,N55-V55-Q55/(1+Policy_Sched!$K55)+Z56/(1+Policy_Sched!$K55))</f>
        <v>0</v>
      </c>
    </row>
    <row r="56" spans="1:27" x14ac:dyDescent="0.2">
      <c r="A56" s="30">
        <f t="shared" si="33"/>
        <v>49</v>
      </c>
      <c r="B56" s="31">
        <f t="shared" si="34"/>
        <v>0</v>
      </c>
      <c r="C56" s="31">
        <f>IF($A56&gt;LastT,0,IF(AND($D$3&lt;&gt;0,$A56&gt;=T0,Policy_Sched!$B56&lt;LastAge),1+$D$3*$E$3,1))</f>
        <v>0</v>
      </c>
      <c r="D56" s="36">
        <f>IF($A56&gt;LastT,0,IF($C$3="up",MIN(Policy_Sched!$E56*(1+IF($A56&gt;=T0,$E$3,0)),$F$3),IF($C$3="down",MAX(Policy_Sched!$E56*(1-IF($A56&gt;=T0,$E$3,0)),Policy_Sched!$E56-$F$3),Policy_Sched!$E56)))</f>
        <v>0</v>
      </c>
      <c r="E56" s="37">
        <f t="shared" si="35"/>
        <v>0</v>
      </c>
      <c r="F56" s="37">
        <f t="shared" si="18"/>
        <v>0</v>
      </c>
      <c r="G56" s="37">
        <f t="shared" si="19"/>
        <v>0</v>
      </c>
      <c r="H56" s="37">
        <f t="shared" si="20"/>
        <v>0</v>
      </c>
      <c r="I56" s="37">
        <f t="shared" si="21"/>
        <v>0</v>
      </c>
      <c r="J56" s="37">
        <f t="shared" si="22"/>
        <v>0</v>
      </c>
      <c r="K56" s="37">
        <f>IF($A56&gt;LastT,0,J56*Policy_Sched!$C56*Policy_Sched!$D56*C56)</f>
        <v>0</v>
      </c>
      <c r="L56" s="41">
        <f t="shared" si="23"/>
        <v>0</v>
      </c>
      <c r="M56" s="38">
        <f t="shared" si="24"/>
        <v>0</v>
      </c>
      <c r="N56" s="38">
        <f t="shared" si="25"/>
        <v>0</v>
      </c>
      <c r="O56" s="38">
        <f t="shared" si="26"/>
        <v>0</v>
      </c>
      <c r="P56" s="38">
        <f>Policy_Sched!$I56*(L56+I56)</f>
        <v>0</v>
      </c>
      <c r="Q56" s="42">
        <f t="shared" si="27"/>
        <v>0</v>
      </c>
      <c r="R56" s="38">
        <f t="shared" si="28"/>
        <v>0</v>
      </c>
      <c r="S56" s="38">
        <f t="shared" si="29"/>
        <v>0</v>
      </c>
      <c r="T56" s="38">
        <f>Policy_Sched!$J56*J56</f>
        <v>0</v>
      </c>
      <c r="U56" s="42">
        <f t="shared" si="30"/>
        <v>0</v>
      </c>
      <c r="V56" s="42">
        <f t="shared" si="31"/>
        <v>0</v>
      </c>
      <c r="W56" s="38">
        <f>IF($A56&gt;LastT,0,N56+W57/(1+Policy_Sched!$K56))</f>
        <v>0</v>
      </c>
      <c r="X56" s="38">
        <f>IF($A56&gt;LastT,0,(-Q56+X57)/(1+Policy_Sched!$K56))</f>
        <v>0</v>
      </c>
      <c r="Y56" s="38">
        <f>IF($A56&gt;LastT,0,-V56+Y57/(1+Policy_Sched!$K56))</f>
        <v>0</v>
      </c>
      <c r="Z56" s="42">
        <f t="shared" si="32"/>
        <v>0</v>
      </c>
      <c r="AA56" s="38">
        <f>IF($A56&gt;LastT,0,N56-V56-Q56/(1+Policy_Sched!$K56)+Z57/(1+Policy_Sched!$K56))</f>
        <v>0</v>
      </c>
    </row>
    <row r="57" spans="1:27" x14ac:dyDescent="0.2">
      <c r="A57" s="30">
        <f t="shared" si="33"/>
        <v>50</v>
      </c>
      <c r="B57" s="31">
        <f t="shared" si="34"/>
        <v>0</v>
      </c>
      <c r="C57" s="31">
        <f>IF($A57&gt;LastT,0,IF(AND($D$3&lt;&gt;0,$A57&gt;=T0,Policy_Sched!$B57&lt;LastAge),1+$D$3*$E$3,1))</f>
        <v>0</v>
      </c>
      <c r="D57" s="36">
        <f>IF($A57&gt;LastT,0,IF($C$3="up",MIN(Policy_Sched!$E57*(1+IF($A57&gt;=T0,$E$3,0)),$F$3),IF($C$3="down",MAX(Policy_Sched!$E57*(1-IF($A57&gt;=T0,$E$3,0)),Policy_Sched!$E57-$F$3),Policy_Sched!$E57)))</f>
        <v>0</v>
      </c>
      <c r="E57" s="37">
        <f t="shared" si="35"/>
        <v>0</v>
      </c>
      <c r="F57" s="37">
        <f t="shared" si="18"/>
        <v>0</v>
      </c>
      <c r="G57" s="37">
        <f t="shared" si="19"/>
        <v>0</v>
      </c>
      <c r="H57" s="37">
        <f t="shared" si="20"/>
        <v>0</v>
      </c>
      <c r="I57" s="37">
        <f t="shared" si="21"/>
        <v>0</v>
      </c>
      <c r="J57" s="37">
        <f t="shared" si="22"/>
        <v>0</v>
      </c>
      <c r="K57" s="37">
        <f>IF($A57&gt;LastT,0,J57*Policy_Sched!$C57*Policy_Sched!$D57*C57)</f>
        <v>0</v>
      </c>
      <c r="L57" s="41">
        <f t="shared" si="23"/>
        <v>0</v>
      </c>
      <c r="M57" s="38">
        <f t="shared" si="24"/>
        <v>0</v>
      </c>
      <c r="N57" s="38">
        <f t="shared" si="25"/>
        <v>0</v>
      </c>
      <c r="O57" s="38">
        <f t="shared" si="26"/>
        <v>0</v>
      </c>
      <c r="P57" s="38">
        <f>Policy_Sched!$I57*(L57+I57)</f>
        <v>0</v>
      </c>
      <c r="Q57" s="42">
        <f t="shared" si="27"/>
        <v>0</v>
      </c>
      <c r="R57" s="38">
        <f t="shared" si="28"/>
        <v>0</v>
      </c>
      <c r="S57" s="38">
        <f t="shared" si="29"/>
        <v>0</v>
      </c>
      <c r="T57" s="38">
        <f>Policy_Sched!$J57*J57</f>
        <v>0</v>
      </c>
      <c r="U57" s="42">
        <f t="shared" si="30"/>
        <v>0</v>
      </c>
      <c r="V57" s="42">
        <f t="shared" si="31"/>
        <v>0</v>
      </c>
      <c r="W57" s="38">
        <f>IF($A57&gt;LastT,0,N57+W58/(1+Policy_Sched!$K57))</f>
        <v>0</v>
      </c>
      <c r="X57" s="38">
        <f>IF($A57&gt;LastT,0,(-Q57+X58)/(1+Policy_Sched!$K57))</f>
        <v>0</v>
      </c>
      <c r="Y57" s="38">
        <f>IF($A57&gt;LastT,0,-V57+Y58/(1+Policy_Sched!$K57))</f>
        <v>0</v>
      </c>
      <c r="Z57" s="42">
        <f t="shared" si="32"/>
        <v>0</v>
      </c>
      <c r="AA57" s="38">
        <f>IF($A57&gt;LastT,0,N57-V57-Q57/(1+Policy_Sched!$K57)+Z58/(1+Policy_Sched!$K57))</f>
        <v>0</v>
      </c>
    </row>
    <row r="58" spans="1:27" x14ac:dyDescent="0.2">
      <c r="A58" s="30">
        <f t="shared" si="33"/>
        <v>51</v>
      </c>
      <c r="B58" s="31">
        <f t="shared" si="34"/>
        <v>0</v>
      </c>
      <c r="C58" s="31">
        <f>IF($A58&gt;LastT,0,IF(AND($D$3&lt;&gt;0,$A58&gt;=T0,Policy_Sched!$B58&lt;LastAge),1+$D$3*$E$3,1))</f>
        <v>0</v>
      </c>
      <c r="D58" s="36">
        <f>IF($A58&gt;LastT,0,IF($C$3="up",MIN(Policy_Sched!$E58*(1+IF($A58&gt;=T0,$E$3,0)),$F$3),IF($C$3="down",MAX(Policy_Sched!$E58*(1-IF($A58&gt;=T0,$E$3,0)),Policy_Sched!$E58-$F$3),Policy_Sched!$E58)))</f>
        <v>0</v>
      </c>
      <c r="E58" s="37">
        <f t="shared" si="35"/>
        <v>0</v>
      </c>
      <c r="F58" s="37">
        <f t="shared" si="18"/>
        <v>0</v>
      </c>
      <c r="G58" s="37">
        <f t="shared" si="19"/>
        <v>0</v>
      </c>
      <c r="H58" s="37">
        <f t="shared" si="20"/>
        <v>0</v>
      </c>
      <c r="I58" s="37">
        <f t="shared" si="21"/>
        <v>0</v>
      </c>
      <c r="J58" s="37">
        <f t="shared" si="22"/>
        <v>0</v>
      </c>
      <c r="K58" s="37">
        <f>IF($A58&gt;LastT,0,J58*Policy_Sched!$C58*Policy_Sched!$D58*C58)</f>
        <v>0</v>
      </c>
      <c r="L58" s="41">
        <f t="shared" si="23"/>
        <v>0</v>
      </c>
      <c r="M58" s="38">
        <f t="shared" si="24"/>
        <v>0</v>
      </c>
      <c r="N58" s="38">
        <f t="shared" si="25"/>
        <v>0</v>
      </c>
      <c r="O58" s="38">
        <f t="shared" si="26"/>
        <v>0</v>
      </c>
      <c r="P58" s="38">
        <f>Policy_Sched!$I58*(L58+I58)</f>
        <v>0</v>
      </c>
      <c r="Q58" s="42">
        <f t="shared" si="27"/>
        <v>0</v>
      </c>
      <c r="R58" s="38">
        <f t="shared" si="28"/>
        <v>0</v>
      </c>
      <c r="S58" s="38">
        <f t="shared" si="29"/>
        <v>0</v>
      </c>
      <c r="T58" s="38">
        <f>Policy_Sched!$J58*J58</f>
        <v>0</v>
      </c>
      <c r="U58" s="42">
        <f t="shared" si="30"/>
        <v>0</v>
      </c>
      <c r="V58" s="42">
        <f t="shared" si="31"/>
        <v>0</v>
      </c>
      <c r="W58" s="38">
        <f>IF($A58&gt;LastT,0,N58+W59/(1+Policy_Sched!$K58))</f>
        <v>0</v>
      </c>
      <c r="X58" s="38">
        <f>IF($A58&gt;LastT,0,(-Q58+X59)/(1+Policy_Sched!$K58))</f>
        <v>0</v>
      </c>
      <c r="Y58" s="38">
        <f>IF($A58&gt;LastT,0,-V58+Y59/(1+Policy_Sched!$K58))</f>
        <v>0</v>
      </c>
      <c r="Z58" s="42">
        <f t="shared" si="32"/>
        <v>0</v>
      </c>
      <c r="AA58" s="38">
        <f>IF($A58&gt;LastT,0,N58-V58-Q58/(1+Policy_Sched!$K58)+Z59/(1+Policy_Sched!$K58))</f>
        <v>0</v>
      </c>
    </row>
    <row r="59" spans="1:27" x14ac:dyDescent="0.2">
      <c r="A59" s="30">
        <f t="shared" si="33"/>
        <v>52</v>
      </c>
      <c r="B59" s="31">
        <f t="shared" si="34"/>
        <v>0</v>
      </c>
      <c r="C59" s="31">
        <f>IF($A59&gt;LastT,0,IF(AND($D$3&lt;&gt;0,$A59&gt;=T0,Policy_Sched!$B59&lt;LastAge),1+$D$3*$E$3,1))</f>
        <v>0</v>
      </c>
      <c r="D59" s="36">
        <f>IF($A59&gt;LastT,0,IF($C$3="up",MIN(Policy_Sched!$E59*(1+IF($A59&gt;=T0,$E$3,0)),$F$3),IF($C$3="down",MAX(Policy_Sched!$E59*(1-IF($A59&gt;=T0,$E$3,0)),Policy_Sched!$E59-$F$3),Policy_Sched!$E59)))</f>
        <v>0</v>
      </c>
      <c r="E59" s="37">
        <f t="shared" si="35"/>
        <v>0</v>
      </c>
      <c r="F59" s="37">
        <f t="shared" si="18"/>
        <v>0</v>
      </c>
      <c r="G59" s="37">
        <f t="shared" si="19"/>
        <v>0</v>
      </c>
      <c r="H59" s="37">
        <f t="shared" si="20"/>
        <v>0</v>
      </c>
      <c r="I59" s="37">
        <f t="shared" si="21"/>
        <v>0</v>
      </c>
      <c r="J59" s="37">
        <f t="shared" si="22"/>
        <v>0</v>
      </c>
      <c r="K59" s="37">
        <f>IF($A59&gt;LastT,0,J59*Policy_Sched!$C59*Policy_Sched!$D59*C59)</f>
        <v>0</v>
      </c>
      <c r="L59" s="41">
        <f t="shared" si="23"/>
        <v>0</v>
      </c>
      <c r="M59" s="38">
        <f t="shared" si="24"/>
        <v>0</v>
      </c>
      <c r="N59" s="38">
        <f t="shared" si="25"/>
        <v>0</v>
      </c>
      <c r="O59" s="38">
        <f t="shared" si="26"/>
        <v>0</v>
      </c>
      <c r="P59" s="38">
        <f>Policy_Sched!$I59*(L59+I59)</f>
        <v>0</v>
      </c>
      <c r="Q59" s="42">
        <f t="shared" si="27"/>
        <v>0</v>
      </c>
      <c r="R59" s="38">
        <f t="shared" si="28"/>
        <v>0</v>
      </c>
      <c r="S59" s="38">
        <f t="shared" si="29"/>
        <v>0</v>
      </c>
      <c r="T59" s="38">
        <f>Policy_Sched!$J59*J59</f>
        <v>0</v>
      </c>
      <c r="U59" s="42">
        <f t="shared" si="30"/>
        <v>0</v>
      </c>
      <c r="V59" s="42">
        <f t="shared" si="31"/>
        <v>0</v>
      </c>
      <c r="W59" s="38">
        <f>IF($A59&gt;LastT,0,N59+W60/(1+Policy_Sched!$K59))</f>
        <v>0</v>
      </c>
      <c r="X59" s="38">
        <f>IF($A59&gt;LastT,0,(-Q59+X60)/(1+Policy_Sched!$K59))</f>
        <v>0</v>
      </c>
      <c r="Y59" s="38">
        <f>IF($A59&gt;LastT,0,-V59+Y60/(1+Policy_Sched!$K59))</f>
        <v>0</v>
      </c>
      <c r="Z59" s="42">
        <f t="shared" si="32"/>
        <v>0</v>
      </c>
      <c r="AA59" s="38">
        <f>IF($A59&gt;LastT,0,N59-V59-Q59/(1+Policy_Sched!$K59)+Z60/(1+Policy_Sched!$K59))</f>
        <v>0</v>
      </c>
    </row>
    <row r="60" spans="1:27" x14ac:dyDescent="0.2">
      <c r="A60" s="30">
        <f t="shared" si="33"/>
        <v>53</v>
      </c>
      <c r="B60" s="31">
        <f t="shared" si="34"/>
        <v>0</v>
      </c>
      <c r="C60" s="31">
        <f>IF($A60&gt;LastT,0,IF(AND($D$3&lt;&gt;0,$A60&gt;=T0,Policy_Sched!$B60&lt;LastAge),1+$D$3*$E$3,1))</f>
        <v>0</v>
      </c>
      <c r="D60" s="36">
        <f>IF($A60&gt;LastT,0,IF($C$3="up",MIN(Policy_Sched!$E60*(1+IF($A60&gt;=T0,$E$3,0)),$F$3),IF($C$3="down",MAX(Policy_Sched!$E60*(1-IF($A60&gt;=T0,$E$3,0)),Policy_Sched!$E60-$F$3),Policy_Sched!$E60)))</f>
        <v>0</v>
      </c>
      <c r="E60" s="37">
        <f t="shared" si="35"/>
        <v>0</v>
      </c>
      <c r="F60" s="37">
        <f t="shared" si="18"/>
        <v>0</v>
      </c>
      <c r="G60" s="37">
        <f t="shared" si="19"/>
        <v>0</v>
      </c>
      <c r="H60" s="37">
        <f t="shared" si="20"/>
        <v>0</v>
      </c>
      <c r="I60" s="37">
        <f t="shared" si="21"/>
        <v>0</v>
      </c>
      <c r="J60" s="37">
        <f t="shared" si="22"/>
        <v>0</v>
      </c>
      <c r="K60" s="37">
        <f>IF($A60&gt;LastT,0,J60*Policy_Sched!$C60*Policy_Sched!$D60*C60)</f>
        <v>0</v>
      </c>
      <c r="L60" s="41">
        <f t="shared" si="23"/>
        <v>0</v>
      </c>
      <c r="M60" s="38">
        <f t="shared" si="24"/>
        <v>0</v>
      </c>
      <c r="N60" s="38">
        <f t="shared" si="25"/>
        <v>0</v>
      </c>
      <c r="O60" s="38">
        <f t="shared" si="26"/>
        <v>0</v>
      </c>
      <c r="P60" s="38">
        <f>Policy_Sched!$I60*(L60+I60)</f>
        <v>0</v>
      </c>
      <c r="Q60" s="42">
        <f t="shared" si="27"/>
        <v>0</v>
      </c>
      <c r="R60" s="38">
        <f t="shared" si="28"/>
        <v>0</v>
      </c>
      <c r="S60" s="38">
        <f t="shared" si="29"/>
        <v>0</v>
      </c>
      <c r="T60" s="38">
        <f>Policy_Sched!$J60*J60</f>
        <v>0</v>
      </c>
      <c r="U60" s="42">
        <f t="shared" si="30"/>
        <v>0</v>
      </c>
      <c r="V60" s="42">
        <f t="shared" si="31"/>
        <v>0</v>
      </c>
      <c r="W60" s="38">
        <f>IF($A60&gt;LastT,0,N60+W61/(1+Policy_Sched!$K60))</f>
        <v>0</v>
      </c>
      <c r="X60" s="38">
        <f>IF($A60&gt;LastT,0,(-Q60+X61)/(1+Policy_Sched!$K60))</f>
        <v>0</v>
      </c>
      <c r="Y60" s="38">
        <f>IF($A60&gt;LastT,0,-V60+Y61/(1+Policy_Sched!$K60))</f>
        <v>0</v>
      </c>
      <c r="Z60" s="42">
        <f t="shared" si="32"/>
        <v>0</v>
      </c>
      <c r="AA60" s="38">
        <f>IF($A60&gt;LastT,0,N60-V60-Q60/(1+Policy_Sched!$K60)+Z61/(1+Policy_Sched!$K60))</f>
        <v>0</v>
      </c>
    </row>
    <row r="61" spans="1:27" x14ac:dyDescent="0.2">
      <c r="A61" s="30">
        <f t="shared" si="33"/>
        <v>54</v>
      </c>
      <c r="B61" s="31">
        <f t="shared" si="34"/>
        <v>0</v>
      </c>
      <c r="C61" s="31">
        <f>IF($A61&gt;LastT,0,IF(AND($D$3&lt;&gt;0,$A61&gt;=T0,Policy_Sched!$B61&lt;LastAge),1+$D$3*$E$3,1))</f>
        <v>0</v>
      </c>
      <c r="D61" s="36">
        <f>IF($A61&gt;LastT,0,IF($C$3="up",MIN(Policy_Sched!$E61*(1+IF($A61&gt;=T0,$E$3,0)),$F$3),IF($C$3="down",MAX(Policy_Sched!$E61*(1-IF($A61&gt;=T0,$E$3,0)),Policy_Sched!$E61-$F$3),Policy_Sched!$E61)))</f>
        <v>0</v>
      </c>
      <c r="E61" s="37">
        <f t="shared" si="35"/>
        <v>0</v>
      </c>
      <c r="F61" s="37">
        <f t="shared" si="18"/>
        <v>0</v>
      </c>
      <c r="G61" s="37">
        <f t="shared" si="19"/>
        <v>0</v>
      </c>
      <c r="H61" s="37">
        <f t="shared" si="20"/>
        <v>0</v>
      </c>
      <c r="I61" s="37">
        <f t="shared" si="21"/>
        <v>0</v>
      </c>
      <c r="J61" s="37">
        <f t="shared" si="22"/>
        <v>0</v>
      </c>
      <c r="K61" s="37">
        <f>IF($A61&gt;LastT,0,J61*Policy_Sched!$C61*Policy_Sched!$D61*C61)</f>
        <v>0</v>
      </c>
      <c r="L61" s="41">
        <f t="shared" si="23"/>
        <v>0</v>
      </c>
      <c r="M61" s="38">
        <f t="shared" si="24"/>
        <v>0</v>
      </c>
      <c r="N61" s="38">
        <f t="shared" si="25"/>
        <v>0</v>
      </c>
      <c r="O61" s="38">
        <f t="shared" si="26"/>
        <v>0</v>
      </c>
      <c r="P61" s="38">
        <f>Policy_Sched!$I61*(L61+I61)</f>
        <v>0</v>
      </c>
      <c r="Q61" s="42">
        <f t="shared" si="27"/>
        <v>0</v>
      </c>
      <c r="R61" s="38">
        <f t="shared" si="28"/>
        <v>0</v>
      </c>
      <c r="S61" s="38">
        <f t="shared" si="29"/>
        <v>0</v>
      </c>
      <c r="T61" s="38">
        <f>Policy_Sched!$J61*J61</f>
        <v>0</v>
      </c>
      <c r="U61" s="42">
        <f t="shared" si="30"/>
        <v>0</v>
      </c>
      <c r="V61" s="42">
        <f t="shared" si="31"/>
        <v>0</v>
      </c>
      <c r="W61" s="38">
        <f>IF($A61&gt;LastT,0,N61+W62/(1+Policy_Sched!$K61))</f>
        <v>0</v>
      </c>
      <c r="X61" s="38">
        <f>IF($A61&gt;LastT,0,(-Q61+X62)/(1+Policy_Sched!$K61))</f>
        <v>0</v>
      </c>
      <c r="Y61" s="38">
        <f>IF($A61&gt;LastT,0,-V61+Y62/(1+Policy_Sched!$K61))</f>
        <v>0</v>
      </c>
      <c r="Z61" s="42">
        <f t="shared" si="32"/>
        <v>0</v>
      </c>
      <c r="AA61" s="38">
        <f>IF($A61&gt;LastT,0,N61-V61-Q61/(1+Policy_Sched!$K61)+Z62/(1+Policy_Sched!$K61))</f>
        <v>0</v>
      </c>
    </row>
    <row r="62" spans="1:27" x14ac:dyDescent="0.2">
      <c r="A62" s="30">
        <f t="shared" si="33"/>
        <v>55</v>
      </c>
      <c r="B62" s="31">
        <f t="shared" si="34"/>
        <v>0</v>
      </c>
      <c r="C62" s="31">
        <f>IF($A62&gt;LastT,0,IF(AND($D$3&lt;&gt;0,$A62&gt;=T0,Policy_Sched!$B62&lt;LastAge),1+$D$3*$E$3,1))</f>
        <v>0</v>
      </c>
      <c r="D62" s="36">
        <f>IF($A62&gt;LastT,0,IF($C$3="up",MIN(Policy_Sched!$E62*(1+IF($A62&gt;=T0,$E$3,0)),$F$3),IF($C$3="down",MAX(Policy_Sched!$E62*(1-IF($A62&gt;=T0,$E$3,0)),Policy_Sched!$E62-$F$3),Policy_Sched!$E62)))</f>
        <v>0</v>
      </c>
      <c r="E62" s="37">
        <f t="shared" si="35"/>
        <v>0</v>
      </c>
      <c r="F62" s="37">
        <f t="shared" si="18"/>
        <v>0</v>
      </c>
      <c r="G62" s="37">
        <f t="shared" si="19"/>
        <v>0</v>
      </c>
      <c r="H62" s="37">
        <f t="shared" si="20"/>
        <v>0</v>
      </c>
      <c r="I62" s="37">
        <f t="shared" si="21"/>
        <v>0</v>
      </c>
      <c r="J62" s="37">
        <f t="shared" si="22"/>
        <v>0</v>
      </c>
      <c r="K62" s="37">
        <f>IF($A62&gt;LastT,0,J62*Policy_Sched!$C62*Policy_Sched!$D62*C62)</f>
        <v>0</v>
      </c>
      <c r="L62" s="41">
        <f t="shared" si="23"/>
        <v>0</v>
      </c>
      <c r="M62" s="38">
        <f t="shared" si="24"/>
        <v>0</v>
      </c>
      <c r="N62" s="38">
        <f t="shared" si="25"/>
        <v>0</v>
      </c>
      <c r="O62" s="38">
        <f t="shared" si="26"/>
        <v>0</v>
      </c>
      <c r="P62" s="38">
        <f>Policy_Sched!$I62*(L62+I62)</f>
        <v>0</v>
      </c>
      <c r="Q62" s="42">
        <f t="shared" si="27"/>
        <v>0</v>
      </c>
      <c r="R62" s="38">
        <f t="shared" si="28"/>
        <v>0</v>
      </c>
      <c r="S62" s="38">
        <f t="shared" si="29"/>
        <v>0</v>
      </c>
      <c r="T62" s="38">
        <f>Policy_Sched!$J62*J62</f>
        <v>0</v>
      </c>
      <c r="U62" s="42">
        <f t="shared" si="30"/>
        <v>0</v>
      </c>
      <c r="V62" s="42">
        <f t="shared" si="31"/>
        <v>0</v>
      </c>
      <c r="W62" s="38">
        <f>IF($A62&gt;LastT,0,N62+W63/(1+Policy_Sched!$K62))</f>
        <v>0</v>
      </c>
      <c r="X62" s="38">
        <f>IF($A62&gt;LastT,0,(-Q62+X63)/(1+Policy_Sched!$K62))</f>
        <v>0</v>
      </c>
      <c r="Y62" s="38">
        <f>IF($A62&gt;LastT,0,-V62+Y63/(1+Policy_Sched!$K62))</f>
        <v>0</v>
      </c>
      <c r="Z62" s="42">
        <f t="shared" si="32"/>
        <v>0</v>
      </c>
      <c r="AA62" s="38">
        <f>IF($A62&gt;LastT,0,N62-V62-Q62/(1+Policy_Sched!$K62)+Z63/(1+Policy_Sched!$K62))</f>
        <v>0</v>
      </c>
    </row>
    <row r="63" spans="1:27" x14ac:dyDescent="0.2">
      <c r="A63" s="30">
        <f t="shared" si="33"/>
        <v>56</v>
      </c>
      <c r="B63" s="31">
        <f t="shared" si="34"/>
        <v>0</v>
      </c>
      <c r="C63" s="31">
        <f>IF($A63&gt;LastT,0,IF(AND($D$3&lt;&gt;0,$A63&gt;=T0,Policy_Sched!$B63&lt;LastAge),1+$D$3*$E$3,1))</f>
        <v>0</v>
      </c>
      <c r="D63" s="36">
        <f>IF($A63&gt;LastT,0,IF($C$3="up",MIN(Policy_Sched!$E63*(1+IF($A63&gt;=T0,$E$3,0)),$F$3),IF($C$3="down",MAX(Policy_Sched!$E63*(1-IF($A63&gt;=T0,$E$3,0)),Policy_Sched!$E63-$F$3),Policy_Sched!$E63)))</f>
        <v>0</v>
      </c>
      <c r="E63" s="37">
        <f t="shared" si="35"/>
        <v>0</v>
      </c>
      <c r="F63" s="37">
        <f t="shared" si="18"/>
        <v>0</v>
      </c>
      <c r="G63" s="37">
        <f t="shared" si="19"/>
        <v>0</v>
      </c>
      <c r="H63" s="37">
        <f t="shared" si="20"/>
        <v>0</v>
      </c>
      <c r="I63" s="37">
        <f t="shared" si="21"/>
        <v>0</v>
      </c>
      <c r="J63" s="37">
        <f t="shared" si="22"/>
        <v>0</v>
      </c>
      <c r="K63" s="37">
        <f>IF($A63&gt;LastT,0,J63*Policy_Sched!$C63*Policy_Sched!$D63*C63)</f>
        <v>0</v>
      </c>
      <c r="L63" s="41">
        <f t="shared" si="23"/>
        <v>0</v>
      </c>
      <c r="M63" s="38">
        <f t="shared" si="24"/>
        <v>0</v>
      </c>
      <c r="N63" s="38">
        <f t="shared" si="25"/>
        <v>0</v>
      </c>
      <c r="O63" s="38">
        <f t="shared" si="26"/>
        <v>0</v>
      </c>
      <c r="P63" s="38">
        <f>Policy_Sched!$I63*(L63+I63)</f>
        <v>0</v>
      </c>
      <c r="Q63" s="42">
        <f t="shared" si="27"/>
        <v>0</v>
      </c>
      <c r="R63" s="38">
        <f t="shared" si="28"/>
        <v>0</v>
      </c>
      <c r="S63" s="38">
        <f t="shared" si="29"/>
        <v>0</v>
      </c>
      <c r="T63" s="38">
        <f>Policy_Sched!$J63*J63</f>
        <v>0</v>
      </c>
      <c r="U63" s="42">
        <f t="shared" si="30"/>
        <v>0</v>
      </c>
      <c r="V63" s="42">
        <f t="shared" si="31"/>
        <v>0</v>
      </c>
      <c r="W63" s="38">
        <f>IF($A63&gt;LastT,0,N63+W64/(1+Policy_Sched!$K63))</f>
        <v>0</v>
      </c>
      <c r="X63" s="38">
        <f>IF($A63&gt;LastT,0,(-Q63+X64)/(1+Policy_Sched!$K63))</f>
        <v>0</v>
      </c>
      <c r="Y63" s="38">
        <f>IF($A63&gt;LastT,0,-V63+Y64/(1+Policy_Sched!$K63))</f>
        <v>0</v>
      </c>
      <c r="Z63" s="42">
        <f t="shared" si="32"/>
        <v>0</v>
      </c>
      <c r="AA63" s="38">
        <f>IF($A63&gt;LastT,0,N63-V63-Q63/(1+Policy_Sched!$K63)+Z64/(1+Policy_Sched!$K63))</f>
        <v>0</v>
      </c>
    </row>
    <row r="64" spans="1:27" x14ac:dyDescent="0.2">
      <c r="A64" s="30">
        <f t="shared" si="33"/>
        <v>57</v>
      </c>
      <c r="B64" s="31">
        <f t="shared" si="34"/>
        <v>0</v>
      </c>
      <c r="C64" s="31">
        <f>IF($A64&gt;LastT,0,IF(AND($D$3&lt;&gt;0,$A64&gt;=T0,Policy_Sched!$B64&lt;LastAge),1+$D$3*$E$3,1))</f>
        <v>0</v>
      </c>
      <c r="D64" s="36">
        <f>IF($A64&gt;LastT,0,IF($C$3="up",MIN(Policy_Sched!$E64*(1+IF($A64&gt;=T0,$E$3,0)),$F$3),IF($C$3="down",MAX(Policy_Sched!$E64*(1-IF($A64&gt;=T0,$E$3,0)),Policy_Sched!$E64-$F$3),Policy_Sched!$E64)))</f>
        <v>0</v>
      </c>
      <c r="E64" s="37">
        <f t="shared" si="35"/>
        <v>0</v>
      </c>
      <c r="F64" s="37">
        <f t="shared" si="18"/>
        <v>0</v>
      </c>
      <c r="G64" s="37">
        <f t="shared" si="19"/>
        <v>0</v>
      </c>
      <c r="H64" s="37">
        <f t="shared" si="20"/>
        <v>0</v>
      </c>
      <c r="I64" s="37">
        <f t="shared" si="21"/>
        <v>0</v>
      </c>
      <c r="J64" s="37">
        <f t="shared" si="22"/>
        <v>0</v>
      </c>
      <c r="K64" s="37">
        <f>IF($A64&gt;LastT,0,J64*Policy_Sched!$C64*Policy_Sched!$D64*C64)</f>
        <v>0</v>
      </c>
      <c r="L64" s="41">
        <f t="shared" si="23"/>
        <v>0</v>
      </c>
      <c r="M64" s="38">
        <f t="shared" si="24"/>
        <v>0</v>
      </c>
      <c r="N64" s="38">
        <f t="shared" si="25"/>
        <v>0</v>
      </c>
      <c r="O64" s="38">
        <f t="shared" si="26"/>
        <v>0</v>
      </c>
      <c r="P64" s="38">
        <f>Policy_Sched!$I64*(L64+I64)</f>
        <v>0</v>
      </c>
      <c r="Q64" s="42">
        <f t="shared" si="27"/>
        <v>0</v>
      </c>
      <c r="R64" s="38">
        <f t="shared" si="28"/>
        <v>0</v>
      </c>
      <c r="S64" s="38">
        <f t="shared" si="29"/>
        <v>0</v>
      </c>
      <c r="T64" s="38">
        <f>Policy_Sched!$J64*J64</f>
        <v>0</v>
      </c>
      <c r="U64" s="42">
        <f t="shared" si="30"/>
        <v>0</v>
      </c>
      <c r="V64" s="42">
        <f t="shared" si="31"/>
        <v>0</v>
      </c>
      <c r="W64" s="38">
        <f>IF($A64&gt;LastT,0,N64+W65/(1+Policy_Sched!$K64))</f>
        <v>0</v>
      </c>
      <c r="X64" s="38">
        <f>IF($A64&gt;LastT,0,(-Q64+X65)/(1+Policy_Sched!$K64))</f>
        <v>0</v>
      </c>
      <c r="Y64" s="38">
        <f>IF($A64&gt;LastT,0,-V64+Y65/(1+Policy_Sched!$K64))</f>
        <v>0</v>
      </c>
      <c r="Z64" s="42">
        <f t="shared" si="32"/>
        <v>0</v>
      </c>
      <c r="AA64" s="38">
        <f>IF($A64&gt;LastT,0,N64-V64-Q64/(1+Policy_Sched!$K64)+Z65/(1+Policy_Sched!$K64))</f>
        <v>0</v>
      </c>
    </row>
    <row r="65" spans="1:27" x14ac:dyDescent="0.2">
      <c r="A65" s="30">
        <f t="shared" si="33"/>
        <v>58</v>
      </c>
      <c r="B65" s="31">
        <f t="shared" si="34"/>
        <v>0</v>
      </c>
      <c r="C65" s="31">
        <f>IF($A65&gt;LastT,0,IF(AND($D$3&lt;&gt;0,$A65&gt;=T0,Policy_Sched!$B65&lt;LastAge),1+$D$3*$E$3,1))</f>
        <v>0</v>
      </c>
      <c r="D65" s="36">
        <f>IF($A65&gt;LastT,0,IF($C$3="up",MIN(Policy_Sched!$E65*(1+IF($A65&gt;=T0,$E$3,0)),$F$3),IF($C$3="down",MAX(Policy_Sched!$E65*(1-IF($A65&gt;=T0,$E$3,0)),Policy_Sched!$E65-$F$3),Policy_Sched!$E65)))</f>
        <v>0</v>
      </c>
      <c r="E65" s="37">
        <f t="shared" si="35"/>
        <v>0</v>
      </c>
      <c r="F65" s="37">
        <f t="shared" si="18"/>
        <v>0</v>
      </c>
      <c r="G65" s="37">
        <f t="shared" si="19"/>
        <v>0</v>
      </c>
      <c r="H65" s="37">
        <f t="shared" si="20"/>
        <v>0</v>
      </c>
      <c r="I65" s="37">
        <f t="shared" si="21"/>
        <v>0</v>
      </c>
      <c r="J65" s="37">
        <f t="shared" si="22"/>
        <v>0</v>
      </c>
      <c r="K65" s="37">
        <f>IF($A65&gt;LastT,0,J65*Policy_Sched!$C65*Policy_Sched!$D65*C65)</f>
        <v>0</v>
      </c>
      <c r="L65" s="41">
        <f t="shared" si="23"/>
        <v>0</v>
      </c>
      <c r="M65" s="38">
        <f t="shared" si="24"/>
        <v>0</v>
      </c>
      <c r="N65" s="38">
        <f t="shared" si="25"/>
        <v>0</v>
      </c>
      <c r="O65" s="38">
        <f t="shared" si="26"/>
        <v>0</v>
      </c>
      <c r="P65" s="38">
        <f>Policy_Sched!$I65*(L65+I65)</f>
        <v>0</v>
      </c>
      <c r="Q65" s="42">
        <f t="shared" si="27"/>
        <v>0</v>
      </c>
      <c r="R65" s="38">
        <f t="shared" si="28"/>
        <v>0</v>
      </c>
      <c r="S65" s="38">
        <f t="shared" si="29"/>
        <v>0</v>
      </c>
      <c r="T65" s="38">
        <f>Policy_Sched!$J65*J65</f>
        <v>0</v>
      </c>
      <c r="U65" s="42">
        <f t="shared" si="30"/>
        <v>0</v>
      </c>
      <c r="V65" s="42">
        <f t="shared" si="31"/>
        <v>0</v>
      </c>
      <c r="W65" s="38">
        <f>IF($A65&gt;LastT,0,N65+W66/(1+Policy_Sched!$K65))</f>
        <v>0</v>
      </c>
      <c r="X65" s="38">
        <f>IF($A65&gt;LastT,0,(-Q65+X66)/(1+Policy_Sched!$K65))</f>
        <v>0</v>
      </c>
      <c r="Y65" s="38">
        <f>IF($A65&gt;LastT,0,-V65+Y66/(1+Policy_Sched!$K65))</f>
        <v>0</v>
      </c>
      <c r="Z65" s="42">
        <f t="shared" si="32"/>
        <v>0</v>
      </c>
      <c r="AA65" s="38">
        <f>IF($A65&gt;LastT,0,N65-V65-Q65/(1+Policy_Sched!$K65)+Z66/(1+Policy_Sched!$K65))</f>
        <v>0</v>
      </c>
    </row>
    <row r="66" spans="1:27" x14ac:dyDescent="0.2">
      <c r="A66" s="30">
        <f t="shared" si="33"/>
        <v>59</v>
      </c>
      <c r="B66" s="31">
        <f t="shared" si="34"/>
        <v>0</v>
      </c>
      <c r="C66" s="31">
        <f>IF($A66&gt;LastT,0,IF(AND($D$3&lt;&gt;0,$A66&gt;=T0,Policy_Sched!$B66&lt;LastAge),1+$D$3*$E$3,1))</f>
        <v>0</v>
      </c>
      <c r="D66" s="36">
        <f>IF($A66&gt;LastT,0,IF($C$3="up",MIN(Policy_Sched!$E66*(1+IF($A66&gt;=T0,$E$3,0)),$F$3),IF($C$3="down",MAX(Policy_Sched!$E66*(1-IF($A66&gt;=T0,$E$3,0)),Policy_Sched!$E66-$F$3),Policy_Sched!$E66)))</f>
        <v>0</v>
      </c>
      <c r="E66" s="37">
        <f t="shared" si="35"/>
        <v>0</v>
      </c>
      <c r="F66" s="37">
        <f t="shared" si="18"/>
        <v>0</v>
      </c>
      <c r="G66" s="37">
        <f t="shared" si="19"/>
        <v>0</v>
      </c>
      <c r="H66" s="37">
        <f t="shared" si="20"/>
        <v>0</v>
      </c>
      <c r="I66" s="37">
        <f t="shared" si="21"/>
        <v>0</v>
      </c>
      <c r="J66" s="37">
        <f t="shared" si="22"/>
        <v>0</v>
      </c>
      <c r="K66" s="37">
        <f>IF($A66&gt;LastT,0,J66*Policy_Sched!$C66*Policy_Sched!$D66*C66)</f>
        <v>0</v>
      </c>
      <c r="L66" s="41">
        <f t="shared" si="23"/>
        <v>0</v>
      </c>
      <c r="M66" s="38">
        <f t="shared" si="24"/>
        <v>0</v>
      </c>
      <c r="N66" s="38">
        <f t="shared" si="25"/>
        <v>0</v>
      </c>
      <c r="O66" s="38">
        <f t="shared" si="26"/>
        <v>0</v>
      </c>
      <c r="P66" s="38">
        <f>Policy_Sched!$I66*(L66+I66)</f>
        <v>0</v>
      </c>
      <c r="Q66" s="42">
        <f t="shared" si="27"/>
        <v>0</v>
      </c>
      <c r="R66" s="38">
        <f t="shared" si="28"/>
        <v>0</v>
      </c>
      <c r="S66" s="38">
        <f t="shared" si="29"/>
        <v>0</v>
      </c>
      <c r="T66" s="38">
        <f>Policy_Sched!$J66*J66</f>
        <v>0</v>
      </c>
      <c r="U66" s="42">
        <f t="shared" si="30"/>
        <v>0</v>
      </c>
      <c r="V66" s="42">
        <f t="shared" si="31"/>
        <v>0</v>
      </c>
      <c r="W66" s="38">
        <f>IF($A66&gt;LastT,0,N66+W67/(1+Policy_Sched!$K66))</f>
        <v>0</v>
      </c>
      <c r="X66" s="38">
        <f>IF($A66&gt;LastT,0,(-Q66+X67)/(1+Policy_Sched!$K66))</f>
        <v>0</v>
      </c>
      <c r="Y66" s="38">
        <f>IF($A66&gt;LastT,0,-V66+Y67/(1+Policy_Sched!$K66))</f>
        <v>0</v>
      </c>
      <c r="Z66" s="42">
        <f t="shared" si="32"/>
        <v>0</v>
      </c>
      <c r="AA66" s="38">
        <f>IF($A66&gt;LastT,0,N66-V66-Q66/(1+Policy_Sched!$K66)+Z67/(1+Policy_Sched!$K66))</f>
        <v>0</v>
      </c>
    </row>
    <row r="67" spans="1:27" x14ac:dyDescent="0.2">
      <c r="A67" s="30">
        <f t="shared" si="33"/>
        <v>60</v>
      </c>
      <c r="B67" s="31">
        <f t="shared" si="34"/>
        <v>0</v>
      </c>
      <c r="C67" s="31">
        <f>IF($A67&gt;LastT,0,IF(AND($D$3&lt;&gt;0,$A67&gt;=T0,Policy_Sched!$B67&lt;LastAge),1+$D$3*$E$3,1))</f>
        <v>0</v>
      </c>
      <c r="D67" s="36">
        <f>IF($A67&gt;LastT,0,IF($C$3="up",MIN(Policy_Sched!$E67*(1+IF($A67&gt;=T0,$E$3,0)),$F$3),IF($C$3="down",MAX(Policy_Sched!$E67*(1-IF($A67&gt;=T0,$E$3,0)),Policy_Sched!$E67-$F$3),Policy_Sched!$E67)))</f>
        <v>0</v>
      </c>
      <c r="E67" s="37">
        <f t="shared" si="35"/>
        <v>0</v>
      </c>
      <c r="F67" s="37">
        <f t="shared" si="18"/>
        <v>0</v>
      </c>
      <c r="G67" s="37">
        <f t="shared" si="19"/>
        <v>0</v>
      </c>
      <c r="H67" s="37">
        <f t="shared" si="20"/>
        <v>0</v>
      </c>
      <c r="I67" s="37">
        <f t="shared" si="21"/>
        <v>0</v>
      </c>
      <c r="J67" s="37">
        <f t="shared" si="22"/>
        <v>0</v>
      </c>
      <c r="K67" s="37">
        <f>IF($A67&gt;LastT,0,J67*Policy_Sched!$C67*Policy_Sched!$D67*C67)</f>
        <v>0</v>
      </c>
      <c r="L67" s="41">
        <f t="shared" si="23"/>
        <v>0</v>
      </c>
      <c r="M67" s="38">
        <f t="shared" si="24"/>
        <v>0</v>
      </c>
      <c r="N67" s="38">
        <f t="shared" si="25"/>
        <v>0</v>
      </c>
      <c r="O67" s="38">
        <f t="shared" si="26"/>
        <v>0</v>
      </c>
      <c r="P67" s="38">
        <f>Policy_Sched!$I67*(L67+I67)</f>
        <v>0</v>
      </c>
      <c r="Q67" s="42">
        <f t="shared" si="27"/>
        <v>0</v>
      </c>
      <c r="R67" s="38">
        <f t="shared" si="28"/>
        <v>0</v>
      </c>
      <c r="S67" s="38">
        <f t="shared" si="29"/>
        <v>0</v>
      </c>
      <c r="T67" s="38">
        <f>Policy_Sched!$J67*J67</f>
        <v>0</v>
      </c>
      <c r="U67" s="42">
        <f t="shared" si="30"/>
        <v>0</v>
      </c>
      <c r="V67" s="42">
        <f t="shared" si="31"/>
        <v>0</v>
      </c>
      <c r="W67" s="38">
        <f>IF($A67&gt;LastT,0,N67+W68/(1+Policy_Sched!$K67))</f>
        <v>0</v>
      </c>
      <c r="X67" s="38">
        <f>IF($A67&gt;LastT,0,(-Q67+X68)/(1+Policy_Sched!$K67))</f>
        <v>0</v>
      </c>
      <c r="Y67" s="38">
        <f>IF($A67&gt;LastT,0,-V67+Y68/(1+Policy_Sched!$K67))</f>
        <v>0</v>
      </c>
      <c r="Z67" s="42">
        <f t="shared" si="32"/>
        <v>0</v>
      </c>
      <c r="AA67" s="38">
        <f>IF($A67&gt;LastT,0,N67-V67-Q67/(1+Policy_Sched!$K67)+Z68/(1+Policy_Sched!$K67))</f>
        <v>0</v>
      </c>
    </row>
    <row r="68" spans="1:27" x14ac:dyDescent="0.2">
      <c r="A68" s="30">
        <f t="shared" si="33"/>
        <v>61</v>
      </c>
      <c r="B68" s="31">
        <f t="shared" si="34"/>
        <v>0</v>
      </c>
      <c r="C68" s="31">
        <f>IF($A68&gt;LastT,0,IF(AND($D$3&lt;&gt;0,$A68&gt;=T0,Policy_Sched!$B68&lt;LastAge),1+$D$3*$E$3,1))</f>
        <v>0</v>
      </c>
      <c r="D68" s="36">
        <f>IF($A68&gt;LastT,0,IF($C$3="up",MIN(Policy_Sched!$E68*(1+IF($A68&gt;=T0,$E$3,0)),$F$3),IF($C$3="down",MAX(Policy_Sched!$E68*(1-IF($A68&gt;=T0,$E$3,0)),Policy_Sched!$E68-$F$3),Policy_Sched!$E68)))</f>
        <v>0</v>
      </c>
      <c r="E68" s="37">
        <f t="shared" si="35"/>
        <v>0</v>
      </c>
      <c r="F68" s="37">
        <f t="shared" si="18"/>
        <v>0</v>
      </c>
      <c r="G68" s="37">
        <f t="shared" si="19"/>
        <v>0</v>
      </c>
      <c r="H68" s="37">
        <f t="shared" si="20"/>
        <v>0</v>
      </c>
      <c r="I68" s="37">
        <f t="shared" si="21"/>
        <v>0</v>
      </c>
      <c r="J68" s="37">
        <f t="shared" si="22"/>
        <v>0</v>
      </c>
      <c r="K68" s="37">
        <f>IF($A68&gt;LastT,0,J68*Policy_Sched!$C68*Policy_Sched!$D68*C68)</f>
        <v>0</v>
      </c>
      <c r="L68" s="41">
        <f t="shared" si="23"/>
        <v>0</v>
      </c>
      <c r="M68" s="38">
        <f t="shared" si="24"/>
        <v>0</v>
      </c>
      <c r="N68" s="38">
        <f t="shared" si="25"/>
        <v>0</v>
      </c>
      <c r="O68" s="38">
        <f t="shared" si="26"/>
        <v>0</v>
      </c>
      <c r="P68" s="38">
        <f>Policy_Sched!$I68*(L68+I68)</f>
        <v>0</v>
      </c>
      <c r="Q68" s="42">
        <f t="shared" si="27"/>
        <v>0</v>
      </c>
      <c r="R68" s="38">
        <f t="shared" si="28"/>
        <v>0</v>
      </c>
      <c r="S68" s="38">
        <f t="shared" si="29"/>
        <v>0</v>
      </c>
      <c r="T68" s="38">
        <f>Policy_Sched!$J68*J68</f>
        <v>0</v>
      </c>
      <c r="U68" s="42">
        <f t="shared" si="30"/>
        <v>0</v>
      </c>
      <c r="V68" s="42">
        <f t="shared" si="31"/>
        <v>0</v>
      </c>
      <c r="W68" s="38">
        <f>IF($A68&gt;LastT,0,N68+W69/(1+Policy_Sched!$K68))</f>
        <v>0</v>
      </c>
      <c r="X68" s="38">
        <f>IF($A68&gt;LastT,0,(-Q68+X69)/(1+Policy_Sched!$K68))</f>
        <v>0</v>
      </c>
      <c r="Y68" s="38">
        <f>IF($A68&gt;LastT,0,-V68+Y69/(1+Policy_Sched!$K68))</f>
        <v>0</v>
      </c>
      <c r="Z68" s="42">
        <f t="shared" si="32"/>
        <v>0</v>
      </c>
      <c r="AA68" s="38">
        <f>IF($A68&gt;LastT,0,N68-V68-Q68/(1+Policy_Sched!$K68)+Z69/(1+Policy_Sched!$K68))</f>
        <v>0</v>
      </c>
    </row>
    <row r="69" spans="1:27" x14ac:dyDescent="0.2">
      <c r="A69" s="30">
        <f t="shared" si="33"/>
        <v>62</v>
      </c>
      <c r="B69" s="31">
        <f t="shared" si="34"/>
        <v>0</v>
      </c>
      <c r="C69" s="31">
        <f>IF($A69&gt;LastT,0,IF(AND($D$3&lt;&gt;0,$A69&gt;=T0,Policy_Sched!$B69&lt;LastAge),1+$D$3*$E$3,1))</f>
        <v>0</v>
      </c>
      <c r="D69" s="36">
        <f>IF($A69&gt;LastT,0,IF($C$3="up",MIN(Policy_Sched!$E69*(1+IF($A69&gt;=T0,$E$3,0)),$F$3),IF($C$3="down",MAX(Policy_Sched!$E69*(1-IF($A69&gt;=T0,$E$3,0)),Policy_Sched!$E69-$F$3),Policy_Sched!$E69)))</f>
        <v>0</v>
      </c>
      <c r="E69" s="37">
        <f t="shared" si="35"/>
        <v>0</v>
      </c>
      <c r="F69" s="37">
        <f t="shared" si="18"/>
        <v>0</v>
      </c>
      <c r="G69" s="37">
        <f t="shared" si="19"/>
        <v>0</v>
      </c>
      <c r="H69" s="37">
        <f t="shared" si="20"/>
        <v>0</v>
      </c>
      <c r="I69" s="37">
        <f t="shared" si="21"/>
        <v>0</v>
      </c>
      <c r="J69" s="37">
        <f t="shared" si="22"/>
        <v>0</v>
      </c>
      <c r="K69" s="37">
        <f>IF($A69&gt;LastT,0,J69*Policy_Sched!$C69*Policy_Sched!$D69*C69)</f>
        <v>0</v>
      </c>
      <c r="L69" s="41">
        <f t="shared" si="23"/>
        <v>0</v>
      </c>
      <c r="M69" s="38">
        <f t="shared" si="24"/>
        <v>0</v>
      </c>
      <c r="N69" s="38">
        <f t="shared" si="25"/>
        <v>0</v>
      </c>
      <c r="O69" s="38">
        <f t="shared" si="26"/>
        <v>0</v>
      </c>
      <c r="P69" s="38">
        <f>Policy_Sched!$I69*(L69+I69)</f>
        <v>0</v>
      </c>
      <c r="Q69" s="42">
        <f t="shared" si="27"/>
        <v>0</v>
      </c>
      <c r="R69" s="38">
        <f t="shared" si="28"/>
        <v>0</v>
      </c>
      <c r="S69" s="38">
        <f t="shared" si="29"/>
        <v>0</v>
      </c>
      <c r="T69" s="38">
        <f>Policy_Sched!$J69*J69</f>
        <v>0</v>
      </c>
      <c r="U69" s="42">
        <f t="shared" si="30"/>
        <v>0</v>
      </c>
      <c r="V69" s="42">
        <f t="shared" si="31"/>
        <v>0</v>
      </c>
      <c r="W69" s="38">
        <f>IF($A69&gt;LastT,0,N69+W70/(1+Policy_Sched!$K69))</f>
        <v>0</v>
      </c>
      <c r="X69" s="38">
        <f>IF($A69&gt;LastT,0,(-Q69+X70)/(1+Policy_Sched!$K69))</f>
        <v>0</v>
      </c>
      <c r="Y69" s="38">
        <f>IF($A69&gt;LastT,0,-V69+Y70/(1+Policy_Sched!$K69))</f>
        <v>0</v>
      </c>
      <c r="Z69" s="42">
        <f t="shared" si="32"/>
        <v>0</v>
      </c>
      <c r="AA69" s="38">
        <f>IF($A69&gt;LastT,0,N69-V69-Q69/(1+Policy_Sched!$K69)+Z70/(1+Policy_Sched!$K69))</f>
        <v>0</v>
      </c>
    </row>
    <row r="70" spans="1:27" x14ac:dyDescent="0.2">
      <c r="A70" s="30">
        <f t="shared" si="33"/>
        <v>63</v>
      </c>
      <c r="B70" s="31">
        <f t="shared" si="34"/>
        <v>0</v>
      </c>
      <c r="C70" s="31">
        <f>IF($A70&gt;LastT,0,IF(AND($D$3&lt;&gt;0,$A70&gt;=T0,Policy_Sched!$B70&lt;LastAge),1+$D$3*$E$3,1))</f>
        <v>0</v>
      </c>
      <c r="D70" s="36">
        <f>IF($A70&gt;LastT,0,IF($C$3="up",MIN(Policy_Sched!$E70*(1+IF($A70&gt;=T0,$E$3,0)),$F$3),IF($C$3="down",MAX(Policy_Sched!$E70*(1-IF($A70&gt;=T0,$E$3,0)),Policy_Sched!$E70-$F$3),Policy_Sched!$E70)))</f>
        <v>0</v>
      </c>
      <c r="E70" s="37">
        <f t="shared" si="35"/>
        <v>0</v>
      </c>
      <c r="F70" s="37">
        <f t="shared" si="18"/>
        <v>0</v>
      </c>
      <c r="G70" s="37">
        <f t="shared" si="19"/>
        <v>0</v>
      </c>
      <c r="H70" s="37">
        <f t="shared" si="20"/>
        <v>0</v>
      </c>
      <c r="I70" s="37">
        <f t="shared" si="21"/>
        <v>0</v>
      </c>
      <c r="J70" s="37">
        <f t="shared" si="22"/>
        <v>0</v>
      </c>
      <c r="K70" s="37">
        <f>IF($A70&gt;LastT,0,J70*Policy_Sched!$C70*Policy_Sched!$D70*C70)</f>
        <v>0</v>
      </c>
      <c r="L70" s="41">
        <f t="shared" si="23"/>
        <v>0</v>
      </c>
      <c r="M70" s="38">
        <f t="shared" si="24"/>
        <v>0</v>
      </c>
      <c r="N70" s="38">
        <f t="shared" si="25"/>
        <v>0</v>
      </c>
      <c r="O70" s="38">
        <f t="shared" si="26"/>
        <v>0</v>
      </c>
      <c r="P70" s="38">
        <f>Policy_Sched!$I70*(L70+I70)</f>
        <v>0</v>
      </c>
      <c r="Q70" s="42">
        <f t="shared" si="27"/>
        <v>0</v>
      </c>
      <c r="R70" s="38">
        <f t="shared" si="28"/>
        <v>0</v>
      </c>
      <c r="S70" s="38">
        <f t="shared" si="29"/>
        <v>0</v>
      </c>
      <c r="T70" s="38">
        <f>Policy_Sched!$J70*J70</f>
        <v>0</v>
      </c>
      <c r="U70" s="42">
        <f t="shared" si="30"/>
        <v>0</v>
      </c>
      <c r="V70" s="42">
        <f t="shared" si="31"/>
        <v>0</v>
      </c>
      <c r="W70" s="38">
        <f>IF($A70&gt;LastT,0,N70+W71/(1+Policy_Sched!$K70))</f>
        <v>0</v>
      </c>
      <c r="X70" s="38">
        <f>IF($A70&gt;LastT,0,(-Q70+X71)/(1+Policy_Sched!$K70))</f>
        <v>0</v>
      </c>
      <c r="Y70" s="38">
        <f>IF($A70&gt;LastT,0,-V70+Y71/(1+Policy_Sched!$K70))</f>
        <v>0</v>
      </c>
      <c r="Z70" s="42">
        <f t="shared" si="32"/>
        <v>0</v>
      </c>
      <c r="AA70" s="38">
        <f>IF($A70&gt;LastT,0,N70-V70-Q70/(1+Policy_Sched!$K70)+Z71/(1+Policy_Sched!$K70))</f>
        <v>0</v>
      </c>
    </row>
    <row r="71" spans="1:27" x14ac:dyDescent="0.2">
      <c r="A71" s="30">
        <f t="shared" si="33"/>
        <v>64</v>
      </c>
      <c r="B71" s="31">
        <f t="shared" si="34"/>
        <v>0</v>
      </c>
      <c r="C71" s="31">
        <f>IF($A71&gt;LastT,0,IF(AND($D$3&lt;&gt;0,$A71&gt;=T0,Policy_Sched!$B71&lt;LastAge),1+$D$3*$E$3,1))</f>
        <v>0</v>
      </c>
      <c r="D71" s="36">
        <f>IF($A71&gt;LastT,0,IF($C$3="up",MIN(Policy_Sched!$E71*(1+IF($A71&gt;=T0,$E$3,0)),$F$3),IF($C$3="down",MAX(Policy_Sched!$E71*(1-IF($A71&gt;=T0,$E$3,0)),Policy_Sched!$E71-$F$3),Policy_Sched!$E71)))</f>
        <v>0</v>
      </c>
      <c r="E71" s="37">
        <f t="shared" si="35"/>
        <v>0</v>
      </c>
      <c r="F71" s="37">
        <f t="shared" ref="F71:F102" si="36">IF($A71&gt;LastT,0,IF($A71=PolicyTerm,E71,0))</f>
        <v>0</v>
      </c>
      <c r="G71" s="37">
        <f t="shared" ref="G71:G102" si="37">IF($A71&gt;LastT,0,E71-F71)</f>
        <v>0</v>
      </c>
      <c r="H71" s="37">
        <f t="shared" ref="H71:H102" si="38">IF($A71=0,PolicyCount,0)</f>
        <v>0</v>
      </c>
      <c r="I71" s="37">
        <f t="shared" ref="I71:I102" si="39">IF($A71&gt;LastT,0,IF(AND($C$3="mass",$A71=T0),(G71+H71)*$E$3,0))</f>
        <v>0</v>
      </c>
      <c r="J71" s="37">
        <f t="shared" ref="J71:J102" si="40">IF($A71&gt;LastT,0,G71+H71-I71)</f>
        <v>0</v>
      </c>
      <c r="K71" s="37">
        <f>IF($A71&gt;LastT,0,J71*Policy_Sched!$C71*Policy_Sched!$D71*C71)</f>
        <v>0</v>
      </c>
      <c r="L71" s="41">
        <f t="shared" ref="L71:L102" si="41">J71*D71</f>
        <v>0</v>
      </c>
      <c r="M71" s="38">
        <f t="shared" ref="M71:M102" si="42">IF($A71&gt;LastT,0,(SizeAnnPrem*ExpsMaintAnnPrem+(SumAssured*ExpsMaintSA+ExpsMaintPol)*B71)*(1+IF($B$3="exps",$E$3,0)))</f>
        <v>0</v>
      </c>
      <c r="N71" s="38">
        <f t="shared" ref="N71:N102" si="43">SizePremium*J71</f>
        <v>0</v>
      </c>
      <c r="O71" s="38">
        <f t="shared" ref="O71:O102" si="44">SumAssured*K71</f>
        <v>0</v>
      </c>
      <c r="P71" s="38">
        <f>Policy_Sched!$I71*(L71+I71)</f>
        <v>0</v>
      </c>
      <c r="Q71" s="42">
        <f t="shared" ref="Q71:Q102" si="45">O71+P71</f>
        <v>0</v>
      </c>
      <c r="R71" s="38">
        <f t="shared" ref="R71:R102" si="46">IF($A71=0,SizeExpsAcq0*H71,0)</f>
        <v>0</v>
      </c>
      <c r="S71" s="38">
        <f t="shared" ref="S71:S102" si="47">IF($A71=0,SizeExpsCommInit0*J71,0)</f>
        <v>0</v>
      </c>
      <c r="T71" s="38">
        <f>Policy_Sched!$J71*J71</f>
        <v>0</v>
      </c>
      <c r="U71" s="42">
        <f t="shared" ref="U71:U102" si="48">M71*J71</f>
        <v>0</v>
      </c>
      <c r="V71" s="42">
        <f t="shared" ref="V71:V102" si="49">S71+T71+R71+U71</f>
        <v>0</v>
      </c>
      <c r="W71" s="38">
        <f>IF($A71&gt;LastT,0,N71+W72/(1+Policy_Sched!$K71))</f>
        <v>0</v>
      </c>
      <c r="X71" s="38">
        <f>IF($A71&gt;LastT,0,(-Q71+X72)/(1+Policy_Sched!$K71))</f>
        <v>0</v>
      </c>
      <c r="Y71" s="38">
        <f>IF($A71&gt;LastT,0,-V71+Y72/(1+Policy_Sched!$K71))</f>
        <v>0</v>
      </c>
      <c r="Z71" s="42">
        <f t="shared" ref="Z71:Z102" si="50">W71+Y71+X71</f>
        <v>0</v>
      </c>
      <c r="AA71" s="38">
        <f>IF($A71&gt;LastT,0,N71-V71-Q71/(1+Policy_Sched!$K71)+Z72/(1+Policy_Sched!$K71))</f>
        <v>0</v>
      </c>
    </row>
    <row r="72" spans="1:27" x14ac:dyDescent="0.2">
      <c r="A72" s="30">
        <f t="shared" ref="A72:A103" si="51">A71+1</f>
        <v>65</v>
      </c>
      <c r="B72" s="31">
        <f t="shared" ref="B72:B103" si="52">IF($A72&gt;LastT,0,IF($B$3="exps",B71*(1+InflRate+IF($A72&gt;=T0,$G$3,0)),B71/(1+InflRate)))</f>
        <v>0</v>
      </c>
      <c r="C72" s="31">
        <f>IF($A72&gt;LastT,0,IF(AND($D$3&lt;&gt;0,$A72&gt;=T0,Policy_Sched!$B72&lt;LastAge),1+$D$3*$E$3,1))</f>
        <v>0</v>
      </c>
      <c r="D72" s="36">
        <f>IF($A72&gt;LastT,0,IF($C$3="up",MIN(Policy_Sched!$E72*(1+IF($A72&gt;=T0,$E$3,0)),$F$3),IF($C$3="down",MAX(Policy_Sched!$E72*(1-IF($A72&gt;=T0,$E$3,0)),Policy_Sched!$E72-$F$3),Policy_Sched!$E72)))</f>
        <v>0</v>
      </c>
      <c r="E72" s="37">
        <f t="shared" ref="E72:E103" si="53">IF($A72&gt;LastT,0,J71-K71-L71)</f>
        <v>0</v>
      </c>
      <c r="F72" s="37">
        <f t="shared" si="36"/>
        <v>0</v>
      </c>
      <c r="G72" s="37">
        <f t="shared" si="37"/>
        <v>0</v>
      </c>
      <c r="H72" s="37">
        <f t="shared" si="38"/>
        <v>0</v>
      </c>
      <c r="I72" s="37">
        <f t="shared" si="39"/>
        <v>0</v>
      </c>
      <c r="J72" s="37">
        <f t="shared" si="40"/>
        <v>0</v>
      </c>
      <c r="K72" s="37">
        <f>IF($A72&gt;LastT,0,J72*Policy_Sched!$C72*Policy_Sched!$D72*C72)</f>
        <v>0</v>
      </c>
      <c r="L72" s="41">
        <f t="shared" si="41"/>
        <v>0</v>
      </c>
      <c r="M72" s="38">
        <f t="shared" si="42"/>
        <v>0</v>
      </c>
      <c r="N72" s="38">
        <f t="shared" si="43"/>
        <v>0</v>
      </c>
      <c r="O72" s="38">
        <f t="shared" si="44"/>
        <v>0</v>
      </c>
      <c r="P72" s="38">
        <f>Policy_Sched!$I72*(L72+I72)</f>
        <v>0</v>
      </c>
      <c r="Q72" s="42">
        <f t="shared" si="45"/>
        <v>0</v>
      </c>
      <c r="R72" s="38">
        <f t="shared" si="46"/>
        <v>0</v>
      </c>
      <c r="S72" s="38">
        <f t="shared" si="47"/>
        <v>0</v>
      </c>
      <c r="T72" s="38">
        <f>Policy_Sched!$J72*J72</f>
        <v>0</v>
      </c>
      <c r="U72" s="42">
        <f t="shared" si="48"/>
        <v>0</v>
      </c>
      <c r="V72" s="42">
        <f t="shared" si="49"/>
        <v>0</v>
      </c>
      <c r="W72" s="38">
        <f>IF($A72&gt;LastT,0,N72+W73/(1+Policy_Sched!$K72))</f>
        <v>0</v>
      </c>
      <c r="X72" s="38">
        <f>IF($A72&gt;LastT,0,(-Q72+X73)/(1+Policy_Sched!$K72))</f>
        <v>0</v>
      </c>
      <c r="Y72" s="38">
        <f>IF($A72&gt;LastT,0,-V72+Y73/(1+Policy_Sched!$K72))</f>
        <v>0</v>
      </c>
      <c r="Z72" s="42">
        <f t="shared" si="50"/>
        <v>0</v>
      </c>
      <c r="AA72" s="38">
        <f>IF($A72&gt;LastT,0,N72-V72-Q72/(1+Policy_Sched!$K72)+Z73/(1+Policy_Sched!$K72))</f>
        <v>0</v>
      </c>
    </row>
    <row r="73" spans="1:27" x14ac:dyDescent="0.2">
      <c r="A73" s="30">
        <f t="shared" si="51"/>
        <v>66</v>
      </c>
      <c r="B73" s="31">
        <f t="shared" si="52"/>
        <v>0</v>
      </c>
      <c r="C73" s="31">
        <f>IF($A73&gt;LastT,0,IF(AND($D$3&lt;&gt;0,$A73&gt;=T0,Policy_Sched!$B73&lt;LastAge),1+$D$3*$E$3,1))</f>
        <v>0</v>
      </c>
      <c r="D73" s="36">
        <f>IF($A73&gt;LastT,0,IF($C$3="up",MIN(Policy_Sched!$E73*(1+IF($A73&gt;=T0,$E$3,0)),$F$3),IF($C$3="down",MAX(Policy_Sched!$E73*(1-IF($A73&gt;=T0,$E$3,0)),Policy_Sched!$E73-$F$3),Policy_Sched!$E73)))</f>
        <v>0</v>
      </c>
      <c r="E73" s="37">
        <f t="shared" si="53"/>
        <v>0</v>
      </c>
      <c r="F73" s="37">
        <f t="shared" si="36"/>
        <v>0</v>
      </c>
      <c r="G73" s="37">
        <f t="shared" si="37"/>
        <v>0</v>
      </c>
      <c r="H73" s="37">
        <f t="shared" si="38"/>
        <v>0</v>
      </c>
      <c r="I73" s="37">
        <f t="shared" si="39"/>
        <v>0</v>
      </c>
      <c r="J73" s="37">
        <f t="shared" si="40"/>
        <v>0</v>
      </c>
      <c r="K73" s="37">
        <f>IF($A73&gt;LastT,0,J73*Policy_Sched!$C73*Policy_Sched!$D73*C73)</f>
        <v>0</v>
      </c>
      <c r="L73" s="41">
        <f t="shared" si="41"/>
        <v>0</v>
      </c>
      <c r="M73" s="38">
        <f t="shared" si="42"/>
        <v>0</v>
      </c>
      <c r="N73" s="38">
        <f t="shared" si="43"/>
        <v>0</v>
      </c>
      <c r="O73" s="38">
        <f t="shared" si="44"/>
        <v>0</v>
      </c>
      <c r="P73" s="38">
        <f>Policy_Sched!$I73*(L73+I73)</f>
        <v>0</v>
      </c>
      <c r="Q73" s="42">
        <f t="shared" si="45"/>
        <v>0</v>
      </c>
      <c r="R73" s="38">
        <f t="shared" si="46"/>
        <v>0</v>
      </c>
      <c r="S73" s="38">
        <f t="shared" si="47"/>
        <v>0</v>
      </c>
      <c r="T73" s="38">
        <f>Policy_Sched!$J73*J73</f>
        <v>0</v>
      </c>
      <c r="U73" s="42">
        <f t="shared" si="48"/>
        <v>0</v>
      </c>
      <c r="V73" s="42">
        <f t="shared" si="49"/>
        <v>0</v>
      </c>
      <c r="W73" s="38">
        <f>IF($A73&gt;LastT,0,N73+W74/(1+Policy_Sched!$K73))</f>
        <v>0</v>
      </c>
      <c r="X73" s="38">
        <f>IF($A73&gt;LastT,0,(-Q73+X74)/(1+Policy_Sched!$K73))</f>
        <v>0</v>
      </c>
      <c r="Y73" s="38">
        <f>IF($A73&gt;LastT,0,-V73+Y74/(1+Policy_Sched!$K73))</f>
        <v>0</v>
      </c>
      <c r="Z73" s="42">
        <f t="shared" si="50"/>
        <v>0</v>
      </c>
      <c r="AA73" s="38">
        <f>IF($A73&gt;LastT,0,N73-V73-Q73/(1+Policy_Sched!$K73)+Z74/(1+Policy_Sched!$K73))</f>
        <v>0</v>
      </c>
    </row>
    <row r="74" spans="1:27" x14ac:dyDescent="0.2">
      <c r="A74" s="30">
        <f t="shared" si="51"/>
        <v>67</v>
      </c>
      <c r="B74" s="31">
        <f t="shared" si="52"/>
        <v>0</v>
      </c>
      <c r="C74" s="31">
        <f>IF($A74&gt;LastT,0,IF(AND($D$3&lt;&gt;0,$A74&gt;=T0,Policy_Sched!$B74&lt;LastAge),1+$D$3*$E$3,1))</f>
        <v>0</v>
      </c>
      <c r="D74" s="36">
        <f>IF($A74&gt;LastT,0,IF($C$3="up",MIN(Policy_Sched!$E74*(1+IF($A74&gt;=T0,$E$3,0)),$F$3),IF($C$3="down",MAX(Policy_Sched!$E74*(1-IF($A74&gt;=T0,$E$3,0)),Policy_Sched!$E74-$F$3),Policy_Sched!$E74)))</f>
        <v>0</v>
      </c>
      <c r="E74" s="37">
        <f t="shared" si="53"/>
        <v>0</v>
      </c>
      <c r="F74" s="37">
        <f t="shared" si="36"/>
        <v>0</v>
      </c>
      <c r="G74" s="37">
        <f t="shared" si="37"/>
        <v>0</v>
      </c>
      <c r="H74" s="37">
        <f t="shared" si="38"/>
        <v>0</v>
      </c>
      <c r="I74" s="37">
        <f t="shared" si="39"/>
        <v>0</v>
      </c>
      <c r="J74" s="37">
        <f t="shared" si="40"/>
        <v>0</v>
      </c>
      <c r="K74" s="37">
        <f>IF($A74&gt;LastT,0,J74*Policy_Sched!$C74*Policy_Sched!$D74*C74)</f>
        <v>0</v>
      </c>
      <c r="L74" s="41">
        <f t="shared" si="41"/>
        <v>0</v>
      </c>
      <c r="M74" s="38">
        <f t="shared" si="42"/>
        <v>0</v>
      </c>
      <c r="N74" s="38">
        <f t="shared" si="43"/>
        <v>0</v>
      </c>
      <c r="O74" s="38">
        <f t="shared" si="44"/>
        <v>0</v>
      </c>
      <c r="P74" s="38">
        <f>Policy_Sched!$I74*(L74+I74)</f>
        <v>0</v>
      </c>
      <c r="Q74" s="42">
        <f t="shared" si="45"/>
        <v>0</v>
      </c>
      <c r="R74" s="38">
        <f t="shared" si="46"/>
        <v>0</v>
      </c>
      <c r="S74" s="38">
        <f t="shared" si="47"/>
        <v>0</v>
      </c>
      <c r="T74" s="38">
        <f>Policy_Sched!$J74*J74</f>
        <v>0</v>
      </c>
      <c r="U74" s="42">
        <f t="shared" si="48"/>
        <v>0</v>
      </c>
      <c r="V74" s="42">
        <f t="shared" si="49"/>
        <v>0</v>
      </c>
      <c r="W74" s="38">
        <f>IF($A74&gt;LastT,0,N74+W75/(1+Policy_Sched!$K74))</f>
        <v>0</v>
      </c>
      <c r="X74" s="38">
        <f>IF($A74&gt;LastT,0,(-Q74+X75)/(1+Policy_Sched!$K74))</f>
        <v>0</v>
      </c>
      <c r="Y74" s="38">
        <f>IF($A74&gt;LastT,0,-V74+Y75/(1+Policy_Sched!$K74))</f>
        <v>0</v>
      </c>
      <c r="Z74" s="42">
        <f t="shared" si="50"/>
        <v>0</v>
      </c>
      <c r="AA74" s="38">
        <f>IF($A74&gt;LastT,0,N74-V74-Q74/(1+Policy_Sched!$K74)+Z75/(1+Policy_Sched!$K74))</f>
        <v>0</v>
      </c>
    </row>
    <row r="75" spans="1:27" x14ac:dyDescent="0.2">
      <c r="A75" s="30">
        <f t="shared" si="51"/>
        <v>68</v>
      </c>
      <c r="B75" s="31">
        <f t="shared" si="52"/>
        <v>0</v>
      </c>
      <c r="C75" s="31">
        <f>IF($A75&gt;LastT,0,IF(AND($D$3&lt;&gt;0,$A75&gt;=T0,Policy_Sched!$B75&lt;LastAge),1+$D$3*$E$3,1))</f>
        <v>0</v>
      </c>
      <c r="D75" s="36">
        <f>IF($A75&gt;LastT,0,IF($C$3="up",MIN(Policy_Sched!$E75*(1+IF($A75&gt;=T0,$E$3,0)),$F$3),IF($C$3="down",MAX(Policy_Sched!$E75*(1-IF($A75&gt;=T0,$E$3,0)),Policy_Sched!$E75-$F$3),Policy_Sched!$E75)))</f>
        <v>0</v>
      </c>
      <c r="E75" s="37">
        <f t="shared" si="53"/>
        <v>0</v>
      </c>
      <c r="F75" s="37">
        <f t="shared" si="36"/>
        <v>0</v>
      </c>
      <c r="G75" s="37">
        <f t="shared" si="37"/>
        <v>0</v>
      </c>
      <c r="H75" s="37">
        <f t="shared" si="38"/>
        <v>0</v>
      </c>
      <c r="I75" s="37">
        <f t="shared" si="39"/>
        <v>0</v>
      </c>
      <c r="J75" s="37">
        <f t="shared" si="40"/>
        <v>0</v>
      </c>
      <c r="K75" s="37">
        <f>IF($A75&gt;LastT,0,J75*Policy_Sched!$C75*Policy_Sched!$D75*C75)</f>
        <v>0</v>
      </c>
      <c r="L75" s="41">
        <f t="shared" si="41"/>
        <v>0</v>
      </c>
      <c r="M75" s="38">
        <f t="shared" si="42"/>
        <v>0</v>
      </c>
      <c r="N75" s="38">
        <f t="shared" si="43"/>
        <v>0</v>
      </c>
      <c r="O75" s="38">
        <f t="shared" si="44"/>
        <v>0</v>
      </c>
      <c r="P75" s="38">
        <f>Policy_Sched!$I75*(L75+I75)</f>
        <v>0</v>
      </c>
      <c r="Q75" s="42">
        <f t="shared" si="45"/>
        <v>0</v>
      </c>
      <c r="R75" s="38">
        <f t="shared" si="46"/>
        <v>0</v>
      </c>
      <c r="S75" s="38">
        <f t="shared" si="47"/>
        <v>0</v>
      </c>
      <c r="T75" s="38">
        <f>Policy_Sched!$J75*J75</f>
        <v>0</v>
      </c>
      <c r="U75" s="42">
        <f t="shared" si="48"/>
        <v>0</v>
      </c>
      <c r="V75" s="42">
        <f t="shared" si="49"/>
        <v>0</v>
      </c>
      <c r="W75" s="38">
        <f>IF($A75&gt;LastT,0,N75+W76/(1+Policy_Sched!$K75))</f>
        <v>0</v>
      </c>
      <c r="X75" s="38">
        <f>IF($A75&gt;LastT,0,(-Q75+X76)/(1+Policy_Sched!$K75))</f>
        <v>0</v>
      </c>
      <c r="Y75" s="38">
        <f>IF($A75&gt;LastT,0,-V75+Y76/(1+Policy_Sched!$K75))</f>
        <v>0</v>
      </c>
      <c r="Z75" s="42">
        <f t="shared" si="50"/>
        <v>0</v>
      </c>
      <c r="AA75" s="38">
        <f>IF($A75&gt;LastT,0,N75-V75-Q75/(1+Policy_Sched!$K75)+Z76/(1+Policy_Sched!$K75))</f>
        <v>0</v>
      </c>
    </row>
    <row r="76" spans="1:27" x14ac:dyDescent="0.2">
      <c r="A76" s="30">
        <f t="shared" si="51"/>
        <v>69</v>
      </c>
      <c r="B76" s="31">
        <f t="shared" si="52"/>
        <v>0</v>
      </c>
      <c r="C76" s="31">
        <f>IF($A76&gt;LastT,0,IF(AND($D$3&lt;&gt;0,$A76&gt;=T0,Policy_Sched!$B76&lt;LastAge),1+$D$3*$E$3,1))</f>
        <v>0</v>
      </c>
      <c r="D76" s="36">
        <f>IF($A76&gt;LastT,0,IF($C$3="up",MIN(Policy_Sched!$E76*(1+IF($A76&gt;=T0,$E$3,0)),$F$3),IF($C$3="down",MAX(Policy_Sched!$E76*(1-IF($A76&gt;=T0,$E$3,0)),Policy_Sched!$E76-$F$3),Policy_Sched!$E76)))</f>
        <v>0</v>
      </c>
      <c r="E76" s="37">
        <f t="shared" si="53"/>
        <v>0</v>
      </c>
      <c r="F76" s="37">
        <f t="shared" si="36"/>
        <v>0</v>
      </c>
      <c r="G76" s="37">
        <f t="shared" si="37"/>
        <v>0</v>
      </c>
      <c r="H76" s="37">
        <f t="shared" si="38"/>
        <v>0</v>
      </c>
      <c r="I76" s="37">
        <f t="shared" si="39"/>
        <v>0</v>
      </c>
      <c r="J76" s="37">
        <f t="shared" si="40"/>
        <v>0</v>
      </c>
      <c r="K76" s="37">
        <f>IF($A76&gt;LastT,0,J76*Policy_Sched!$C76*Policy_Sched!$D76*C76)</f>
        <v>0</v>
      </c>
      <c r="L76" s="41">
        <f t="shared" si="41"/>
        <v>0</v>
      </c>
      <c r="M76" s="38">
        <f t="shared" si="42"/>
        <v>0</v>
      </c>
      <c r="N76" s="38">
        <f t="shared" si="43"/>
        <v>0</v>
      </c>
      <c r="O76" s="38">
        <f t="shared" si="44"/>
        <v>0</v>
      </c>
      <c r="P76" s="38">
        <f>Policy_Sched!$I76*(L76+I76)</f>
        <v>0</v>
      </c>
      <c r="Q76" s="42">
        <f t="shared" si="45"/>
        <v>0</v>
      </c>
      <c r="R76" s="38">
        <f t="shared" si="46"/>
        <v>0</v>
      </c>
      <c r="S76" s="38">
        <f t="shared" si="47"/>
        <v>0</v>
      </c>
      <c r="T76" s="38">
        <f>Policy_Sched!$J76*J76</f>
        <v>0</v>
      </c>
      <c r="U76" s="42">
        <f t="shared" si="48"/>
        <v>0</v>
      </c>
      <c r="V76" s="42">
        <f t="shared" si="49"/>
        <v>0</v>
      </c>
      <c r="W76" s="38">
        <f>IF($A76&gt;LastT,0,N76+W77/(1+Policy_Sched!$K76))</f>
        <v>0</v>
      </c>
      <c r="X76" s="38">
        <f>IF($A76&gt;LastT,0,(-Q76+X77)/(1+Policy_Sched!$K76))</f>
        <v>0</v>
      </c>
      <c r="Y76" s="38">
        <f>IF($A76&gt;LastT,0,-V76+Y77/(1+Policy_Sched!$K76))</f>
        <v>0</v>
      </c>
      <c r="Z76" s="42">
        <f t="shared" si="50"/>
        <v>0</v>
      </c>
      <c r="AA76" s="38">
        <f>IF($A76&gt;LastT,0,N76-V76-Q76/(1+Policy_Sched!$K76)+Z77/(1+Policy_Sched!$K76))</f>
        <v>0</v>
      </c>
    </row>
    <row r="77" spans="1:27" x14ac:dyDescent="0.2">
      <c r="A77" s="30">
        <f t="shared" si="51"/>
        <v>70</v>
      </c>
      <c r="B77" s="31">
        <f t="shared" si="52"/>
        <v>0</v>
      </c>
      <c r="C77" s="31">
        <f>IF($A77&gt;LastT,0,IF(AND($D$3&lt;&gt;0,$A77&gt;=T0,Policy_Sched!$B77&lt;LastAge),1+$D$3*$E$3,1))</f>
        <v>0</v>
      </c>
      <c r="D77" s="36">
        <f>IF($A77&gt;LastT,0,IF($C$3="up",MIN(Policy_Sched!$E77*(1+IF($A77&gt;=T0,$E$3,0)),$F$3),IF($C$3="down",MAX(Policy_Sched!$E77*(1-IF($A77&gt;=T0,$E$3,0)),Policy_Sched!$E77-$F$3),Policy_Sched!$E77)))</f>
        <v>0</v>
      </c>
      <c r="E77" s="37">
        <f t="shared" si="53"/>
        <v>0</v>
      </c>
      <c r="F77" s="37">
        <f t="shared" si="36"/>
        <v>0</v>
      </c>
      <c r="G77" s="37">
        <f t="shared" si="37"/>
        <v>0</v>
      </c>
      <c r="H77" s="37">
        <f t="shared" si="38"/>
        <v>0</v>
      </c>
      <c r="I77" s="37">
        <f t="shared" si="39"/>
        <v>0</v>
      </c>
      <c r="J77" s="37">
        <f t="shared" si="40"/>
        <v>0</v>
      </c>
      <c r="K77" s="37">
        <f>IF($A77&gt;LastT,0,J77*Policy_Sched!$C77*Policy_Sched!$D77*C77)</f>
        <v>0</v>
      </c>
      <c r="L77" s="41">
        <f t="shared" si="41"/>
        <v>0</v>
      </c>
      <c r="M77" s="38">
        <f t="shared" si="42"/>
        <v>0</v>
      </c>
      <c r="N77" s="38">
        <f t="shared" si="43"/>
        <v>0</v>
      </c>
      <c r="O77" s="38">
        <f t="shared" si="44"/>
        <v>0</v>
      </c>
      <c r="P77" s="38">
        <f>Policy_Sched!$I77*(L77+I77)</f>
        <v>0</v>
      </c>
      <c r="Q77" s="42">
        <f t="shared" si="45"/>
        <v>0</v>
      </c>
      <c r="R77" s="38">
        <f t="shared" si="46"/>
        <v>0</v>
      </c>
      <c r="S77" s="38">
        <f t="shared" si="47"/>
        <v>0</v>
      </c>
      <c r="T77" s="38">
        <f>Policy_Sched!$J77*J77</f>
        <v>0</v>
      </c>
      <c r="U77" s="42">
        <f t="shared" si="48"/>
        <v>0</v>
      </c>
      <c r="V77" s="42">
        <f t="shared" si="49"/>
        <v>0</v>
      </c>
      <c r="W77" s="38">
        <f>IF($A77&gt;LastT,0,N77+W78/(1+Policy_Sched!$K77))</f>
        <v>0</v>
      </c>
      <c r="X77" s="38">
        <f>IF($A77&gt;LastT,0,(-Q77+X78)/(1+Policy_Sched!$K77))</f>
        <v>0</v>
      </c>
      <c r="Y77" s="38">
        <f>IF($A77&gt;LastT,0,-V77+Y78/(1+Policy_Sched!$K77))</f>
        <v>0</v>
      </c>
      <c r="Z77" s="42">
        <f t="shared" si="50"/>
        <v>0</v>
      </c>
      <c r="AA77" s="38">
        <f>IF($A77&gt;LastT,0,N77-V77-Q77/(1+Policy_Sched!$K77)+Z78/(1+Policy_Sched!$K77))</f>
        <v>0</v>
      </c>
    </row>
    <row r="78" spans="1:27" x14ac:dyDescent="0.2">
      <c r="A78" s="30">
        <f t="shared" si="51"/>
        <v>71</v>
      </c>
      <c r="B78" s="31">
        <f t="shared" si="52"/>
        <v>0</v>
      </c>
      <c r="C78" s="31">
        <f>IF($A78&gt;LastT,0,IF(AND($D$3&lt;&gt;0,$A78&gt;=T0,Policy_Sched!$B78&lt;LastAge),1+$D$3*$E$3,1))</f>
        <v>0</v>
      </c>
      <c r="D78" s="36">
        <f>IF($A78&gt;LastT,0,IF($C$3="up",MIN(Policy_Sched!$E78*(1+IF($A78&gt;=T0,$E$3,0)),$F$3),IF($C$3="down",MAX(Policy_Sched!$E78*(1-IF($A78&gt;=T0,$E$3,0)),Policy_Sched!$E78-$F$3),Policy_Sched!$E78)))</f>
        <v>0</v>
      </c>
      <c r="E78" s="37">
        <f t="shared" si="53"/>
        <v>0</v>
      </c>
      <c r="F78" s="37">
        <f t="shared" si="36"/>
        <v>0</v>
      </c>
      <c r="G78" s="37">
        <f t="shared" si="37"/>
        <v>0</v>
      </c>
      <c r="H78" s="37">
        <f t="shared" si="38"/>
        <v>0</v>
      </c>
      <c r="I78" s="37">
        <f t="shared" si="39"/>
        <v>0</v>
      </c>
      <c r="J78" s="37">
        <f t="shared" si="40"/>
        <v>0</v>
      </c>
      <c r="K78" s="37">
        <f>IF($A78&gt;LastT,0,J78*Policy_Sched!$C78*Policy_Sched!$D78*C78)</f>
        <v>0</v>
      </c>
      <c r="L78" s="41">
        <f t="shared" si="41"/>
        <v>0</v>
      </c>
      <c r="M78" s="38">
        <f t="shared" si="42"/>
        <v>0</v>
      </c>
      <c r="N78" s="38">
        <f t="shared" si="43"/>
        <v>0</v>
      </c>
      <c r="O78" s="38">
        <f t="shared" si="44"/>
        <v>0</v>
      </c>
      <c r="P78" s="38">
        <f>Policy_Sched!$I78*(L78+I78)</f>
        <v>0</v>
      </c>
      <c r="Q78" s="42">
        <f t="shared" si="45"/>
        <v>0</v>
      </c>
      <c r="R78" s="38">
        <f t="shared" si="46"/>
        <v>0</v>
      </c>
      <c r="S78" s="38">
        <f t="shared" si="47"/>
        <v>0</v>
      </c>
      <c r="T78" s="38">
        <f>Policy_Sched!$J78*J78</f>
        <v>0</v>
      </c>
      <c r="U78" s="42">
        <f t="shared" si="48"/>
        <v>0</v>
      </c>
      <c r="V78" s="42">
        <f t="shared" si="49"/>
        <v>0</v>
      </c>
      <c r="W78" s="38">
        <f>IF($A78&gt;LastT,0,N78+W79/(1+Policy_Sched!$K78))</f>
        <v>0</v>
      </c>
      <c r="X78" s="38">
        <f>IF($A78&gt;LastT,0,(-Q78+X79)/(1+Policy_Sched!$K78))</f>
        <v>0</v>
      </c>
      <c r="Y78" s="38">
        <f>IF($A78&gt;LastT,0,-V78+Y79/(1+Policy_Sched!$K78))</f>
        <v>0</v>
      </c>
      <c r="Z78" s="42">
        <f t="shared" si="50"/>
        <v>0</v>
      </c>
      <c r="AA78" s="38">
        <f>IF($A78&gt;LastT,0,N78-V78-Q78/(1+Policy_Sched!$K78)+Z79/(1+Policy_Sched!$K78))</f>
        <v>0</v>
      </c>
    </row>
    <row r="79" spans="1:27" x14ac:dyDescent="0.2">
      <c r="A79" s="30">
        <f t="shared" si="51"/>
        <v>72</v>
      </c>
      <c r="B79" s="31">
        <f t="shared" si="52"/>
        <v>0</v>
      </c>
      <c r="C79" s="31">
        <f>IF($A79&gt;LastT,0,IF(AND($D$3&lt;&gt;0,$A79&gt;=T0,Policy_Sched!$B79&lt;LastAge),1+$D$3*$E$3,1))</f>
        <v>0</v>
      </c>
      <c r="D79" s="36">
        <f>IF($A79&gt;LastT,0,IF($C$3="up",MIN(Policy_Sched!$E79*(1+IF($A79&gt;=T0,$E$3,0)),$F$3),IF($C$3="down",MAX(Policy_Sched!$E79*(1-IF($A79&gt;=T0,$E$3,0)),Policy_Sched!$E79-$F$3),Policy_Sched!$E79)))</f>
        <v>0</v>
      </c>
      <c r="E79" s="37">
        <f t="shared" si="53"/>
        <v>0</v>
      </c>
      <c r="F79" s="37">
        <f t="shared" si="36"/>
        <v>0</v>
      </c>
      <c r="G79" s="37">
        <f t="shared" si="37"/>
        <v>0</v>
      </c>
      <c r="H79" s="37">
        <f t="shared" si="38"/>
        <v>0</v>
      </c>
      <c r="I79" s="37">
        <f t="shared" si="39"/>
        <v>0</v>
      </c>
      <c r="J79" s="37">
        <f t="shared" si="40"/>
        <v>0</v>
      </c>
      <c r="K79" s="37">
        <f>IF($A79&gt;LastT,0,J79*Policy_Sched!$C79*Policy_Sched!$D79*C79)</f>
        <v>0</v>
      </c>
      <c r="L79" s="41">
        <f t="shared" si="41"/>
        <v>0</v>
      </c>
      <c r="M79" s="38">
        <f t="shared" si="42"/>
        <v>0</v>
      </c>
      <c r="N79" s="38">
        <f t="shared" si="43"/>
        <v>0</v>
      </c>
      <c r="O79" s="38">
        <f t="shared" si="44"/>
        <v>0</v>
      </c>
      <c r="P79" s="38">
        <f>Policy_Sched!$I79*(L79+I79)</f>
        <v>0</v>
      </c>
      <c r="Q79" s="42">
        <f t="shared" si="45"/>
        <v>0</v>
      </c>
      <c r="R79" s="38">
        <f t="shared" si="46"/>
        <v>0</v>
      </c>
      <c r="S79" s="38">
        <f t="shared" si="47"/>
        <v>0</v>
      </c>
      <c r="T79" s="38">
        <f>Policy_Sched!$J79*J79</f>
        <v>0</v>
      </c>
      <c r="U79" s="42">
        <f t="shared" si="48"/>
        <v>0</v>
      </c>
      <c r="V79" s="42">
        <f t="shared" si="49"/>
        <v>0</v>
      </c>
      <c r="W79" s="38">
        <f>IF($A79&gt;LastT,0,N79+W80/(1+Policy_Sched!$K79))</f>
        <v>0</v>
      </c>
      <c r="X79" s="38">
        <f>IF($A79&gt;LastT,0,(-Q79+X80)/(1+Policy_Sched!$K79))</f>
        <v>0</v>
      </c>
      <c r="Y79" s="38">
        <f>IF($A79&gt;LastT,0,-V79+Y80/(1+Policy_Sched!$K79))</f>
        <v>0</v>
      </c>
      <c r="Z79" s="42">
        <f t="shared" si="50"/>
        <v>0</v>
      </c>
      <c r="AA79" s="38">
        <f>IF($A79&gt;LastT,0,N79-V79-Q79/(1+Policy_Sched!$K79)+Z80/(1+Policy_Sched!$K79))</f>
        <v>0</v>
      </c>
    </row>
    <row r="80" spans="1:27" x14ac:dyDescent="0.2">
      <c r="A80" s="30">
        <f t="shared" si="51"/>
        <v>73</v>
      </c>
      <c r="B80" s="31">
        <f t="shared" si="52"/>
        <v>0</v>
      </c>
      <c r="C80" s="31">
        <f>IF($A80&gt;LastT,0,IF(AND($D$3&lt;&gt;0,$A80&gt;=T0,Policy_Sched!$B80&lt;LastAge),1+$D$3*$E$3,1))</f>
        <v>0</v>
      </c>
      <c r="D80" s="36">
        <f>IF($A80&gt;LastT,0,IF($C$3="up",MIN(Policy_Sched!$E80*(1+IF($A80&gt;=T0,$E$3,0)),$F$3),IF($C$3="down",MAX(Policy_Sched!$E80*(1-IF($A80&gt;=T0,$E$3,0)),Policy_Sched!$E80-$F$3),Policy_Sched!$E80)))</f>
        <v>0</v>
      </c>
      <c r="E80" s="37">
        <f t="shared" si="53"/>
        <v>0</v>
      </c>
      <c r="F80" s="37">
        <f t="shared" si="36"/>
        <v>0</v>
      </c>
      <c r="G80" s="37">
        <f t="shared" si="37"/>
        <v>0</v>
      </c>
      <c r="H80" s="37">
        <f t="shared" si="38"/>
        <v>0</v>
      </c>
      <c r="I80" s="37">
        <f t="shared" si="39"/>
        <v>0</v>
      </c>
      <c r="J80" s="37">
        <f t="shared" si="40"/>
        <v>0</v>
      </c>
      <c r="K80" s="37">
        <f>IF($A80&gt;LastT,0,J80*Policy_Sched!$C80*Policy_Sched!$D80*C80)</f>
        <v>0</v>
      </c>
      <c r="L80" s="41">
        <f t="shared" si="41"/>
        <v>0</v>
      </c>
      <c r="M80" s="38">
        <f t="shared" si="42"/>
        <v>0</v>
      </c>
      <c r="N80" s="38">
        <f t="shared" si="43"/>
        <v>0</v>
      </c>
      <c r="O80" s="38">
        <f t="shared" si="44"/>
        <v>0</v>
      </c>
      <c r="P80" s="38">
        <f>Policy_Sched!$I80*(L80+I80)</f>
        <v>0</v>
      </c>
      <c r="Q80" s="42">
        <f t="shared" si="45"/>
        <v>0</v>
      </c>
      <c r="R80" s="38">
        <f t="shared" si="46"/>
        <v>0</v>
      </c>
      <c r="S80" s="38">
        <f t="shared" si="47"/>
        <v>0</v>
      </c>
      <c r="T80" s="38">
        <f>Policy_Sched!$J80*J80</f>
        <v>0</v>
      </c>
      <c r="U80" s="42">
        <f t="shared" si="48"/>
        <v>0</v>
      </c>
      <c r="V80" s="42">
        <f t="shared" si="49"/>
        <v>0</v>
      </c>
      <c r="W80" s="38">
        <f>IF($A80&gt;LastT,0,N80+W81/(1+Policy_Sched!$K80))</f>
        <v>0</v>
      </c>
      <c r="X80" s="38">
        <f>IF($A80&gt;LastT,0,(-Q80+X81)/(1+Policy_Sched!$K80))</f>
        <v>0</v>
      </c>
      <c r="Y80" s="38">
        <f>IF($A80&gt;LastT,0,-V80+Y81/(1+Policy_Sched!$K80))</f>
        <v>0</v>
      </c>
      <c r="Z80" s="42">
        <f t="shared" si="50"/>
        <v>0</v>
      </c>
      <c r="AA80" s="38">
        <f>IF($A80&gt;LastT,0,N80-V80-Q80/(1+Policy_Sched!$K80)+Z81/(1+Policy_Sched!$K80))</f>
        <v>0</v>
      </c>
    </row>
    <row r="81" spans="1:27" x14ac:dyDescent="0.2">
      <c r="A81" s="30">
        <f t="shared" si="51"/>
        <v>74</v>
      </c>
      <c r="B81" s="31">
        <f t="shared" si="52"/>
        <v>0</v>
      </c>
      <c r="C81" s="31">
        <f>IF($A81&gt;LastT,0,IF(AND($D$3&lt;&gt;0,$A81&gt;=T0,Policy_Sched!$B81&lt;LastAge),1+$D$3*$E$3,1))</f>
        <v>0</v>
      </c>
      <c r="D81" s="36">
        <f>IF($A81&gt;LastT,0,IF($C$3="up",MIN(Policy_Sched!$E81*(1+IF($A81&gt;=T0,$E$3,0)),$F$3),IF($C$3="down",MAX(Policy_Sched!$E81*(1-IF($A81&gt;=T0,$E$3,0)),Policy_Sched!$E81-$F$3),Policy_Sched!$E81)))</f>
        <v>0</v>
      </c>
      <c r="E81" s="37">
        <f t="shared" si="53"/>
        <v>0</v>
      </c>
      <c r="F81" s="37">
        <f t="shared" si="36"/>
        <v>0</v>
      </c>
      <c r="G81" s="37">
        <f t="shared" si="37"/>
        <v>0</v>
      </c>
      <c r="H81" s="37">
        <f t="shared" si="38"/>
        <v>0</v>
      </c>
      <c r="I81" s="37">
        <f t="shared" si="39"/>
        <v>0</v>
      </c>
      <c r="J81" s="37">
        <f t="shared" si="40"/>
        <v>0</v>
      </c>
      <c r="K81" s="37">
        <f>IF($A81&gt;LastT,0,J81*Policy_Sched!$C81*Policy_Sched!$D81*C81)</f>
        <v>0</v>
      </c>
      <c r="L81" s="41">
        <f t="shared" si="41"/>
        <v>0</v>
      </c>
      <c r="M81" s="38">
        <f t="shared" si="42"/>
        <v>0</v>
      </c>
      <c r="N81" s="38">
        <f t="shared" si="43"/>
        <v>0</v>
      </c>
      <c r="O81" s="38">
        <f t="shared" si="44"/>
        <v>0</v>
      </c>
      <c r="P81" s="38">
        <f>Policy_Sched!$I81*(L81+I81)</f>
        <v>0</v>
      </c>
      <c r="Q81" s="42">
        <f t="shared" si="45"/>
        <v>0</v>
      </c>
      <c r="R81" s="38">
        <f t="shared" si="46"/>
        <v>0</v>
      </c>
      <c r="S81" s="38">
        <f t="shared" si="47"/>
        <v>0</v>
      </c>
      <c r="T81" s="38">
        <f>Policy_Sched!$J81*J81</f>
        <v>0</v>
      </c>
      <c r="U81" s="42">
        <f t="shared" si="48"/>
        <v>0</v>
      </c>
      <c r="V81" s="42">
        <f t="shared" si="49"/>
        <v>0</v>
      </c>
      <c r="W81" s="38">
        <f>IF($A81&gt;LastT,0,N81+W82/(1+Policy_Sched!$K81))</f>
        <v>0</v>
      </c>
      <c r="X81" s="38">
        <f>IF($A81&gt;LastT,0,(-Q81+X82)/(1+Policy_Sched!$K81))</f>
        <v>0</v>
      </c>
      <c r="Y81" s="38">
        <f>IF($A81&gt;LastT,0,-V81+Y82/(1+Policy_Sched!$K81))</f>
        <v>0</v>
      </c>
      <c r="Z81" s="42">
        <f t="shared" si="50"/>
        <v>0</v>
      </c>
      <c r="AA81" s="38">
        <f>IF($A81&gt;LastT,0,N81-V81-Q81/(1+Policy_Sched!$K81)+Z82/(1+Policy_Sched!$K81))</f>
        <v>0</v>
      </c>
    </row>
    <row r="82" spans="1:27" x14ac:dyDescent="0.2">
      <c r="A82" s="30">
        <f t="shared" si="51"/>
        <v>75</v>
      </c>
      <c r="B82" s="31">
        <f t="shared" si="52"/>
        <v>0</v>
      </c>
      <c r="C82" s="31">
        <f>IF($A82&gt;LastT,0,IF(AND($D$3&lt;&gt;0,$A82&gt;=T0,Policy_Sched!$B82&lt;LastAge),1+$D$3*$E$3,1))</f>
        <v>0</v>
      </c>
      <c r="D82" s="36">
        <f>IF($A82&gt;LastT,0,IF($C$3="up",MIN(Policy_Sched!$E82*(1+IF($A82&gt;=T0,$E$3,0)),$F$3),IF($C$3="down",MAX(Policy_Sched!$E82*(1-IF($A82&gt;=T0,$E$3,0)),Policy_Sched!$E82-$F$3),Policy_Sched!$E82)))</f>
        <v>0</v>
      </c>
      <c r="E82" s="37">
        <f t="shared" si="53"/>
        <v>0</v>
      </c>
      <c r="F82" s="37">
        <f t="shared" si="36"/>
        <v>0</v>
      </c>
      <c r="G82" s="37">
        <f t="shared" si="37"/>
        <v>0</v>
      </c>
      <c r="H82" s="37">
        <f t="shared" si="38"/>
        <v>0</v>
      </c>
      <c r="I82" s="37">
        <f t="shared" si="39"/>
        <v>0</v>
      </c>
      <c r="J82" s="37">
        <f t="shared" si="40"/>
        <v>0</v>
      </c>
      <c r="K82" s="37">
        <f>IF($A82&gt;LastT,0,J82*Policy_Sched!$C82*Policy_Sched!$D82*C82)</f>
        <v>0</v>
      </c>
      <c r="L82" s="41">
        <f t="shared" si="41"/>
        <v>0</v>
      </c>
      <c r="M82" s="38">
        <f t="shared" si="42"/>
        <v>0</v>
      </c>
      <c r="N82" s="38">
        <f t="shared" si="43"/>
        <v>0</v>
      </c>
      <c r="O82" s="38">
        <f t="shared" si="44"/>
        <v>0</v>
      </c>
      <c r="P82" s="38">
        <f>Policy_Sched!$I82*(L82+I82)</f>
        <v>0</v>
      </c>
      <c r="Q82" s="42">
        <f t="shared" si="45"/>
        <v>0</v>
      </c>
      <c r="R82" s="38">
        <f t="shared" si="46"/>
        <v>0</v>
      </c>
      <c r="S82" s="38">
        <f t="shared" si="47"/>
        <v>0</v>
      </c>
      <c r="T82" s="38">
        <f>Policy_Sched!$J82*J82</f>
        <v>0</v>
      </c>
      <c r="U82" s="42">
        <f t="shared" si="48"/>
        <v>0</v>
      </c>
      <c r="V82" s="42">
        <f t="shared" si="49"/>
        <v>0</v>
      </c>
      <c r="W82" s="38">
        <f>IF($A82&gt;LastT,0,N82+W83/(1+Policy_Sched!$K82))</f>
        <v>0</v>
      </c>
      <c r="X82" s="38">
        <f>IF($A82&gt;LastT,0,(-Q82+X83)/(1+Policy_Sched!$K82))</f>
        <v>0</v>
      </c>
      <c r="Y82" s="38">
        <f>IF($A82&gt;LastT,0,-V82+Y83/(1+Policy_Sched!$K82))</f>
        <v>0</v>
      </c>
      <c r="Z82" s="42">
        <f t="shared" si="50"/>
        <v>0</v>
      </c>
      <c r="AA82" s="38">
        <f>IF($A82&gt;LastT,0,N82-V82-Q82/(1+Policy_Sched!$K82)+Z83/(1+Policy_Sched!$K82))</f>
        <v>0</v>
      </c>
    </row>
    <row r="83" spans="1:27" x14ac:dyDescent="0.2">
      <c r="A83" s="30">
        <f t="shared" si="51"/>
        <v>76</v>
      </c>
      <c r="B83" s="31">
        <f t="shared" si="52"/>
        <v>0</v>
      </c>
      <c r="C83" s="31">
        <f>IF($A83&gt;LastT,0,IF(AND($D$3&lt;&gt;0,$A83&gt;=T0,Policy_Sched!$B83&lt;LastAge),1+$D$3*$E$3,1))</f>
        <v>0</v>
      </c>
      <c r="D83" s="36">
        <f>IF($A83&gt;LastT,0,IF($C$3="up",MIN(Policy_Sched!$E83*(1+IF($A83&gt;=T0,$E$3,0)),$F$3),IF($C$3="down",MAX(Policy_Sched!$E83*(1-IF($A83&gt;=T0,$E$3,0)),Policy_Sched!$E83-$F$3),Policy_Sched!$E83)))</f>
        <v>0</v>
      </c>
      <c r="E83" s="37">
        <f t="shared" si="53"/>
        <v>0</v>
      </c>
      <c r="F83" s="37">
        <f t="shared" si="36"/>
        <v>0</v>
      </c>
      <c r="G83" s="37">
        <f t="shared" si="37"/>
        <v>0</v>
      </c>
      <c r="H83" s="37">
        <f t="shared" si="38"/>
        <v>0</v>
      </c>
      <c r="I83" s="37">
        <f t="shared" si="39"/>
        <v>0</v>
      </c>
      <c r="J83" s="37">
        <f t="shared" si="40"/>
        <v>0</v>
      </c>
      <c r="K83" s="37">
        <f>IF($A83&gt;LastT,0,J83*Policy_Sched!$C83*Policy_Sched!$D83*C83)</f>
        <v>0</v>
      </c>
      <c r="L83" s="41">
        <f t="shared" si="41"/>
        <v>0</v>
      </c>
      <c r="M83" s="38">
        <f t="shared" si="42"/>
        <v>0</v>
      </c>
      <c r="N83" s="38">
        <f t="shared" si="43"/>
        <v>0</v>
      </c>
      <c r="O83" s="38">
        <f t="shared" si="44"/>
        <v>0</v>
      </c>
      <c r="P83" s="38">
        <f>Policy_Sched!$I83*(L83+I83)</f>
        <v>0</v>
      </c>
      <c r="Q83" s="42">
        <f t="shared" si="45"/>
        <v>0</v>
      </c>
      <c r="R83" s="38">
        <f t="shared" si="46"/>
        <v>0</v>
      </c>
      <c r="S83" s="38">
        <f t="shared" si="47"/>
        <v>0</v>
      </c>
      <c r="T83" s="38">
        <f>Policy_Sched!$J83*J83</f>
        <v>0</v>
      </c>
      <c r="U83" s="42">
        <f t="shared" si="48"/>
        <v>0</v>
      </c>
      <c r="V83" s="42">
        <f t="shared" si="49"/>
        <v>0</v>
      </c>
      <c r="W83" s="38">
        <f>IF($A83&gt;LastT,0,N83+W84/(1+Policy_Sched!$K83))</f>
        <v>0</v>
      </c>
      <c r="X83" s="38">
        <f>IF($A83&gt;LastT,0,(-Q83+X84)/(1+Policy_Sched!$K83))</f>
        <v>0</v>
      </c>
      <c r="Y83" s="38">
        <f>IF($A83&gt;LastT,0,-V83+Y84/(1+Policy_Sched!$K83))</f>
        <v>0</v>
      </c>
      <c r="Z83" s="42">
        <f t="shared" si="50"/>
        <v>0</v>
      </c>
      <c r="AA83" s="38">
        <f>IF($A83&gt;LastT,0,N83-V83-Q83/(1+Policy_Sched!$K83)+Z84/(1+Policy_Sched!$K83))</f>
        <v>0</v>
      </c>
    </row>
    <row r="84" spans="1:27" x14ac:dyDescent="0.2">
      <c r="A84" s="30">
        <f t="shared" si="51"/>
        <v>77</v>
      </c>
      <c r="B84" s="31">
        <f t="shared" si="52"/>
        <v>0</v>
      </c>
      <c r="C84" s="31">
        <f>IF($A84&gt;LastT,0,IF(AND($D$3&lt;&gt;0,$A84&gt;=T0,Policy_Sched!$B84&lt;LastAge),1+$D$3*$E$3,1))</f>
        <v>0</v>
      </c>
      <c r="D84" s="36">
        <f>IF($A84&gt;LastT,0,IF($C$3="up",MIN(Policy_Sched!$E84*(1+IF($A84&gt;=T0,$E$3,0)),$F$3),IF($C$3="down",MAX(Policy_Sched!$E84*(1-IF($A84&gt;=T0,$E$3,0)),Policy_Sched!$E84-$F$3),Policy_Sched!$E84)))</f>
        <v>0</v>
      </c>
      <c r="E84" s="37">
        <f t="shared" si="53"/>
        <v>0</v>
      </c>
      <c r="F84" s="37">
        <f t="shared" si="36"/>
        <v>0</v>
      </c>
      <c r="G84" s="37">
        <f t="shared" si="37"/>
        <v>0</v>
      </c>
      <c r="H84" s="37">
        <f t="shared" si="38"/>
        <v>0</v>
      </c>
      <c r="I84" s="37">
        <f t="shared" si="39"/>
        <v>0</v>
      </c>
      <c r="J84" s="37">
        <f t="shared" si="40"/>
        <v>0</v>
      </c>
      <c r="K84" s="37">
        <f>IF($A84&gt;LastT,0,J84*Policy_Sched!$C84*Policy_Sched!$D84*C84)</f>
        <v>0</v>
      </c>
      <c r="L84" s="41">
        <f t="shared" si="41"/>
        <v>0</v>
      </c>
      <c r="M84" s="38">
        <f t="shared" si="42"/>
        <v>0</v>
      </c>
      <c r="N84" s="38">
        <f t="shared" si="43"/>
        <v>0</v>
      </c>
      <c r="O84" s="38">
        <f t="shared" si="44"/>
        <v>0</v>
      </c>
      <c r="P84" s="38">
        <f>Policy_Sched!$I84*(L84+I84)</f>
        <v>0</v>
      </c>
      <c r="Q84" s="42">
        <f t="shared" si="45"/>
        <v>0</v>
      </c>
      <c r="R84" s="38">
        <f t="shared" si="46"/>
        <v>0</v>
      </c>
      <c r="S84" s="38">
        <f t="shared" si="47"/>
        <v>0</v>
      </c>
      <c r="T84" s="38">
        <f>Policy_Sched!$J84*J84</f>
        <v>0</v>
      </c>
      <c r="U84" s="42">
        <f t="shared" si="48"/>
        <v>0</v>
      </c>
      <c r="V84" s="42">
        <f t="shared" si="49"/>
        <v>0</v>
      </c>
      <c r="W84" s="38">
        <f>IF($A84&gt;LastT,0,N84+W85/(1+Policy_Sched!$K84))</f>
        <v>0</v>
      </c>
      <c r="X84" s="38">
        <f>IF($A84&gt;LastT,0,(-Q84+X85)/(1+Policy_Sched!$K84))</f>
        <v>0</v>
      </c>
      <c r="Y84" s="38">
        <f>IF($A84&gt;LastT,0,-V84+Y85/(1+Policy_Sched!$K84))</f>
        <v>0</v>
      </c>
      <c r="Z84" s="42">
        <f t="shared" si="50"/>
        <v>0</v>
      </c>
      <c r="AA84" s="38">
        <f>IF($A84&gt;LastT,0,N84-V84-Q84/(1+Policy_Sched!$K84)+Z85/(1+Policy_Sched!$K84))</f>
        <v>0</v>
      </c>
    </row>
    <row r="85" spans="1:27" x14ac:dyDescent="0.2">
      <c r="A85" s="30">
        <f t="shared" si="51"/>
        <v>78</v>
      </c>
      <c r="B85" s="31">
        <f t="shared" si="52"/>
        <v>0</v>
      </c>
      <c r="C85" s="31">
        <f>IF($A85&gt;LastT,0,IF(AND($D$3&lt;&gt;0,$A85&gt;=T0,Policy_Sched!$B85&lt;LastAge),1+$D$3*$E$3,1))</f>
        <v>0</v>
      </c>
      <c r="D85" s="36">
        <f>IF($A85&gt;LastT,0,IF($C$3="up",MIN(Policy_Sched!$E85*(1+IF($A85&gt;=T0,$E$3,0)),$F$3),IF($C$3="down",MAX(Policy_Sched!$E85*(1-IF($A85&gt;=T0,$E$3,0)),Policy_Sched!$E85-$F$3),Policy_Sched!$E85)))</f>
        <v>0</v>
      </c>
      <c r="E85" s="37">
        <f t="shared" si="53"/>
        <v>0</v>
      </c>
      <c r="F85" s="37">
        <f t="shared" si="36"/>
        <v>0</v>
      </c>
      <c r="G85" s="37">
        <f t="shared" si="37"/>
        <v>0</v>
      </c>
      <c r="H85" s="37">
        <f t="shared" si="38"/>
        <v>0</v>
      </c>
      <c r="I85" s="37">
        <f t="shared" si="39"/>
        <v>0</v>
      </c>
      <c r="J85" s="37">
        <f t="shared" si="40"/>
        <v>0</v>
      </c>
      <c r="K85" s="37">
        <f>IF($A85&gt;LastT,0,J85*Policy_Sched!$C85*Policy_Sched!$D85*C85)</f>
        <v>0</v>
      </c>
      <c r="L85" s="41">
        <f t="shared" si="41"/>
        <v>0</v>
      </c>
      <c r="M85" s="38">
        <f t="shared" si="42"/>
        <v>0</v>
      </c>
      <c r="N85" s="38">
        <f t="shared" si="43"/>
        <v>0</v>
      </c>
      <c r="O85" s="38">
        <f t="shared" si="44"/>
        <v>0</v>
      </c>
      <c r="P85" s="38">
        <f>Policy_Sched!$I85*(L85+I85)</f>
        <v>0</v>
      </c>
      <c r="Q85" s="42">
        <f t="shared" si="45"/>
        <v>0</v>
      </c>
      <c r="R85" s="38">
        <f t="shared" si="46"/>
        <v>0</v>
      </c>
      <c r="S85" s="38">
        <f t="shared" si="47"/>
        <v>0</v>
      </c>
      <c r="T85" s="38">
        <f>Policy_Sched!$J85*J85</f>
        <v>0</v>
      </c>
      <c r="U85" s="42">
        <f t="shared" si="48"/>
        <v>0</v>
      </c>
      <c r="V85" s="42">
        <f t="shared" si="49"/>
        <v>0</v>
      </c>
      <c r="W85" s="38">
        <f>IF($A85&gt;LastT,0,N85+W86/(1+Policy_Sched!$K85))</f>
        <v>0</v>
      </c>
      <c r="X85" s="38">
        <f>IF($A85&gt;LastT,0,(-Q85+X86)/(1+Policy_Sched!$K85))</f>
        <v>0</v>
      </c>
      <c r="Y85" s="38">
        <f>IF($A85&gt;LastT,0,-V85+Y86/(1+Policy_Sched!$K85))</f>
        <v>0</v>
      </c>
      <c r="Z85" s="42">
        <f t="shared" si="50"/>
        <v>0</v>
      </c>
      <c r="AA85" s="38">
        <f>IF($A85&gt;LastT,0,N85-V85-Q85/(1+Policy_Sched!$K85)+Z86/(1+Policy_Sched!$K85))</f>
        <v>0</v>
      </c>
    </row>
    <row r="86" spans="1:27" x14ac:dyDescent="0.2">
      <c r="A86" s="30">
        <f t="shared" si="51"/>
        <v>79</v>
      </c>
      <c r="B86" s="31">
        <f t="shared" si="52"/>
        <v>0</v>
      </c>
      <c r="C86" s="31">
        <f>IF($A86&gt;LastT,0,IF(AND($D$3&lt;&gt;0,$A86&gt;=T0,Policy_Sched!$B86&lt;LastAge),1+$D$3*$E$3,1))</f>
        <v>0</v>
      </c>
      <c r="D86" s="36">
        <f>IF($A86&gt;LastT,0,IF($C$3="up",MIN(Policy_Sched!$E86*(1+IF($A86&gt;=T0,$E$3,0)),$F$3),IF($C$3="down",MAX(Policy_Sched!$E86*(1-IF($A86&gt;=T0,$E$3,0)),Policy_Sched!$E86-$F$3),Policy_Sched!$E86)))</f>
        <v>0</v>
      </c>
      <c r="E86" s="37">
        <f t="shared" si="53"/>
        <v>0</v>
      </c>
      <c r="F86" s="37">
        <f t="shared" si="36"/>
        <v>0</v>
      </c>
      <c r="G86" s="37">
        <f t="shared" si="37"/>
        <v>0</v>
      </c>
      <c r="H86" s="37">
        <f t="shared" si="38"/>
        <v>0</v>
      </c>
      <c r="I86" s="37">
        <f t="shared" si="39"/>
        <v>0</v>
      </c>
      <c r="J86" s="37">
        <f t="shared" si="40"/>
        <v>0</v>
      </c>
      <c r="K86" s="37">
        <f>IF($A86&gt;LastT,0,J86*Policy_Sched!$C86*Policy_Sched!$D86*C86)</f>
        <v>0</v>
      </c>
      <c r="L86" s="41">
        <f t="shared" si="41"/>
        <v>0</v>
      </c>
      <c r="M86" s="38">
        <f t="shared" si="42"/>
        <v>0</v>
      </c>
      <c r="N86" s="38">
        <f t="shared" si="43"/>
        <v>0</v>
      </c>
      <c r="O86" s="38">
        <f t="shared" si="44"/>
        <v>0</v>
      </c>
      <c r="P86" s="38">
        <f>Policy_Sched!$I86*(L86+I86)</f>
        <v>0</v>
      </c>
      <c r="Q86" s="42">
        <f t="shared" si="45"/>
        <v>0</v>
      </c>
      <c r="R86" s="38">
        <f t="shared" si="46"/>
        <v>0</v>
      </c>
      <c r="S86" s="38">
        <f t="shared" si="47"/>
        <v>0</v>
      </c>
      <c r="T86" s="38">
        <f>Policy_Sched!$J86*J86</f>
        <v>0</v>
      </c>
      <c r="U86" s="42">
        <f t="shared" si="48"/>
        <v>0</v>
      </c>
      <c r="V86" s="42">
        <f t="shared" si="49"/>
        <v>0</v>
      </c>
      <c r="W86" s="38">
        <f>IF($A86&gt;LastT,0,N86+W87/(1+Policy_Sched!$K86))</f>
        <v>0</v>
      </c>
      <c r="X86" s="38">
        <f>IF($A86&gt;LastT,0,(-Q86+X87)/(1+Policy_Sched!$K86))</f>
        <v>0</v>
      </c>
      <c r="Y86" s="38">
        <f>IF($A86&gt;LastT,0,-V86+Y87/(1+Policy_Sched!$K86))</f>
        <v>0</v>
      </c>
      <c r="Z86" s="42">
        <f t="shared" si="50"/>
        <v>0</v>
      </c>
      <c r="AA86" s="38">
        <f>IF($A86&gt;LastT,0,N86-V86-Q86/(1+Policy_Sched!$K86)+Z87/(1+Policy_Sched!$K86))</f>
        <v>0</v>
      </c>
    </row>
    <row r="87" spans="1:27" x14ac:dyDescent="0.2">
      <c r="A87" s="30">
        <f t="shared" si="51"/>
        <v>80</v>
      </c>
      <c r="B87" s="31">
        <f t="shared" si="52"/>
        <v>0</v>
      </c>
      <c r="C87" s="31">
        <f>IF($A87&gt;LastT,0,IF(AND($D$3&lt;&gt;0,$A87&gt;=T0,Policy_Sched!$B87&lt;LastAge),1+$D$3*$E$3,1))</f>
        <v>0</v>
      </c>
      <c r="D87" s="36">
        <f>IF($A87&gt;LastT,0,IF($C$3="up",MIN(Policy_Sched!$E87*(1+IF($A87&gt;=T0,$E$3,0)),$F$3),IF($C$3="down",MAX(Policy_Sched!$E87*(1-IF($A87&gt;=T0,$E$3,0)),Policy_Sched!$E87-$F$3),Policy_Sched!$E87)))</f>
        <v>0</v>
      </c>
      <c r="E87" s="37">
        <f t="shared" si="53"/>
        <v>0</v>
      </c>
      <c r="F87" s="37">
        <f t="shared" si="36"/>
        <v>0</v>
      </c>
      <c r="G87" s="37">
        <f t="shared" si="37"/>
        <v>0</v>
      </c>
      <c r="H87" s="37">
        <f t="shared" si="38"/>
        <v>0</v>
      </c>
      <c r="I87" s="37">
        <f t="shared" si="39"/>
        <v>0</v>
      </c>
      <c r="J87" s="37">
        <f t="shared" si="40"/>
        <v>0</v>
      </c>
      <c r="K87" s="37">
        <f>IF($A87&gt;LastT,0,J87*Policy_Sched!$C87*Policy_Sched!$D87*C87)</f>
        <v>0</v>
      </c>
      <c r="L87" s="41">
        <f t="shared" si="41"/>
        <v>0</v>
      </c>
      <c r="M87" s="38">
        <f t="shared" si="42"/>
        <v>0</v>
      </c>
      <c r="N87" s="38">
        <f t="shared" si="43"/>
        <v>0</v>
      </c>
      <c r="O87" s="38">
        <f t="shared" si="44"/>
        <v>0</v>
      </c>
      <c r="P87" s="38">
        <f>Policy_Sched!$I87*(L87+I87)</f>
        <v>0</v>
      </c>
      <c r="Q87" s="42">
        <f t="shared" si="45"/>
        <v>0</v>
      </c>
      <c r="R87" s="38">
        <f t="shared" si="46"/>
        <v>0</v>
      </c>
      <c r="S87" s="38">
        <f t="shared" si="47"/>
        <v>0</v>
      </c>
      <c r="T87" s="38">
        <f>Policy_Sched!$J87*J87</f>
        <v>0</v>
      </c>
      <c r="U87" s="42">
        <f t="shared" si="48"/>
        <v>0</v>
      </c>
      <c r="V87" s="42">
        <f t="shared" si="49"/>
        <v>0</v>
      </c>
      <c r="W87" s="38">
        <f>IF($A87&gt;LastT,0,N87+W88/(1+Policy_Sched!$K87))</f>
        <v>0</v>
      </c>
      <c r="X87" s="38">
        <f>IF($A87&gt;LastT,0,(-Q87+X88)/(1+Policy_Sched!$K87))</f>
        <v>0</v>
      </c>
      <c r="Y87" s="38">
        <f>IF($A87&gt;LastT,0,-V87+Y88/(1+Policy_Sched!$K87))</f>
        <v>0</v>
      </c>
      <c r="Z87" s="42">
        <f t="shared" si="50"/>
        <v>0</v>
      </c>
      <c r="AA87" s="38">
        <f>IF($A87&gt;LastT,0,N87-V87-Q87/(1+Policy_Sched!$K87)+Z88/(1+Policy_Sched!$K87))</f>
        <v>0</v>
      </c>
    </row>
    <row r="88" spans="1:27" x14ac:dyDescent="0.2">
      <c r="A88" s="30">
        <f t="shared" si="51"/>
        <v>81</v>
      </c>
      <c r="B88" s="31">
        <f t="shared" si="52"/>
        <v>0</v>
      </c>
      <c r="C88" s="31">
        <f>IF($A88&gt;LastT,0,IF(AND($D$3&lt;&gt;0,$A88&gt;=T0,Policy_Sched!$B88&lt;LastAge),1+$D$3*$E$3,1))</f>
        <v>0</v>
      </c>
      <c r="D88" s="36">
        <f>IF($A88&gt;LastT,0,IF($C$3="up",MIN(Policy_Sched!$E88*(1+IF($A88&gt;=T0,$E$3,0)),$F$3),IF($C$3="down",MAX(Policy_Sched!$E88*(1-IF($A88&gt;=T0,$E$3,0)),Policy_Sched!$E88-$F$3),Policy_Sched!$E88)))</f>
        <v>0</v>
      </c>
      <c r="E88" s="37">
        <f t="shared" si="53"/>
        <v>0</v>
      </c>
      <c r="F88" s="37">
        <f t="shared" si="36"/>
        <v>0</v>
      </c>
      <c r="G88" s="37">
        <f t="shared" si="37"/>
        <v>0</v>
      </c>
      <c r="H88" s="37">
        <f t="shared" si="38"/>
        <v>0</v>
      </c>
      <c r="I88" s="37">
        <f t="shared" si="39"/>
        <v>0</v>
      </c>
      <c r="J88" s="37">
        <f t="shared" si="40"/>
        <v>0</v>
      </c>
      <c r="K88" s="37">
        <f>IF($A88&gt;LastT,0,J88*Policy_Sched!$C88*Policy_Sched!$D88*C88)</f>
        <v>0</v>
      </c>
      <c r="L88" s="41">
        <f t="shared" si="41"/>
        <v>0</v>
      </c>
      <c r="M88" s="38">
        <f t="shared" si="42"/>
        <v>0</v>
      </c>
      <c r="N88" s="38">
        <f t="shared" si="43"/>
        <v>0</v>
      </c>
      <c r="O88" s="38">
        <f t="shared" si="44"/>
        <v>0</v>
      </c>
      <c r="P88" s="38">
        <f>Policy_Sched!$I88*(L88+I88)</f>
        <v>0</v>
      </c>
      <c r="Q88" s="42">
        <f t="shared" si="45"/>
        <v>0</v>
      </c>
      <c r="R88" s="38">
        <f t="shared" si="46"/>
        <v>0</v>
      </c>
      <c r="S88" s="38">
        <f t="shared" si="47"/>
        <v>0</v>
      </c>
      <c r="T88" s="38">
        <f>Policy_Sched!$J88*J88</f>
        <v>0</v>
      </c>
      <c r="U88" s="42">
        <f t="shared" si="48"/>
        <v>0</v>
      </c>
      <c r="V88" s="42">
        <f t="shared" si="49"/>
        <v>0</v>
      </c>
      <c r="W88" s="38">
        <f>IF($A88&gt;LastT,0,N88+W89/(1+Policy_Sched!$K88))</f>
        <v>0</v>
      </c>
      <c r="X88" s="38">
        <f>IF($A88&gt;LastT,0,(-Q88+X89)/(1+Policy_Sched!$K88))</f>
        <v>0</v>
      </c>
      <c r="Y88" s="38">
        <f>IF($A88&gt;LastT,0,-V88+Y89/(1+Policy_Sched!$K88))</f>
        <v>0</v>
      </c>
      <c r="Z88" s="42">
        <f t="shared" si="50"/>
        <v>0</v>
      </c>
      <c r="AA88" s="38">
        <f>IF($A88&gt;LastT,0,N88-V88-Q88/(1+Policy_Sched!$K88)+Z89/(1+Policy_Sched!$K88))</f>
        <v>0</v>
      </c>
    </row>
    <row r="89" spans="1:27" x14ac:dyDescent="0.2">
      <c r="A89" s="30">
        <f t="shared" si="51"/>
        <v>82</v>
      </c>
      <c r="B89" s="31">
        <f t="shared" si="52"/>
        <v>0</v>
      </c>
      <c r="C89" s="31">
        <f>IF($A89&gt;LastT,0,IF(AND($D$3&lt;&gt;0,$A89&gt;=T0,Policy_Sched!$B89&lt;LastAge),1+$D$3*$E$3,1))</f>
        <v>0</v>
      </c>
      <c r="D89" s="36">
        <f>IF($A89&gt;LastT,0,IF($C$3="up",MIN(Policy_Sched!$E89*(1+IF($A89&gt;=T0,$E$3,0)),$F$3),IF($C$3="down",MAX(Policy_Sched!$E89*(1-IF($A89&gt;=T0,$E$3,0)),Policy_Sched!$E89-$F$3),Policy_Sched!$E89)))</f>
        <v>0</v>
      </c>
      <c r="E89" s="37">
        <f t="shared" si="53"/>
        <v>0</v>
      </c>
      <c r="F89" s="37">
        <f t="shared" si="36"/>
        <v>0</v>
      </c>
      <c r="G89" s="37">
        <f t="shared" si="37"/>
        <v>0</v>
      </c>
      <c r="H89" s="37">
        <f t="shared" si="38"/>
        <v>0</v>
      </c>
      <c r="I89" s="37">
        <f t="shared" si="39"/>
        <v>0</v>
      </c>
      <c r="J89" s="37">
        <f t="shared" si="40"/>
        <v>0</v>
      </c>
      <c r="K89" s="37">
        <f>IF($A89&gt;LastT,0,J89*Policy_Sched!$C89*Policy_Sched!$D89*C89)</f>
        <v>0</v>
      </c>
      <c r="L89" s="41">
        <f t="shared" si="41"/>
        <v>0</v>
      </c>
      <c r="M89" s="38">
        <f t="shared" si="42"/>
        <v>0</v>
      </c>
      <c r="N89" s="38">
        <f t="shared" si="43"/>
        <v>0</v>
      </c>
      <c r="O89" s="38">
        <f t="shared" si="44"/>
        <v>0</v>
      </c>
      <c r="P89" s="38">
        <f>Policy_Sched!$I89*(L89+I89)</f>
        <v>0</v>
      </c>
      <c r="Q89" s="42">
        <f t="shared" si="45"/>
        <v>0</v>
      </c>
      <c r="R89" s="38">
        <f t="shared" si="46"/>
        <v>0</v>
      </c>
      <c r="S89" s="38">
        <f t="shared" si="47"/>
        <v>0</v>
      </c>
      <c r="T89" s="38">
        <f>Policy_Sched!$J89*J89</f>
        <v>0</v>
      </c>
      <c r="U89" s="42">
        <f t="shared" si="48"/>
        <v>0</v>
      </c>
      <c r="V89" s="42">
        <f t="shared" si="49"/>
        <v>0</v>
      </c>
      <c r="W89" s="38">
        <f>IF($A89&gt;LastT,0,N89+W90/(1+Policy_Sched!$K89))</f>
        <v>0</v>
      </c>
      <c r="X89" s="38">
        <f>IF($A89&gt;LastT,0,(-Q89+X90)/(1+Policy_Sched!$K89))</f>
        <v>0</v>
      </c>
      <c r="Y89" s="38">
        <f>IF($A89&gt;LastT,0,-V89+Y90/(1+Policy_Sched!$K89))</f>
        <v>0</v>
      </c>
      <c r="Z89" s="42">
        <f t="shared" si="50"/>
        <v>0</v>
      </c>
      <c r="AA89" s="38">
        <f>IF($A89&gt;LastT,0,N89-V89-Q89/(1+Policy_Sched!$K89)+Z90/(1+Policy_Sched!$K89))</f>
        <v>0</v>
      </c>
    </row>
    <row r="90" spans="1:27" x14ac:dyDescent="0.2">
      <c r="A90" s="30">
        <f t="shared" si="51"/>
        <v>83</v>
      </c>
      <c r="B90" s="31">
        <f t="shared" si="52"/>
        <v>0</v>
      </c>
      <c r="C90" s="31">
        <f>IF($A90&gt;LastT,0,IF(AND($D$3&lt;&gt;0,$A90&gt;=T0,Policy_Sched!$B90&lt;LastAge),1+$D$3*$E$3,1))</f>
        <v>0</v>
      </c>
      <c r="D90" s="36">
        <f>IF($A90&gt;LastT,0,IF($C$3="up",MIN(Policy_Sched!$E90*(1+IF($A90&gt;=T0,$E$3,0)),$F$3),IF($C$3="down",MAX(Policy_Sched!$E90*(1-IF($A90&gt;=T0,$E$3,0)),Policy_Sched!$E90-$F$3),Policy_Sched!$E90)))</f>
        <v>0</v>
      </c>
      <c r="E90" s="37">
        <f t="shared" si="53"/>
        <v>0</v>
      </c>
      <c r="F90" s="37">
        <f t="shared" si="36"/>
        <v>0</v>
      </c>
      <c r="G90" s="37">
        <f t="shared" si="37"/>
        <v>0</v>
      </c>
      <c r="H90" s="37">
        <f t="shared" si="38"/>
        <v>0</v>
      </c>
      <c r="I90" s="37">
        <f t="shared" si="39"/>
        <v>0</v>
      </c>
      <c r="J90" s="37">
        <f t="shared" si="40"/>
        <v>0</v>
      </c>
      <c r="K90" s="37">
        <f>IF($A90&gt;LastT,0,J90*Policy_Sched!$C90*Policy_Sched!$D90*C90)</f>
        <v>0</v>
      </c>
      <c r="L90" s="41">
        <f t="shared" si="41"/>
        <v>0</v>
      </c>
      <c r="M90" s="38">
        <f t="shared" si="42"/>
        <v>0</v>
      </c>
      <c r="N90" s="38">
        <f t="shared" si="43"/>
        <v>0</v>
      </c>
      <c r="O90" s="38">
        <f t="shared" si="44"/>
        <v>0</v>
      </c>
      <c r="P90" s="38">
        <f>Policy_Sched!$I90*(L90+I90)</f>
        <v>0</v>
      </c>
      <c r="Q90" s="42">
        <f t="shared" si="45"/>
        <v>0</v>
      </c>
      <c r="R90" s="38">
        <f t="shared" si="46"/>
        <v>0</v>
      </c>
      <c r="S90" s="38">
        <f t="shared" si="47"/>
        <v>0</v>
      </c>
      <c r="T90" s="38">
        <f>Policy_Sched!$J90*J90</f>
        <v>0</v>
      </c>
      <c r="U90" s="42">
        <f t="shared" si="48"/>
        <v>0</v>
      </c>
      <c r="V90" s="42">
        <f t="shared" si="49"/>
        <v>0</v>
      </c>
      <c r="W90" s="38">
        <f>IF($A90&gt;LastT,0,N90+W91/(1+Policy_Sched!$K90))</f>
        <v>0</v>
      </c>
      <c r="X90" s="38">
        <f>IF($A90&gt;LastT,0,(-Q90+X91)/(1+Policy_Sched!$K90))</f>
        <v>0</v>
      </c>
      <c r="Y90" s="38">
        <f>IF($A90&gt;LastT,0,-V90+Y91/(1+Policy_Sched!$K90))</f>
        <v>0</v>
      </c>
      <c r="Z90" s="42">
        <f t="shared" si="50"/>
        <v>0</v>
      </c>
      <c r="AA90" s="38">
        <f>IF($A90&gt;LastT,0,N90-V90-Q90/(1+Policy_Sched!$K90)+Z91/(1+Policy_Sched!$K90))</f>
        <v>0</v>
      </c>
    </row>
    <row r="91" spans="1:27" x14ac:dyDescent="0.2">
      <c r="A91" s="30">
        <f t="shared" si="51"/>
        <v>84</v>
      </c>
      <c r="B91" s="31">
        <f t="shared" si="52"/>
        <v>0</v>
      </c>
      <c r="C91" s="31">
        <f>IF($A91&gt;LastT,0,IF(AND($D$3&lt;&gt;0,$A91&gt;=T0,Policy_Sched!$B91&lt;LastAge),1+$D$3*$E$3,1))</f>
        <v>0</v>
      </c>
      <c r="D91" s="36">
        <f>IF($A91&gt;LastT,0,IF($C$3="up",MIN(Policy_Sched!$E91*(1+IF($A91&gt;=T0,$E$3,0)),$F$3),IF($C$3="down",MAX(Policy_Sched!$E91*(1-IF($A91&gt;=T0,$E$3,0)),Policy_Sched!$E91-$F$3),Policy_Sched!$E91)))</f>
        <v>0</v>
      </c>
      <c r="E91" s="37">
        <f t="shared" si="53"/>
        <v>0</v>
      </c>
      <c r="F91" s="37">
        <f t="shared" si="36"/>
        <v>0</v>
      </c>
      <c r="G91" s="37">
        <f t="shared" si="37"/>
        <v>0</v>
      </c>
      <c r="H91" s="37">
        <f t="shared" si="38"/>
        <v>0</v>
      </c>
      <c r="I91" s="37">
        <f t="shared" si="39"/>
        <v>0</v>
      </c>
      <c r="J91" s="37">
        <f t="shared" si="40"/>
        <v>0</v>
      </c>
      <c r="K91" s="37">
        <f>IF($A91&gt;LastT,0,J91*Policy_Sched!$C91*Policy_Sched!$D91*C91)</f>
        <v>0</v>
      </c>
      <c r="L91" s="41">
        <f t="shared" si="41"/>
        <v>0</v>
      </c>
      <c r="M91" s="38">
        <f t="shared" si="42"/>
        <v>0</v>
      </c>
      <c r="N91" s="38">
        <f t="shared" si="43"/>
        <v>0</v>
      </c>
      <c r="O91" s="38">
        <f t="shared" si="44"/>
        <v>0</v>
      </c>
      <c r="P91" s="38">
        <f>Policy_Sched!$I91*(L91+I91)</f>
        <v>0</v>
      </c>
      <c r="Q91" s="42">
        <f t="shared" si="45"/>
        <v>0</v>
      </c>
      <c r="R91" s="38">
        <f t="shared" si="46"/>
        <v>0</v>
      </c>
      <c r="S91" s="38">
        <f t="shared" si="47"/>
        <v>0</v>
      </c>
      <c r="T91" s="38">
        <f>Policy_Sched!$J91*J91</f>
        <v>0</v>
      </c>
      <c r="U91" s="42">
        <f t="shared" si="48"/>
        <v>0</v>
      </c>
      <c r="V91" s="42">
        <f t="shared" si="49"/>
        <v>0</v>
      </c>
      <c r="W91" s="38">
        <f>IF($A91&gt;LastT,0,N91+W92/(1+Policy_Sched!$K91))</f>
        <v>0</v>
      </c>
      <c r="X91" s="38">
        <f>IF($A91&gt;LastT,0,(-Q91+X92)/(1+Policy_Sched!$K91))</f>
        <v>0</v>
      </c>
      <c r="Y91" s="38">
        <f>IF($A91&gt;LastT,0,-V91+Y92/(1+Policy_Sched!$K91))</f>
        <v>0</v>
      </c>
      <c r="Z91" s="42">
        <f t="shared" si="50"/>
        <v>0</v>
      </c>
      <c r="AA91" s="38">
        <f>IF($A91&gt;LastT,0,N91-V91-Q91/(1+Policy_Sched!$K91)+Z92/(1+Policy_Sched!$K91))</f>
        <v>0</v>
      </c>
    </row>
    <row r="92" spans="1:27" x14ac:dyDescent="0.2">
      <c r="A92" s="30">
        <f t="shared" si="51"/>
        <v>85</v>
      </c>
      <c r="B92" s="31">
        <f t="shared" si="52"/>
        <v>0</v>
      </c>
      <c r="C92" s="31">
        <f>IF($A92&gt;LastT,0,IF(AND($D$3&lt;&gt;0,$A92&gt;=T0,Policy_Sched!$B92&lt;LastAge),1+$D$3*$E$3,1))</f>
        <v>0</v>
      </c>
      <c r="D92" s="36">
        <f>IF($A92&gt;LastT,0,IF($C$3="up",MIN(Policy_Sched!$E92*(1+IF($A92&gt;=T0,$E$3,0)),$F$3),IF($C$3="down",MAX(Policy_Sched!$E92*(1-IF($A92&gt;=T0,$E$3,0)),Policy_Sched!$E92-$F$3),Policy_Sched!$E92)))</f>
        <v>0</v>
      </c>
      <c r="E92" s="37">
        <f t="shared" si="53"/>
        <v>0</v>
      </c>
      <c r="F92" s="37">
        <f t="shared" si="36"/>
        <v>0</v>
      </c>
      <c r="G92" s="37">
        <f t="shared" si="37"/>
        <v>0</v>
      </c>
      <c r="H92" s="37">
        <f t="shared" si="38"/>
        <v>0</v>
      </c>
      <c r="I92" s="37">
        <f t="shared" si="39"/>
        <v>0</v>
      </c>
      <c r="J92" s="37">
        <f t="shared" si="40"/>
        <v>0</v>
      </c>
      <c r="K92" s="37">
        <f>IF($A92&gt;LastT,0,J92*Policy_Sched!$C92*Policy_Sched!$D92*C92)</f>
        <v>0</v>
      </c>
      <c r="L92" s="41">
        <f t="shared" si="41"/>
        <v>0</v>
      </c>
      <c r="M92" s="38">
        <f t="shared" si="42"/>
        <v>0</v>
      </c>
      <c r="N92" s="38">
        <f t="shared" si="43"/>
        <v>0</v>
      </c>
      <c r="O92" s="38">
        <f t="shared" si="44"/>
        <v>0</v>
      </c>
      <c r="P92" s="38">
        <f>Policy_Sched!$I92*(L92+I92)</f>
        <v>0</v>
      </c>
      <c r="Q92" s="42">
        <f t="shared" si="45"/>
        <v>0</v>
      </c>
      <c r="R92" s="38">
        <f t="shared" si="46"/>
        <v>0</v>
      </c>
      <c r="S92" s="38">
        <f t="shared" si="47"/>
        <v>0</v>
      </c>
      <c r="T92" s="38">
        <f>Policy_Sched!$J92*J92</f>
        <v>0</v>
      </c>
      <c r="U92" s="42">
        <f t="shared" si="48"/>
        <v>0</v>
      </c>
      <c r="V92" s="42">
        <f t="shared" si="49"/>
        <v>0</v>
      </c>
      <c r="W92" s="38">
        <f>IF($A92&gt;LastT,0,N92+W93/(1+Policy_Sched!$K92))</f>
        <v>0</v>
      </c>
      <c r="X92" s="38">
        <f>IF($A92&gt;LastT,0,(-Q92+X93)/(1+Policy_Sched!$K92))</f>
        <v>0</v>
      </c>
      <c r="Y92" s="38">
        <f>IF($A92&gt;LastT,0,-V92+Y93/(1+Policy_Sched!$K92))</f>
        <v>0</v>
      </c>
      <c r="Z92" s="42">
        <f t="shared" si="50"/>
        <v>0</v>
      </c>
      <c r="AA92" s="38">
        <f>IF($A92&gt;LastT,0,N92-V92-Q92/(1+Policy_Sched!$K92)+Z93/(1+Policy_Sched!$K92))</f>
        <v>0</v>
      </c>
    </row>
    <row r="93" spans="1:27" x14ac:dyDescent="0.2">
      <c r="A93" s="30">
        <f t="shared" si="51"/>
        <v>86</v>
      </c>
      <c r="B93" s="31">
        <f t="shared" si="52"/>
        <v>0</v>
      </c>
      <c r="C93" s="31">
        <f>IF($A93&gt;LastT,0,IF(AND($D$3&lt;&gt;0,$A93&gt;=T0,Policy_Sched!$B93&lt;LastAge),1+$D$3*$E$3,1))</f>
        <v>0</v>
      </c>
      <c r="D93" s="36">
        <f>IF($A93&gt;LastT,0,IF($C$3="up",MIN(Policy_Sched!$E93*(1+IF($A93&gt;=T0,$E$3,0)),$F$3),IF($C$3="down",MAX(Policy_Sched!$E93*(1-IF($A93&gt;=T0,$E$3,0)),Policy_Sched!$E93-$F$3),Policy_Sched!$E93)))</f>
        <v>0</v>
      </c>
      <c r="E93" s="37">
        <f t="shared" si="53"/>
        <v>0</v>
      </c>
      <c r="F93" s="37">
        <f t="shared" si="36"/>
        <v>0</v>
      </c>
      <c r="G93" s="37">
        <f t="shared" si="37"/>
        <v>0</v>
      </c>
      <c r="H93" s="37">
        <f t="shared" si="38"/>
        <v>0</v>
      </c>
      <c r="I93" s="37">
        <f t="shared" si="39"/>
        <v>0</v>
      </c>
      <c r="J93" s="37">
        <f t="shared" si="40"/>
        <v>0</v>
      </c>
      <c r="K93" s="37">
        <f>IF($A93&gt;LastT,0,J93*Policy_Sched!$C93*Policy_Sched!$D93*C93)</f>
        <v>0</v>
      </c>
      <c r="L93" s="41">
        <f t="shared" si="41"/>
        <v>0</v>
      </c>
      <c r="M93" s="38">
        <f t="shared" si="42"/>
        <v>0</v>
      </c>
      <c r="N93" s="38">
        <f t="shared" si="43"/>
        <v>0</v>
      </c>
      <c r="O93" s="38">
        <f t="shared" si="44"/>
        <v>0</v>
      </c>
      <c r="P93" s="38">
        <f>Policy_Sched!$I93*(L93+I93)</f>
        <v>0</v>
      </c>
      <c r="Q93" s="42">
        <f t="shared" si="45"/>
        <v>0</v>
      </c>
      <c r="R93" s="38">
        <f t="shared" si="46"/>
        <v>0</v>
      </c>
      <c r="S93" s="38">
        <f t="shared" si="47"/>
        <v>0</v>
      </c>
      <c r="T93" s="38">
        <f>Policy_Sched!$J93*J93</f>
        <v>0</v>
      </c>
      <c r="U93" s="42">
        <f t="shared" si="48"/>
        <v>0</v>
      </c>
      <c r="V93" s="42">
        <f t="shared" si="49"/>
        <v>0</v>
      </c>
      <c r="W93" s="38">
        <f>IF($A93&gt;LastT,0,N93+W94/(1+Policy_Sched!$K93))</f>
        <v>0</v>
      </c>
      <c r="X93" s="38">
        <f>IF($A93&gt;LastT,0,(-Q93+X94)/(1+Policy_Sched!$K93))</f>
        <v>0</v>
      </c>
      <c r="Y93" s="38">
        <f>IF($A93&gt;LastT,0,-V93+Y94/(1+Policy_Sched!$K93))</f>
        <v>0</v>
      </c>
      <c r="Z93" s="42">
        <f t="shared" si="50"/>
        <v>0</v>
      </c>
      <c r="AA93" s="38">
        <f>IF($A93&gt;LastT,0,N93-V93-Q93/(1+Policy_Sched!$K93)+Z94/(1+Policy_Sched!$K93))</f>
        <v>0</v>
      </c>
    </row>
    <row r="94" spans="1:27" x14ac:dyDescent="0.2">
      <c r="A94" s="30">
        <f t="shared" si="51"/>
        <v>87</v>
      </c>
      <c r="B94" s="31">
        <f t="shared" si="52"/>
        <v>0</v>
      </c>
      <c r="C94" s="31">
        <f>IF($A94&gt;LastT,0,IF(AND($D$3&lt;&gt;0,$A94&gt;=T0,Policy_Sched!$B94&lt;LastAge),1+$D$3*$E$3,1))</f>
        <v>0</v>
      </c>
      <c r="D94" s="36">
        <f>IF($A94&gt;LastT,0,IF($C$3="up",MIN(Policy_Sched!$E94*(1+IF($A94&gt;=T0,$E$3,0)),$F$3),IF($C$3="down",MAX(Policy_Sched!$E94*(1-IF($A94&gt;=T0,$E$3,0)),Policy_Sched!$E94-$F$3),Policy_Sched!$E94)))</f>
        <v>0</v>
      </c>
      <c r="E94" s="37">
        <f t="shared" si="53"/>
        <v>0</v>
      </c>
      <c r="F94" s="37">
        <f t="shared" si="36"/>
        <v>0</v>
      </c>
      <c r="G94" s="37">
        <f t="shared" si="37"/>
        <v>0</v>
      </c>
      <c r="H94" s="37">
        <f t="shared" si="38"/>
        <v>0</v>
      </c>
      <c r="I94" s="37">
        <f t="shared" si="39"/>
        <v>0</v>
      </c>
      <c r="J94" s="37">
        <f t="shared" si="40"/>
        <v>0</v>
      </c>
      <c r="K94" s="37">
        <f>IF($A94&gt;LastT,0,J94*Policy_Sched!$C94*Policy_Sched!$D94*C94)</f>
        <v>0</v>
      </c>
      <c r="L94" s="41">
        <f t="shared" si="41"/>
        <v>0</v>
      </c>
      <c r="M94" s="38">
        <f t="shared" si="42"/>
        <v>0</v>
      </c>
      <c r="N94" s="38">
        <f t="shared" si="43"/>
        <v>0</v>
      </c>
      <c r="O94" s="38">
        <f t="shared" si="44"/>
        <v>0</v>
      </c>
      <c r="P94" s="38">
        <f>Policy_Sched!$I94*(L94+I94)</f>
        <v>0</v>
      </c>
      <c r="Q94" s="42">
        <f t="shared" si="45"/>
        <v>0</v>
      </c>
      <c r="R94" s="38">
        <f t="shared" si="46"/>
        <v>0</v>
      </c>
      <c r="S94" s="38">
        <f t="shared" si="47"/>
        <v>0</v>
      </c>
      <c r="T94" s="38">
        <f>Policy_Sched!$J94*J94</f>
        <v>0</v>
      </c>
      <c r="U94" s="42">
        <f t="shared" si="48"/>
        <v>0</v>
      </c>
      <c r="V94" s="42">
        <f t="shared" si="49"/>
        <v>0</v>
      </c>
      <c r="W94" s="38">
        <f>IF($A94&gt;LastT,0,N94+W95/(1+Policy_Sched!$K94))</f>
        <v>0</v>
      </c>
      <c r="X94" s="38">
        <f>IF($A94&gt;LastT,0,(-Q94+X95)/(1+Policy_Sched!$K94))</f>
        <v>0</v>
      </c>
      <c r="Y94" s="38">
        <f>IF($A94&gt;LastT,0,-V94+Y95/(1+Policy_Sched!$K94))</f>
        <v>0</v>
      </c>
      <c r="Z94" s="42">
        <f t="shared" si="50"/>
        <v>0</v>
      </c>
      <c r="AA94" s="38">
        <f>IF($A94&gt;LastT,0,N94-V94-Q94/(1+Policy_Sched!$K94)+Z95/(1+Policy_Sched!$K94))</f>
        <v>0</v>
      </c>
    </row>
    <row r="95" spans="1:27" x14ac:dyDescent="0.2">
      <c r="A95" s="30">
        <f t="shared" si="51"/>
        <v>88</v>
      </c>
      <c r="B95" s="31">
        <f t="shared" si="52"/>
        <v>0</v>
      </c>
      <c r="C95" s="31">
        <f>IF($A95&gt;LastT,0,IF(AND($D$3&lt;&gt;0,$A95&gt;=T0,Policy_Sched!$B95&lt;LastAge),1+$D$3*$E$3,1))</f>
        <v>0</v>
      </c>
      <c r="D95" s="36">
        <f>IF($A95&gt;LastT,0,IF($C$3="up",MIN(Policy_Sched!$E95*(1+IF($A95&gt;=T0,$E$3,0)),$F$3),IF($C$3="down",MAX(Policy_Sched!$E95*(1-IF($A95&gt;=T0,$E$3,0)),Policy_Sched!$E95-$F$3),Policy_Sched!$E95)))</f>
        <v>0</v>
      </c>
      <c r="E95" s="37">
        <f t="shared" si="53"/>
        <v>0</v>
      </c>
      <c r="F95" s="37">
        <f t="shared" si="36"/>
        <v>0</v>
      </c>
      <c r="G95" s="37">
        <f t="shared" si="37"/>
        <v>0</v>
      </c>
      <c r="H95" s="37">
        <f t="shared" si="38"/>
        <v>0</v>
      </c>
      <c r="I95" s="37">
        <f t="shared" si="39"/>
        <v>0</v>
      </c>
      <c r="J95" s="37">
        <f t="shared" si="40"/>
        <v>0</v>
      </c>
      <c r="K95" s="37">
        <f>IF($A95&gt;LastT,0,J95*Policy_Sched!$C95*Policy_Sched!$D95*C95)</f>
        <v>0</v>
      </c>
      <c r="L95" s="41">
        <f t="shared" si="41"/>
        <v>0</v>
      </c>
      <c r="M95" s="38">
        <f t="shared" si="42"/>
        <v>0</v>
      </c>
      <c r="N95" s="38">
        <f t="shared" si="43"/>
        <v>0</v>
      </c>
      <c r="O95" s="38">
        <f t="shared" si="44"/>
        <v>0</v>
      </c>
      <c r="P95" s="38">
        <f>Policy_Sched!$I95*(L95+I95)</f>
        <v>0</v>
      </c>
      <c r="Q95" s="42">
        <f t="shared" si="45"/>
        <v>0</v>
      </c>
      <c r="R95" s="38">
        <f t="shared" si="46"/>
        <v>0</v>
      </c>
      <c r="S95" s="38">
        <f t="shared" si="47"/>
        <v>0</v>
      </c>
      <c r="T95" s="38">
        <f>Policy_Sched!$J95*J95</f>
        <v>0</v>
      </c>
      <c r="U95" s="42">
        <f t="shared" si="48"/>
        <v>0</v>
      </c>
      <c r="V95" s="42">
        <f t="shared" si="49"/>
        <v>0</v>
      </c>
      <c r="W95" s="38">
        <f>IF($A95&gt;LastT,0,N95+W96/(1+Policy_Sched!$K95))</f>
        <v>0</v>
      </c>
      <c r="X95" s="38">
        <f>IF($A95&gt;LastT,0,(-Q95+X96)/(1+Policy_Sched!$K95))</f>
        <v>0</v>
      </c>
      <c r="Y95" s="38">
        <f>IF($A95&gt;LastT,0,-V95+Y96/(1+Policy_Sched!$K95))</f>
        <v>0</v>
      </c>
      <c r="Z95" s="42">
        <f t="shared" si="50"/>
        <v>0</v>
      </c>
      <c r="AA95" s="38">
        <f>IF($A95&gt;LastT,0,N95-V95-Q95/(1+Policy_Sched!$K95)+Z96/(1+Policy_Sched!$K95))</f>
        <v>0</v>
      </c>
    </row>
    <row r="96" spans="1:27" x14ac:dyDescent="0.2">
      <c r="A96" s="30">
        <f t="shared" si="51"/>
        <v>89</v>
      </c>
      <c r="B96" s="31">
        <f t="shared" si="52"/>
        <v>0</v>
      </c>
      <c r="C96" s="31">
        <f>IF($A96&gt;LastT,0,IF(AND($D$3&lt;&gt;0,$A96&gt;=T0,Policy_Sched!$B96&lt;LastAge),1+$D$3*$E$3,1))</f>
        <v>0</v>
      </c>
      <c r="D96" s="36">
        <f>IF($A96&gt;LastT,0,IF($C$3="up",MIN(Policy_Sched!$E96*(1+IF($A96&gt;=T0,$E$3,0)),$F$3),IF($C$3="down",MAX(Policy_Sched!$E96*(1-IF($A96&gt;=T0,$E$3,0)),Policy_Sched!$E96-$F$3),Policy_Sched!$E96)))</f>
        <v>0</v>
      </c>
      <c r="E96" s="37">
        <f t="shared" si="53"/>
        <v>0</v>
      </c>
      <c r="F96" s="37">
        <f t="shared" si="36"/>
        <v>0</v>
      </c>
      <c r="G96" s="37">
        <f t="shared" si="37"/>
        <v>0</v>
      </c>
      <c r="H96" s="37">
        <f t="shared" si="38"/>
        <v>0</v>
      </c>
      <c r="I96" s="37">
        <f t="shared" si="39"/>
        <v>0</v>
      </c>
      <c r="J96" s="37">
        <f t="shared" si="40"/>
        <v>0</v>
      </c>
      <c r="K96" s="37">
        <f>IF($A96&gt;LastT,0,J96*Policy_Sched!$C96*Policy_Sched!$D96*C96)</f>
        <v>0</v>
      </c>
      <c r="L96" s="41">
        <f t="shared" si="41"/>
        <v>0</v>
      </c>
      <c r="M96" s="38">
        <f t="shared" si="42"/>
        <v>0</v>
      </c>
      <c r="N96" s="38">
        <f t="shared" si="43"/>
        <v>0</v>
      </c>
      <c r="O96" s="38">
        <f t="shared" si="44"/>
        <v>0</v>
      </c>
      <c r="P96" s="38">
        <f>Policy_Sched!$I96*(L96+I96)</f>
        <v>0</v>
      </c>
      <c r="Q96" s="42">
        <f t="shared" si="45"/>
        <v>0</v>
      </c>
      <c r="R96" s="38">
        <f t="shared" si="46"/>
        <v>0</v>
      </c>
      <c r="S96" s="38">
        <f t="shared" si="47"/>
        <v>0</v>
      </c>
      <c r="T96" s="38">
        <f>Policy_Sched!$J96*J96</f>
        <v>0</v>
      </c>
      <c r="U96" s="42">
        <f t="shared" si="48"/>
        <v>0</v>
      </c>
      <c r="V96" s="42">
        <f t="shared" si="49"/>
        <v>0</v>
      </c>
      <c r="W96" s="38">
        <f>IF($A96&gt;LastT,0,N96+W97/(1+Policy_Sched!$K96))</f>
        <v>0</v>
      </c>
      <c r="X96" s="38">
        <f>IF($A96&gt;LastT,0,(-Q96+X97)/(1+Policy_Sched!$K96))</f>
        <v>0</v>
      </c>
      <c r="Y96" s="38">
        <f>IF($A96&gt;LastT,0,-V96+Y97/(1+Policy_Sched!$K96))</f>
        <v>0</v>
      </c>
      <c r="Z96" s="42">
        <f t="shared" si="50"/>
        <v>0</v>
      </c>
      <c r="AA96" s="38">
        <f>IF($A96&gt;LastT,0,N96-V96-Q96/(1+Policy_Sched!$K96)+Z97/(1+Policy_Sched!$K96))</f>
        <v>0</v>
      </c>
    </row>
    <row r="97" spans="1:27" x14ac:dyDescent="0.2">
      <c r="A97" s="30">
        <f t="shared" si="51"/>
        <v>90</v>
      </c>
      <c r="B97" s="31">
        <f t="shared" si="52"/>
        <v>0</v>
      </c>
      <c r="C97" s="31">
        <f>IF($A97&gt;LastT,0,IF(AND($D$3&lt;&gt;0,$A97&gt;=T0,Policy_Sched!$B97&lt;LastAge),1+$D$3*$E$3,1))</f>
        <v>0</v>
      </c>
      <c r="D97" s="36">
        <f>IF($A97&gt;LastT,0,IF($C$3="up",MIN(Policy_Sched!$E97*(1+IF($A97&gt;=T0,$E$3,0)),$F$3),IF($C$3="down",MAX(Policy_Sched!$E97*(1-IF($A97&gt;=T0,$E$3,0)),Policy_Sched!$E97-$F$3),Policy_Sched!$E97)))</f>
        <v>0</v>
      </c>
      <c r="E97" s="37">
        <f t="shared" si="53"/>
        <v>0</v>
      </c>
      <c r="F97" s="37">
        <f t="shared" si="36"/>
        <v>0</v>
      </c>
      <c r="G97" s="37">
        <f t="shared" si="37"/>
        <v>0</v>
      </c>
      <c r="H97" s="37">
        <f t="shared" si="38"/>
        <v>0</v>
      </c>
      <c r="I97" s="37">
        <f t="shared" si="39"/>
        <v>0</v>
      </c>
      <c r="J97" s="37">
        <f t="shared" si="40"/>
        <v>0</v>
      </c>
      <c r="K97" s="37">
        <f>IF($A97&gt;LastT,0,J97*Policy_Sched!$C97*Policy_Sched!$D97*C97)</f>
        <v>0</v>
      </c>
      <c r="L97" s="41">
        <f t="shared" si="41"/>
        <v>0</v>
      </c>
      <c r="M97" s="38">
        <f t="shared" si="42"/>
        <v>0</v>
      </c>
      <c r="N97" s="38">
        <f t="shared" si="43"/>
        <v>0</v>
      </c>
      <c r="O97" s="38">
        <f t="shared" si="44"/>
        <v>0</v>
      </c>
      <c r="P97" s="38">
        <f>Policy_Sched!$I97*(L97+I97)</f>
        <v>0</v>
      </c>
      <c r="Q97" s="42">
        <f t="shared" si="45"/>
        <v>0</v>
      </c>
      <c r="R97" s="38">
        <f t="shared" si="46"/>
        <v>0</v>
      </c>
      <c r="S97" s="38">
        <f t="shared" si="47"/>
        <v>0</v>
      </c>
      <c r="T97" s="38">
        <f>Policy_Sched!$J97*J97</f>
        <v>0</v>
      </c>
      <c r="U97" s="42">
        <f t="shared" si="48"/>
        <v>0</v>
      </c>
      <c r="V97" s="42">
        <f t="shared" si="49"/>
        <v>0</v>
      </c>
      <c r="W97" s="38">
        <f>IF($A97&gt;LastT,0,N97+W98/(1+Policy_Sched!$K97))</f>
        <v>0</v>
      </c>
      <c r="X97" s="38">
        <f>IF($A97&gt;LastT,0,(-Q97+X98)/(1+Policy_Sched!$K97))</f>
        <v>0</v>
      </c>
      <c r="Y97" s="38">
        <f>IF($A97&gt;LastT,0,-V97+Y98/(1+Policy_Sched!$K97))</f>
        <v>0</v>
      </c>
      <c r="Z97" s="42">
        <f t="shared" si="50"/>
        <v>0</v>
      </c>
      <c r="AA97" s="38">
        <f>IF($A97&gt;LastT,0,N97-V97-Q97/(1+Policy_Sched!$K97)+Z98/(1+Policy_Sched!$K97))</f>
        <v>0</v>
      </c>
    </row>
    <row r="98" spans="1:27" x14ac:dyDescent="0.2">
      <c r="A98" s="30">
        <f t="shared" si="51"/>
        <v>91</v>
      </c>
      <c r="B98" s="31">
        <f t="shared" si="52"/>
        <v>0</v>
      </c>
      <c r="C98" s="31">
        <f>IF($A98&gt;LastT,0,IF(AND($D$3&lt;&gt;0,$A98&gt;=T0,Policy_Sched!$B98&lt;LastAge),1+$D$3*$E$3,1))</f>
        <v>0</v>
      </c>
      <c r="D98" s="36">
        <f>IF($A98&gt;LastT,0,IF($C$3="up",MIN(Policy_Sched!$E98*(1+IF($A98&gt;=T0,$E$3,0)),$F$3),IF($C$3="down",MAX(Policy_Sched!$E98*(1-IF($A98&gt;=T0,$E$3,0)),Policy_Sched!$E98-$F$3),Policy_Sched!$E98)))</f>
        <v>0</v>
      </c>
      <c r="E98" s="37">
        <f t="shared" si="53"/>
        <v>0</v>
      </c>
      <c r="F98" s="37">
        <f t="shared" si="36"/>
        <v>0</v>
      </c>
      <c r="G98" s="37">
        <f t="shared" si="37"/>
        <v>0</v>
      </c>
      <c r="H98" s="37">
        <f t="shared" si="38"/>
        <v>0</v>
      </c>
      <c r="I98" s="37">
        <f t="shared" si="39"/>
        <v>0</v>
      </c>
      <c r="J98" s="37">
        <f t="shared" si="40"/>
        <v>0</v>
      </c>
      <c r="K98" s="37">
        <f>IF($A98&gt;LastT,0,J98*Policy_Sched!$C98*Policy_Sched!$D98*C98)</f>
        <v>0</v>
      </c>
      <c r="L98" s="41">
        <f t="shared" si="41"/>
        <v>0</v>
      </c>
      <c r="M98" s="38">
        <f t="shared" si="42"/>
        <v>0</v>
      </c>
      <c r="N98" s="38">
        <f t="shared" si="43"/>
        <v>0</v>
      </c>
      <c r="O98" s="38">
        <f t="shared" si="44"/>
        <v>0</v>
      </c>
      <c r="P98" s="38">
        <f>Policy_Sched!$I98*(L98+I98)</f>
        <v>0</v>
      </c>
      <c r="Q98" s="42">
        <f t="shared" si="45"/>
        <v>0</v>
      </c>
      <c r="R98" s="38">
        <f t="shared" si="46"/>
        <v>0</v>
      </c>
      <c r="S98" s="38">
        <f t="shared" si="47"/>
        <v>0</v>
      </c>
      <c r="T98" s="38">
        <f>Policy_Sched!$J98*J98</f>
        <v>0</v>
      </c>
      <c r="U98" s="42">
        <f t="shared" si="48"/>
        <v>0</v>
      </c>
      <c r="V98" s="42">
        <f t="shared" si="49"/>
        <v>0</v>
      </c>
      <c r="W98" s="38">
        <f>IF($A98&gt;LastT,0,N98+W99/(1+Policy_Sched!$K98))</f>
        <v>0</v>
      </c>
      <c r="X98" s="38">
        <f>IF($A98&gt;LastT,0,(-Q98+X99)/(1+Policy_Sched!$K98))</f>
        <v>0</v>
      </c>
      <c r="Y98" s="38">
        <f>IF($A98&gt;LastT,0,-V98+Y99/(1+Policy_Sched!$K98))</f>
        <v>0</v>
      </c>
      <c r="Z98" s="42">
        <f t="shared" si="50"/>
        <v>0</v>
      </c>
      <c r="AA98" s="38">
        <f>IF($A98&gt;LastT,0,N98-V98-Q98/(1+Policy_Sched!$K98)+Z99/(1+Policy_Sched!$K98))</f>
        <v>0</v>
      </c>
    </row>
    <row r="99" spans="1:27" x14ac:dyDescent="0.2">
      <c r="A99" s="30">
        <f t="shared" si="51"/>
        <v>92</v>
      </c>
      <c r="B99" s="31">
        <f t="shared" si="52"/>
        <v>0</v>
      </c>
      <c r="C99" s="31">
        <f>IF($A99&gt;LastT,0,IF(AND($D$3&lt;&gt;0,$A99&gt;=T0,Policy_Sched!$B99&lt;LastAge),1+$D$3*$E$3,1))</f>
        <v>0</v>
      </c>
      <c r="D99" s="36">
        <f>IF($A99&gt;LastT,0,IF($C$3="up",MIN(Policy_Sched!$E99*(1+IF($A99&gt;=T0,$E$3,0)),$F$3),IF($C$3="down",MAX(Policy_Sched!$E99*(1-IF($A99&gt;=T0,$E$3,0)),Policy_Sched!$E99-$F$3),Policy_Sched!$E99)))</f>
        <v>0</v>
      </c>
      <c r="E99" s="37">
        <f t="shared" si="53"/>
        <v>0</v>
      </c>
      <c r="F99" s="37">
        <f t="shared" si="36"/>
        <v>0</v>
      </c>
      <c r="G99" s="37">
        <f t="shared" si="37"/>
        <v>0</v>
      </c>
      <c r="H99" s="37">
        <f t="shared" si="38"/>
        <v>0</v>
      </c>
      <c r="I99" s="37">
        <f t="shared" si="39"/>
        <v>0</v>
      </c>
      <c r="J99" s="37">
        <f t="shared" si="40"/>
        <v>0</v>
      </c>
      <c r="K99" s="37">
        <f>IF($A99&gt;LastT,0,J99*Policy_Sched!$C99*Policy_Sched!$D99*C99)</f>
        <v>0</v>
      </c>
      <c r="L99" s="41">
        <f t="shared" si="41"/>
        <v>0</v>
      </c>
      <c r="M99" s="38">
        <f t="shared" si="42"/>
        <v>0</v>
      </c>
      <c r="N99" s="38">
        <f t="shared" si="43"/>
        <v>0</v>
      </c>
      <c r="O99" s="38">
        <f t="shared" si="44"/>
        <v>0</v>
      </c>
      <c r="P99" s="38">
        <f>Policy_Sched!$I99*(L99+I99)</f>
        <v>0</v>
      </c>
      <c r="Q99" s="42">
        <f t="shared" si="45"/>
        <v>0</v>
      </c>
      <c r="R99" s="38">
        <f t="shared" si="46"/>
        <v>0</v>
      </c>
      <c r="S99" s="38">
        <f t="shared" si="47"/>
        <v>0</v>
      </c>
      <c r="T99" s="38">
        <f>Policy_Sched!$J99*J99</f>
        <v>0</v>
      </c>
      <c r="U99" s="42">
        <f t="shared" si="48"/>
        <v>0</v>
      </c>
      <c r="V99" s="42">
        <f t="shared" si="49"/>
        <v>0</v>
      </c>
      <c r="W99" s="38">
        <f>IF($A99&gt;LastT,0,N99+W100/(1+Policy_Sched!$K99))</f>
        <v>0</v>
      </c>
      <c r="X99" s="38">
        <f>IF($A99&gt;LastT,0,(-Q99+X100)/(1+Policy_Sched!$K99))</f>
        <v>0</v>
      </c>
      <c r="Y99" s="38">
        <f>IF($A99&gt;LastT,0,-V99+Y100/(1+Policy_Sched!$K99))</f>
        <v>0</v>
      </c>
      <c r="Z99" s="42">
        <f t="shared" si="50"/>
        <v>0</v>
      </c>
      <c r="AA99" s="38">
        <f>IF($A99&gt;LastT,0,N99-V99-Q99/(1+Policy_Sched!$K99)+Z100/(1+Policy_Sched!$K99))</f>
        <v>0</v>
      </c>
    </row>
    <row r="100" spans="1:27" x14ac:dyDescent="0.2">
      <c r="A100" s="30">
        <f t="shared" si="51"/>
        <v>93</v>
      </c>
      <c r="B100" s="31">
        <f t="shared" si="52"/>
        <v>0</v>
      </c>
      <c r="C100" s="31">
        <f>IF($A100&gt;LastT,0,IF(AND($D$3&lt;&gt;0,$A100&gt;=T0,Policy_Sched!$B100&lt;LastAge),1+$D$3*$E$3,1))</f>
        <v>0</v>
      </c>
      <c r="D100" s="36">
        <f>IF($A100&gt;LastT,0,IF($C$3="up",MIN(Policy_Sched!$E100*(1+IF($A100&gt;=T0,$E$3,0)),$F$3),IF($C$3="down",MAX(Policy_Sched!$E100*(1-IF($A100&gt;=T0,$E$3,0)),Policy_Sched!$E100-$F$3),Policy_Sched!$E100)))</f>
        <v>0</v>
      </c>
      <c r="E100" s="37">
        <f t="shared" si="53"/>
        <v>0</v>
      </c>
      <c r="F100" s="37">
        <f t="shared" si="36"/>
        <v>0</v>
      </c>
      <c r="G100" s="37">
        <f t="shared" si="37"/>
        <v>0</v>
      </c>
      <c r="H100" s="37">
        <f t="shared" si="38"/>
        <v>0</v>
      </c>
      <c r="I100" s="37">
        <f t="shared" si="39"/>
        <v>0</v>
      </c>
      <c r="J100" s="37">
        <f t="shared" si="40"/>
        <v>0</v>
      </c>
      <c r="K100" s="37">
        <f>IF($A100&gt;LastT,0,J100*Policy_Sched!$C100*Policy_Sched!$D100*C100)</f>
        <v>0</v>
      </c>
      <c r="L100" s="41">
        <f t="shared" si="41"/>
        <v>0</v>
      </c>
      <c r="M100" s="38">
        <f t="shared" si="42"/>
        <v>0</v>
      </c>
      <c r="N100" s="38">
        <f t="shared" si="43"/>
        <v>0</v>
      </c>
      <c r="O100" s="38">
        <f t="shared" si="44"/>
        <v>0</v>
      </c>
      <c r="P100" s="38">
        <f>Policy_Sched!$I100*(L100+I100)</f>
        <v>0</v>
      </c>
      <c r="Q100" s="42">
        <f t="shared" si="45"/>
        <v>0</v>
      </c>
      <c r="R100" s="38">
        <f t="shared" si="46"/>
        <v>0</v>
      </c>
      <c r="S100" s="38">
        <f t="shared" si="47"/>
        <v>0</v>
      </c>
      <c r="T100" s="38">
        <f>Policy_Sched!$J100*J100</f>
        <v>0</v>
      </c>
      <c r="U100" s="42">
        <f t="shared" si="48"/>
        <v>0</v>
      </c>
      <c r="V100" s="42">
        <f t="shared" si="49"/>
        <v>0</v>
      </c>
      <c r="W100" s="38">
        <f>IF($A100&gt;LastT,0,N100+W101/(1+Policy_Sched!$K100))</f>
        <v>0</v>
      </c>
      <c r="X100" s="38">
        <f>IF($A100&gt;LastT,0,(-Q100+X101)/(1+Policy_Sched!$K100))</f>
        <v>0</v>
      </c>
      <c r="Y100" s="38">
        <f>IF($A100&gt;LastT,0,-V100+Y101/(1+Policy_Sched!$K100))</f>
        <v>0</v>
      </c>
      <c r="Z100" s="42">
        <f t="shared" si="50"/>
        <v>0</v>
      </c>
      <c r="AA100" s="38">
        <f>IF($A100&gt;LastT,0,N100-V100-Q100/(1+Policy_Sched!$K100)+Z101/(1+Policy_Sched!$K100))</f>
        <v>0</v>
      </c>
    </row>
    <row r="101" spans="1:27" x14ac:dyDescent="0.2">
      <c r="A101" s="30">
        <f t="shared" si="51"/>
        <v>94</v>
      </c>
      <c r="B101" s="31">
        <f t="shared" si="52"/>
        <v>0</v>
      </c>
      <c r="C101" s="31">
        <f>IF($A101&gt;LastT,0,IF(AND($D$3&lt;&gt;0,$A101&gt;=T0,Policy_Sched!$B101&lt;LastAge),1+$D$3*$E$3,1))</f>
        <v>0</v>
      </c>
      <c r="D101" s="36">
        <f>IF($A101&gt;LastT,0,IF($C$3="up",MIN(Policy_Sched!$E101*(1+IF($A101&gt;=T0,$E$3,0)),$F$3),IF($C$3="down",MAX(Policy_Sched!$E101*(1-IF($A101&gt;=T0,$E$3,0)),Policy_Sched!$E101-$F$3),Policy_Sched!$E101)))</f>
        <v>0</v>
      </c>
      <c r="E101" s="37">
        <f t="shared" si="53"/>
        <v>0</v>
      </c>
      <c r="F101" s="37">
        <f t="shared" si="36"/>
        <v>0</v>
      </c>
      <c r="G101" s="37">
        <f t="shared" si="37"/>
        <v>0</v>
      </c>
      <c r="H101" s="37">
        <f t="shared" si="38"/>
        <v>0</v>
      </c>
      <c r="I101" s="37">
        <f t="shared" si="39"/>
        <v>0</v>
      </c>
      <c r="J101" s="37">
        <f t="shared" si="40"/>
        <v>0</v>
      </c>
      <c r="K101" s="37">
        <f>IF($A101&gt;LastT,0,J101*Policy_Sched!$C101*Policy_Sched!$D101*C101)</f>
        <v>0</v>
      </c>
      <c r="L101" s="41">
        <f t="shared" si="41"/>
        <v>0</v>
      </c>
      <c r="M101" s="38">
        <f t="shared" si="42"/>
        <v>0</v>
      </c>
      <c r="N101" s="38">
        <f t="shared" si="43"/>
        <v>0</v>
      </c>
      <c r="O101" s="38">
        <f t="shared" si="44"/>
        <v>0</v>
      </c>
      <c r="P101" s="38">
        <f>Policy_Sched!$I101*(L101+I101)</f>
        <v>0</v>
      </c>
      <c r="Q101" s="42">
        <f t="shared" si="45"/>
        <v>0</v>
      </c>
      <c r="R101" s="38">
        <f t="shared" si="46"/>
        <v>0</v>
      </c>
      <c r="S101" s="38">
        <f t="shared" si="47"/>
        <v>0</v>
      </c>
      <c r="T101" s="38">
        <f>Policy_Sched!$J101*J101</f>
        <v>0</v>
      </c>
      <c r="U101" s="42">
        <f t="shared" si="48"/>
        <v>0</v>
      </c>
      <c r="V101" s="42">
        <f t="shared" si="49"/>
        <v>0</v>
      </c>
      <c r="W101" s="38">
        <f>IF($A101&gt;LastT,0,N101+W102/(1+Policy_Sched!$K101))</f>
        <v>0</v>
      </c>
      <c r="X101" s="38">
        <f>IF($A101&gt;LastT,0,(-Q101+X102)/(1+Policy_Sched!$K101))</f>
        <v>0</v>
      </c>
      <c r="Y101" s="38">
        <f>IF($A101&gt;LastT,0,-V101+Y102/(1+Policy_Sched!$K101))</f>
        <v>0</v>
      </c>
      <c r="Z101" s="42">
        <f t="shared" si="50"/>
        <v>0</v>
      </c>
      <c r="AA101" s="38">
        <f>IF($A101&gt;LastT,0,N101-V101-Q101/(1+Policy_Sched!$K101)+Z102/(1+Policy_Sched!$K101))</f>
        <v>0</v>
      </c>
    </row>
    <row r="102" spans="1:27" x14ac:dyDescent="0.2">
      <c r="A102" s="30">
        <f t="shared" si="51"/>
        <v>95</v>
      </c>
      <c r="B102" s="31">
        <f t="shared" si="52"/>
        <v>0</v>
      </c>
      <c r="C102" s="31">
        <f>IF($A102&gt;LastT,0,IF(AND($D$3&lt;&gt;0,$A102&gt;=T0,Policy_Sched!$B102&lt;LastAge),1+$D$3*$E$3,1))</f>
        <v>0</v>
      </c>
      <c r="D102" s="36">
        <f>IF($A102&gt;LastT,0,IF($C$3="up",MIN(Policy_Sched!$E102*(1+IF($A102&gt;=T0,$E$3,0)),$F$3),IF($C$3="down",MAX(Policy_Sched!$E102*(1-IF($A102&gt;=T0,$E$3,0)),Policy_Sched!$E102-$F$3),Policy_Sched!$E102)))</f>
        <v>0</v>
      </c>
      <c r="E102" s="37">
        <f t="shared" si="53"/>
        <v>0</v>
      </c>
      <c r="F102" s="37">
        <f t="shared" si="36"/>
        <v>0</v>
      </c>
      <c r="G102" s="37">
        <f t="shared" si="37"/>
        <v>0</v>
      </c>
      <c r="H102" s="37">
        <f t="shared" si="38"/>
        <v>0</v>
      </c>
      <c r="I102" s="37">
        <f t="shared" si="39"/>
        <v>0</v>
      </c>
      <c r="J102" s="37">
        <f t="shared" si="40"/>
        <v>0</v>
      </c>
      <c r="K102" s="37">
        <f>IF($A102&gt;LastT,0,J102*Policy_Sched!$C102*Policy_Sched!$D102*C102)</f>
        <v>0</v>
      </c>
      <c r="L102" s="41">
        <f t="shared" si="41"/>
        <v>0</v>
      </c>
      <c r="M102" s="38">
        <f t="shared" si="42"/>
        <v>0</v>
      </c>
      <c r="N102" s="38">
        <f t="shared" si="43"/>
        <v>0</v>
      </c>
      <c r="O102" s="38">
        <f t="shared" si="44"/>
        <v>0</v>
      </c>
      <c r="P102" s="38">
        <f>Policy_Sched!$I102*(L102+I102)</f>
        <v>0</v>
      </c>
      <c r="Q102" s="42">
        <f t="shared" si="45"/>
        <v>0</v>
      </c>
      <c r="R102" s="38">
        <f t="shared" si="46"/>
        <v>0</v>
      </c>
      <c r="S102" s="38">
        <f t="shared" si="47"/>
        <v>0</v>
      </c>
      <c r="T102" s="38">
        <f>Policy_Sched!$J102*J102</f>
        <v>0</v>
      </c>
      <c r="U102" s="42">
        <f t="shared" si="48"/>
        <v>0</v>
      </c>
      <c r="V102" s="42">
        <f t="shared" si="49"/>
        <v>0</v>
      </c>
      <c r="W102" s="38">
        <f>IF($A102&gt;LastT,0,N102+W103/(1+Policy_Sched!$K102))</f>
        <v>0</v>
      </c>
      <c r="X102" s="38">
        <f>IF($A102&gt;LastT,0,(-Q102+X103)/(1+Policy_Sched!$K102))</f>
        <v>0</v>
      </c>
      <c r="Y102" s="38">
        <f>IF($A102&gt;LastT,0,-V102+Y103/(1+Policy_Sched!$K102))</f>
        <v>0</v>
      </c>
      <c r="Z102" s="42">
        <f t="shared" si="50"/>
        <v>0</v>
      </c>
      <c r="AA102" s="38">
        <f>IF($A102&gt;LastT,0,N102-V102-Q102/(1+Policy_Sched!$K102)+Z103/(1+Policy_Sched!$K102))</f>
        <v>0</v>
      </c>
    </row>
    <row r="103" spans="1:27" x14ac:dyDescent="0.2">
      <c r="A103" s="30">
        <f t="shared" si="51"/>
        <v>96</v>
      </c>
      <c r="B103" s="31">
        <f t="shared" si="52"/>
        <v>0</v>
      </c>
      <c r="C103" s="31">
        <f>IF($A103&gt;LastT,0,IF(AND($D$3&lt;&gt;0,$A103&gt;=T0,Policy_Sched!$B103&lt;LastAge),1+$D$3*$E$3,1))</f>
        <v>0</v>
      </c>
      <c r="D103" s="36">
        <f>IF($A103&gt;LastT,0,IF($C$3="up",MIN(Policy_Sched!$E103*(1+IF($A103&gt;=T0,$E$3,0)),$F$3),IF($C$3="down",MAX(Policy_Sched!$E103*(1-IF($A103&gt;=T0,$E$3,0)),Policy_Sched!$E103-$F$3),Policy_Sched!$E103)))</f>
        <v>0</v>
      </c>
      <c r="E103" s="37">
        <f t="shared" si="53"/>
        <v>0</v>
      </c>
      <c r="F103" s="37">
        <f t="shared" ref="F103:F110" si="54">IF($A103&gt;LastT,0,IF($A103=PolicyTerm,E103,0))</f>
        <v>0</v>
      </c>
      <c r="G103" s="37">
        <f t="shared" ref="G103:G110" si="55">IF($A103&gt;LastT,0,E103-F103)</f>
        <v>0</v>
      </c>
      <c r="H103" s="37">
        <f t="shared" ref="H103:H110" si="56">IF($A103=0,PolicyCount,0)</f>
        <v>0</v>
      </c>
      <c r="I103" s="37">
        <f t="shared" ref="I103:I110" si="57">IF($A103&gt;LastT,0,IF(AND($C$3="mass",$A103=T0),(G103+H103)*$E$3,0))</f>
        <v>0</v>
      </c>
      <c r="J103" s="37">
        <f t="shared" ref="J103:J110" si="58">IF($A103&gt;LastT,0,G103+H103-I103)</f>
        <v>0</v>
      </c>
      <c r="K103" s="37">
        <f>IF($A103&gt;LastT,0,J103*Policy_Sched!$C103*Policy_Sched!$D103*C103)</f>
        <v>0</v>
      </c>
      <c r="L103" s="41">
        <f t="shared" ref="L103:L110" si="59">J103*D103</f>
        <v>0</v>
      </c>
      <c r="M103" s="38">
        <f t="shared" ref="M103:M110" si="60">IF($A103&gt;LastT,0,(SizeAnnPrem*ExpsMaintAnnPrem+(SumAssured*ExpsMaintSA+ExpsMaintPol)*B103)*(1+IF($B$3="exps",$E$3,0)))</f>
        <v>0</v>
      </c>
      <c r="N103" s="38">
        <f t="shared" ref="N103:N110" si="61">SizePremium*J103</f>
        <v>0</v>
      </c>
      <c r="O103" s="38">
        <f t="shared" ref="O103:O110" si="62">SumAssured*K103</f>
        <v>0</v>
      </c>
      <c r="P103" s="38">
        <f>Policy_Sched!$I103*(L103+I103)</f>
        <v>0</v>
      </c>
      <c r="Q103" s="42">
        <f t="shared" ref="Q103:Q110" si="63">O103+P103</f>
        <v>0</v>
      </c>
      <c r="R103" s="38">
        <f t="shared" ref="R103:R110" si="64">IF($A103=0,SizeExpsAcq0*H103,0)</f>
        <v>0</v>
      </c>
      <c r="S103" s="38">
        <f t="shared" ref="S103:S110" si="65">IF($A103=0,SizeExpsCommInit0*J103,0)</f>
        <v>0</v>
      </c>
      <c r="T103" s="38">
        <f>Policy_Sched!$J103*J103</f>
        <v>0</v>
      </c>
      <c r="U103" s="42">
        <f t="shared" ref="U103:U110" si="66">M103*J103</f>
        <v>0</v>
      </c>
      <c r="V103" s="42">
        <f t="shared" ref="V103:V110" si="67">S103+T103+R103+U103</f>
        <v>0</v>
      </c>
      <c r="W103" s="38">
        <f>IF($A103&gt;LastT,0,N103+W104/(1+Policy_Sched!$K103))</f>
        <v>0</v>
      </c>
      <c r="X103" s="38">
        <f>IF($A103&gt;LastT,0,(-Q103+X104)/(1+Policy_Sched!$K103))</f>
        <v>0</v>
      </c>
      <c r="Y103" s="38">
        <f>IF($A103&gt;LastT,0,-V103+Y104/(1+Policy_Sched!$K103))</f>
        <v>0</v>
      </c>
      <c r="Z103" s="42">
        <f t="shared" ref="Z103:Z110" si="68">W103+Y103+X103</f>
        <v>0</v>
      </c>
      <c r="AA103" s="38">
        <f>IF($A103&gt;LastT,0,N103-V103-Q103/(1+Policy_Sched!$K103)+Z104/(1+Policy_Sched!$K103))</f>
        <v>0</v>
      </c>
    </row>
    <row r="104" spans="1:27" x14ac:dyDescent="0.2">
      <c r="A104" s="30">
        <f t="shared" ref="A104:A110" si="69">A103+1</f>
        <v>97</v>
      </c>
      <c r="B104" s="31">
        <f t="shared" ref="B104:B110" si="70">IF($A104&gt;LastT,0,IF($B$3="exps",B103*(1+InflRate+IF($A104&gt;=T0,$G$3,0)),B103/(1+InflRate)))</f>
        <v>0</v>
      </c>
      <c r="C104" s="31">
        <f>IF($A104&gt;LastT,0,IF(AND($D$3&lt;&gt;0,$A104&gt;=T0,Policy_Sched!$B104&lt;LastAge),1+$D$3*$E$3,1))</f>
        <v>0</v>
      </c>
      <c r="D104" s="36">
        <f>IF($A104&gt;LastT,0,IF($C$3="up",MIN(Policy_Sched!$E104*(1+IF($A104&gt;=T0,$E$3,0)),$F$3),IF($C$3="down",MAX(Policy_Sched!$E104*(1-IF($A104&gt;=T0,$E$3,0)),Policy_Sched!$E104-$F$3),Policy_Sched!$E104)))</f>
        <v>0</v>
      </c>
      <c r="E104" s="37">
        <f t="shared" ref="E104:E110" si="71">IF($A104&gt;LastT,0,J103-K103-L103)</f>
        <v>0</v>
      </c>
      <c r="F104" s="37">
        <f t="shared" si="54"/>
        <v>0</v>
      </c>
      <c r="G104" s="37">
        <f t="shared" si="55"/>
        <v>0</v>
      </c>
      <c r="H104" s="37">
        <f t="shared" si="56"/>
        <v>0</v>
      </c>
      <c r="I104" s="37">
        <f t="shared" si="57"/>
        <v>0</v>
      </c>
      <c r="J104" s="37">
        <f t="shared" si="58"/>
        <v>0</v>
      </c>
      <c r="K104" s="37">
        <f>IF($A104&gt;LastT,0,J104*Policy_Sched!$C104*Policy_Sched!$D104*C104)</f>
        <v>0</v>
      </c>
      <c r="L104" s="41">
        <f t="shared" si="59"/>
        <v>0</v>
      </c>
      <c r="M104" s="38">
        <f t="shared" si="60"/>
        <v>0</v>
      </c>
      <c r="N104" s="38">
        <f t="shared" si="61"/>
        <v>0</v>
      </c>
      <c r="O104" s="38">
        <f t="shared" si="62"/>
        <v>0</v>
      </c>
      <c r="P104" s="38">
        <f>Policy_Sched!$I104*(L104+I104)</f>
        <v>0</v>
      </c>
      <c r="Q104" s="42">
        <f t="shared" si="63"/>
        <v>0</v>
      </c>
      <c r="R104" s="38">
        <f t="shared" si="64"/>
        <v>0</v>
      </c>
      <c r="S104" s="38">
        <f t="shared" si="65"/>
        <v>0</v>
      </c>
      <c r="T104" s="38">
        <f>Policy_Sched!$J104*J104</f>
        <v>0</v>
      </c>
      <c r="U104" s="42">
        <f t="shared" si="66"/>
        <v>0</v>
      </c>
      <c r="V104" s="42">
        <f t="shared" si="67"/>
        <v>0</v>
      </c>
      <c r="W104" s="38">
        <f>IF($A104&gt;LastT,0,N104+W105/(1+Policy_Sched!$K104))</f>
        <v>0</v>
      </c>
      <c r="X104" s="38">
        <f>IF($A104&gt;LastT,0,(-Q104+X105)/(1+Policy_Sched!$K104))</f>
        <v>0</v>
      </c>
      <c r="Y104" s="38">
        <f>IF($A104&gt;LastT,0,-V104+Y105/(1+Policy_Sched!$K104))</f>
        <v>0</v>
      </c>
      <c r="Z104" s="42">
        <f t="shared" si="68"/>
        <v>0</v>
      </c>
      <c r="AA104" s="38">
        <f>IF($A104&gt;LastT,0,N104-V104-Q104/(1+Policy_Sched!$K104)+Z105/(1+Policy_Sched!$K104))</f>
        <v>0</v>
      </c>
    </row>
    <row r="105" spans="1:27" x14ac:dyDescent="0.2">
      <c r="A105" s="30">
        <f t="shared" si="69"/>
        <v>98</v>
      </c>
      <c r="B105" s="31">
        <f t="shared" si="70"/>
        <v>0</v>
      </c>
      <c r="C105" s="31">
        <f>IF($A105&gt;LastT,0,IF(AND($D$3&lt;&gt;0,$A105&gt;=T0,Policy_Sched!$B105&lt;LastAge),1+$D$3*$E$3,1))</f>
        <v>0</v>
      </c>
      <c r="D105" s="36">
        <f>IF($A105&gt;LastT,0,IF($C$3="up",MIN(Policy_Sched!$E105*(1+IF($A105&gt;=T0,$E$3,0)),$F$3),IF($C$3="down",MAX(Policy_Sched!$E105*(1-IF($A105&gt;=T0,$E$3,0)),Policy_Sched!$E105-$F$3),Policy_Sched!$E105)))</f>
        <v>0</v>
      </c>
      <c r="E105" s="37">
        <f t="shared" si="71"/>
        <v>0</v>
      </c>
      <c r="F105" s="37">
        <f t="shared" si="54"/>
        <v>0</v>
      </c>
      <c r="G105" s="37">
        <f t="shared" si="55"/>
        <v>0</v>
      </c>
      <c r="H105" s="37">
        <f t="shared" si="56"/>
        <v>0</v>
      </c>
      <c r="I105" s="37">
        <f t="shared" si="57"/>
        <v>0</v>
      </c>
      <c r="J105" s="37">
        <f t="shared" si="58"/>
        <v>0</v>
      </c>
      <c r="K105" s="37">
        <f>IF($A105&gt;LastT,0,J105*Policy_Sched!$C105*Policy_Sched!$D105*C105)</f>
        <v>0</v>
      </c>
      <c r="L105" s="41">
        <f t="shared" si="59"/>
        <v>0</v>
      </c>
      <c r="M105" s="38">
        <f t="shared" si="60"/>
        <v>0</v>
      </c>
      <c r="N105" s="38">
        <f t="shared" si="61"/>
        <v>0</v>
      </c>
      <c r="O105" s="38">
        <f t="shared" si="62"/>
        <v>0</v>
      </c>
      <c r="P105" s="38">
        <f>Policy_Sched!$I105*(L105+I105)</f>
        <v>0</v>
      </c>
      <c r="Q105" s="42">
        <f t="shared" si="63"/>
        <v>0</v>
      </c>
      <c r="R105" s="38">
        <f t="shared" si="64"/>
        <v>0</v>
      </c>
      <c r="S105" s="38">
        <f t="shared" si="65"/>
        <v>0</v>
      </c>
      <c r="T105" s="38">
        <f>Policy_Sched!$J105*J105</f>
        <v>0</v>
      </c>
      <c r="U105" s="42">
        <f t="shared" si="66"/>
        <v>0</v>
      </c>
      <c r="V105" s="42">
        <f t="shared" si="67"/>
        <v>0</v>
      </c>
      <c r="W105" s="38">
        <f>IF($A105&gt;LastT,0,N105+W106/(1+Policy_Sched!$K105))</f>
        <v>0</v>
      </c>
      <c r="X105" s="38">
        <f>IF($A105&gt;LastT,0,(-Q105+X106)/(1+Policy_Sched!$K105))</f>
        <v>0</v>
      </c>
      <c r="Y105" s="38">
        <f>IF($A105&gt;LastT,0,-V105+Y106/(1+Policy_Sched!$K105))</f>
        <v>0</v>
      </c>
      <c r="Z105" s="42">
        <f t="shared" si="68"/>
        <v>0</v>
      </c>
      <c r="AA105" s="38">
        <f>IF($A105&gt;LastT,0,N105-V105-Q105/(1+Policy_Sched!$K105)+Z106/(1+Policy_Sched!$K105))</f>
        <v>0</v>
      </c>
    </row>
    <row r="106" spans="1:27" x14ac:dyDescent="0.2">
      <c r="A106" s="30">
        <f t="shared" si="69"/>
        <v>99</v>
      </c>
      <c r="B106" s="31">
        <f t="shared" si="70"/>
        <v>0</v>
      </c>
      <c r="C106" s="31">
        <f>IF($A106&gt;LastT,0,IF(AND($D$3&lt;&gt;0,$A106&gt;=T0,Policy_Sched!$B106&lt;LastAge),1+$D$3*$E$3,1))</f>
        <v>0</v>
      </c>
      <c r="D106" s="36">
        <f>IF($A106&gt;LastT,0,IF($C$3="up",MIN(Policy_Sched!$E106*(1+IF($A106&gt;=T0,$E$3,0)),$F$3),IF($C$3="down",MAX(Policy_Sched!$E106*(1-IF($A106&gt;=T0,$E$3,0)),Policy_Sched!$E106-$F$3),Policy_Sched!$E106)))</f>
        <v>0</v>
      </c>
      <c r="E106" s="37">
        <f t="shared" si="71"/>
        <v>0</v>
      </c>
      <c r="F106" s="37">
        <f t="shared" si="54"/>
        <v>0</v>
      </c>
      <c r="G106" s="37">
        <f t="shared" si="55"/>
        <v>0</v>
      </c>
      <c r="H106" s="37">
        <f t="shared" si="56"/>
        <v>0</v>
      </c>
      <c r="I106" s="37">
        <f t="shared" si="57"/>
        <v>0</v>
      </c>
      <c r="J106" s="37">
        <f t="shared" si="58"/>
        <v>0</v>
      </c>
      <c r="K106" s="37">
        <f>IF($A106&gt;LastT,0,J106*Policy_Sched!$C106*Policy_Sched!$D106*C106)</f>
        <v>0</v>
      </c>
      <c r="L106" s="41">
        <f t="shared" si="59"/>
        <v>0</v>
      </c>
      <c r="M106" s="38">
        <f t="shared" si="60"/>
        <v>0</v>
      </c>
      <c r="N106" s="38">
        <f t="shared" si="61"/>
        <v>0</v>
      </c>
      <c r="O106" s="38">
        <f t="shared" si="62"/>
        <v>0</v>
      </c>
      <c r="P106" s="38">
        <f>Policy_Sched!$I106*(L106+I106)</f>
        <v>0</v>
      </c>
      <c r="Q106" s="42">
        <f t="shared" si="63"/>
        <v>0</v>
      </c>
      <c r="R106" s="38">
        <f t="shared" si="64"/>
        <v>0</v>
      </c>
      <c r="S106" s="38">
        <f t="shared" si="65"/>
        <v>0</v>
      </c>
      <c r="T106" s="38">
        <f>Policy_Sched!$J106*J106</f>
        <v>0</v>
      </c>
      <c r="U106" s="42">
        <f t="shared" si="66"/>
        <v>0</v>
      </c>
      <c r="V106" s="42">
        <f t="shared" si="67"/>
        <v>0</v>
      </c>
      <c r="W106" s="38">
        <f>IF($A106&gt;LastT,0,N106+W107/(1+Policy_Sched!$K106))</f>
        <v>0</v>
      </c>
      <c r="X106" s="38">
        <f>IF($A106&gt;LastT,0,(-Q106+X107)/(1+Policy_Sched!$K106))</f>
        <v>0</v>
      </c>
      <c r="Y106" s="38">
        <f>IF($A106&gt;LastT,0,-V106+Y107/(1+Policy_Sched!$K106))</f>
        <v>0</v>
      </c>
      <c r="Z106" s="42">
        <f t="shared" si="68"/>
        <v>0</v>
      </c>
      <c r="AA106" s="38">
        <f>IF($A106&gt;LastT,0,N106-V106-Q106/(1+Policy_Sched!$K106)+Z107/(1+Policy_Sched!$K106))</f>
        <v>0</v>
      </c>
    </row>
    <row r="107" spans="1:27" x14ac:dyDescent="0.2">
      <c r="A107" s="30">
        <f t="shared" si="69"/>
        <v>100</v>
      </c>
      <c r="B107" s="31">
        <f t="shared" si="70"/>
        <v>0</v>
      </c>
      <c r="C107" s="31">
        <f>IF($A107&gt;LastT,0,IF(AND($D$3&lt;&gt;0,$A107&gt;=T0,Policy_Sched!$B107&lt;LastAge),1+$D$3*$E$3,1))</f>
        <v>0</v>
      </c>
      <c r="D107" s="36">
        <f>IF($A107&gt;LastT,0,IF($C$3="up",MIN(Policy_Sched!$E107*(1+IF($A107&gt;=T0,$E$3,0)),$F$3),IF($C$3="down",MAX(Policy_Sched!$E107*(1-IF($A107&gt;=T0,$E$3,0)),Policy_Sched!$E107-$F$3),Policy_Sched!$E107)))</f>
        <v>0</v>
      </c>
      <c r="E107" s="37">
        <f t="shared" si="71"/>
        <v>0</v>
      </c>
      <c r="F107" s="37">
        <f t="shared" si="54"/>
        <v>0</v>
      </c>
      <c r="G107" s="37">
        <f t="shared" si="55"/>
        <v>0</v>
      </c>
      <c r="H107" s="37">
        <f t="shared" si="56"/>
        <v>0</v>
      </c>
      <c r="I107" s="37">
        <f t="shared" si="57"/>
        <v>0</v>
      </c>
      <c r="J107" s="37">
        <f t="shared" si="58"/>
        <v>0</v>
      </c>
      <c r="K107" s="37">
        <f>IF($A107&gt;LastT,0,J107*Policy_Sched!$C107*Policy_Sched!$D107*C107)</f>
        <v>0</v>
      </c>
      <c r="L107" s="41">
        <f t="shared" si="59"/>
        <v>0</v>
      </c>
      <c r="M107" s="38">
        <f t="shared" si="60"/>
        <v>0</v>
      </c>
      <c r="N107" s="38">
        <f t="shared" si="61"/>
        <v>0</v>
      </c>
      <c r="O107" s="38">
        <f t="shared" si="62"/>
        <v>0</v>
      </c>
      <c r="P107" s="38">
        <f>Policy_Sched!$I107*(L107+I107)</f>
        <v>0</v>
      </c>
      <c r="Q107" s="42">
        <f t="shared" si="63"/>
        <v>0</v>
      </c>
      <c r="R107" s="38">
        <f t="shared" si="64"/>
        <v>0</v>
      </c>
      <c r="S107" s="38">
        <f t="shared" si="65"/>
        <v>0</v>
      </c>
      <c r="T107" s="38">
        <f>Policy_Sched!$J107*J107</f>
        <v>0</v>
      </c>
      <c r="U107" s="42">
        <f t="shared" si="66"/>
        <v>0</v>
      </c>
      <c r="V107" s="42">
        <f t="shared" si="67"/>
        <v>0</v>
      </c>
      <c r="W107" s="38">
        <f>IF($A107&gt;LastT,0,N107+W108/(1+Policy_Sched!$K107))</f>
        <v>0</v>
      </c>
      <c r="X107" s="38">
        <f>IF($A107&gt;LastT,0,(-Q107+X108)/(1+Policy_Sched!$K107))</f>
        <v>0</v>
      </c>
      <c r="Y107" s="38">
        <f>IF($A107&gt;LastT,0,-V107+Y108/(1+Policy_Sched!$K107))</f>
        <v>0</v>
      </c>
      <c r="Z107" s="42">
        <f t="shared" si="68"/>
        <v>0</v>
      </c>
      <c r="AA107" s="38">
        <f>IF($A107&gt;LastT,0,N107-V107-Q107/(1+Policy_Sched!$K107)+Z108/(1+Policy_Sched!$K107))</f>
        <v>0</v>
      </c>
    </row>
    <row r="108" spans="1:27" x14ac:dyDescent="0.2">
      <c r="A108" s="30">
        <f t="shared" si="69"/>
        <v>101</v>
      </c>
      <c r="B108" s="31">
        <f t="shared" si="70"/>
        <v>0</v>
      </c>
      <c r="C108" s="31">
        <f>IF($A108&gt;LastT,0,IF(AND($D$3&lt;&gt;0,$A108&gt;=T0,Policy_Sched!$B108&lt;LastAge),1+$D$3*$E$3,1))</f>
        <v>0</v>
      </c>
      <c r="D108" s="36">
        <f>IF($A108&gt;LastT,0,IF($C$3="up",MIN(Policy_Sched!$E108*(1+IF($A108&gt;=T0,$E$3,0)),$F$3),IF($C$3="down",MAX(Policy_Sched!$E108*(1-IF($A108&gt;=T0,$E$3,0)),Policy_Sched!$E108-$F$3),Policy_Sched!$E108)))</f>
        <v>0</v>
      </c>
      <c r="E108" s="37">
        <f t="shared" si="71"/>
        <v>0</v>
      </c>
      <c r="F108" s="37">
        <f t="shared" si="54"/>
        <v>0</v>
      </c>
      <c r="G108" s="37">
        <f t="shared" si="55"/>
        <v>0</v>
      </c>
      <c r="H108" s="37">
        <f t="shared" si="56"/>
        <v>0</v>
      </c>
      <c r="I108" s="37">
        <f t="shared" si="57"/>
        <v>0</v>
      </c>
      <c r="J108" s="37">
        <f t="shared" si="58"/>
        <v>0</v>
      </c>
      <c r="K108" s="37">
        <f>IF($A108&gt;LastT,0,J108*Policy_Sched!$C108*Policy_Sched!$D108*C108)</f>
        <v>0</v>
      </c>
      <c r="L108" s="41">
        <f t="shared" si="59"/>
        <v>0</v>
      </c>
      <c r="M108" s="38">
        <f t="shared" si="60"/>
        <v>0</v>
      </c>
      <c r="N108" s="38">
        <f t="shared" si="61"/>
        <v>0</v>
      </c>
      <c r="O108" s="38">
        <f t="shared" si="62"/>
        <v>0</v>
      </c>
      <c r="P108" s="38">
        <f>Policy_Sched!$I108*(L108+I108)</f>
        <v>0</v>
      </c>
      <c r="Q108" s="42">
        <f t="shared" si="63"/>
        <v>0</v>
      </c>
      <c r="R108" s="38">
        <f t="shared" si="64"/>
        <v>0</v>
      </c>
      <c r="S108" s="38">
        <f t="shared" si="65"/>
        <v>0</v>
      </c>
      <c r="T108" s="38">
        <f>Policy_Sched!$J108*J108</f>
        <v>0</v>
      </c>
      <c r="U108" s="42">
        <f t="shared" si="66"/>
        <v>0</v>
      </c>
      <c r="V108" s="42">
        <f t="shared" si="67"/>
        <v>0</v>
      </c>
      <c r="W108" s="38">
        <f>IF($A108&gt;LastT,0,N108+W109/(1+Policy_Sched!$K108))</f>
        <v>0</v>
      </c>
      <c r="X108" s="38">
        <f>IF($A108&gt;LastT,0,(-Q108+X109)/(1+Policy_Sched!$K108))</f>
        <v>0</v>
      </c>
      <c r="Y108" s="38">
        <f>IF($A108&gt;LastT,0,-V108+Y109/(1+Policy_Sched!$K108))</f>
        <v>0</v>
      </c>
      <c r="Z108" s="42">
        <f t="shared" si="68"/>
        <v>0</v>
      </c>
      <c r="AA108" s="38">
        <f>IF($A108&gt;LastT,0,N108-V108-Q108/(1+Policy_Sched!$K108)+Z109/(1+Policy_Sched!$K108))</f>
        <v>0</v>
      </c>
    </row>
    <row r="109" spans="1:27" x14ac:dyDescent="0.2">
      <c r="A109" s="30">
        <f t="shared" si="69"/>
        <v>102</v>
      </c>
      <c r="B109" s="31">
        <f t="shared" si="70"/>
        <v>0</v>
      </c>
      <c r="C109" s="31">
        <f>IF($A109&gt;LastT,0,IF(AND($D$3&lt;&gt;0,$A109&gt;=T0,Policy_Sched!$B109&lt;LastAge),1+$D$3*$E$3,1))</f>
        <v>0</v>
      </c>
      <c r="D109" s="36">
        <f>IF($A109&gt;LastT,0,IF($C$3="up",MIN(Policy_Sched!$E109*(1+IF($A109&gt;=T0,$E$3,0)),$F$3),IF($C$3="down",MAX(Policy_Sched!$E109*(1-IF($A109&gt;=T0,$E$3,0)),Policy_Sched!$E109-$F$3),Policy_Sched!$E109)))</f>
        <v>0</v>
      </c>
      <c r="E109" s="37">
        <f t="shared" si="71"/>
        <v>0</v>
      </c>
      <c r="F109" s="37">
        <f t="shared" si="54"/>
        <v>0</v>
      </c>
      <c r="G109" s="37">
        <f t="shared" si="55"/>
        <v>0</v>
      </c>
      <c r="H109" s="37">
        <f t="shared" si="56"/>
        <v>0</v>
      </c>
      <c r="I109" s="37">
        <f t="shared" si="57"/>
        <v>0</v>
      </c>
      <c r="J109" s="37">
        <f t="shared" si="58"/>
        <v>0</v>
      </c>
      <c r="K109" s="37">
        <f>IF($A109&gt;LastT,0,J109*Policy_Sched!$C109*Policy_Sched!$D109*C109)</f>
        <v>0</v>
      </c>
      <c r="L109" s="41">
        <f t="shared" si="59"/>
        <v>0</v>
      </c>
      <c r="M109" s="38">
        <f t="shared" si="60"/>
        <v>0</v>
      </c>
      <c r="N109" s="38">
        <f t="shared" si="61"/>
        <v>0</v>
      </c>
      <c r="O109" s="38">
        <f t="shared" si="62"/>
        <v>0</v>
      </c>
      <c r="P109" s="38">
        <f>Policy_Sched!$I109*(L109+I109)</f>
        <v>0</v>
      </c>
      <c r="Q109" s="42">
        <f t="shared" si="63"/>
        <v>0</v>
      </c>
      <c r="R109" s="38">
        <f t="shared" si="64"/>
        <v>0</v>
      </c>
      <c r="S109" s="38">
        <f t="shared" si="65"/>
        <v>0</v>
      </c>
      <c r="T109" s="38">
        <f>Policy_Sched!$J109*J109</f>
        <v>0</v>
      </c>
      <c r="U109" s="42">
        <f t="shared" si="66"/>
        <v>0</v>
      </c>
      <c r="V109" s="42">
        <f t="shared" si="67"/>
        <v>0</v>
      </c>
      <c r="W109" s="38">
        <f>IF($A109&gt;LastT,0,N109+W110/(1+Policy_Sched!$K109))</f>
        <v>0</v>
      </c>
      <c r="X109" s="38">
        <f>IF($A109&gt;LastT,0,(-Q109+X110)/(1+Policy_Sched!$K109))</f>
        <v>0</v>
      </c>
      <c r="Y109" s="38">
        <f>IF($A109&gt;LastT,0,-V109+Y110/(1+Policy_Sched!$K109))</f>
        <v>0</v>
      </c>
      <c r="Z109" s="42">
        <f t="shared" si="68"/>
        <v>0</v>
      </c>
      <c r="AA109" s="38">
        <f>IF($A109&gt;LastT,0,N109-V109-Q109/(1+Policy_Sched!$K109)+Z110/(1+Policy_Sched!$K109))</f>
        <v>0</v>
      </c>
    </row>
    <row r="110" spans="1:27" x14ac:dyDescent="0.2">
      <c r="A110" s="30">
        <f t="shared" si="69"/>
        <v>103</v>
      </c>
      <c r="B110" s="31">
        <f t="shared" si="70"/>
        <v>0</v>
      </c>
      <c r="C110" s="31">
        <f>IF($A110&gt;LastT,0,IF(AND($D$3&lt;&gt;0,$A110&gt;=T0,Policy_Sched!$B110&lt;LastAge),1+$D$3*$E$3,1))</f>
        <v>0</v>
      </c>
      <c r="D110" s="36">
        <f>IF($A110&gt;LastT,0,IF($C$3="up",MIN(Policy_Sched!$E110*(1+IF($A110&gt;=T0,$E$3,0)),$F$3),IF($C$3="down",MAX(Policy_Sched!$E110*(1-IF($A110&gt;=T0,$E$3,0)),Policy_Sched!$E110-$F$3),Policy_Sched!$E110)))</f>
        <v>0</v>
      </c>
      <c r="E110" s="37">
        <f t="shared" si="71"/>
        <v>0</v>
      </c>
      <c r="F110" s="37">
        <f t="shared" si="54"/>
        <v>0</v>
      </c>
      <c r="G110" s="37">
        <f t="shared" si="55"/>
        <v>0</v>
      </c>
      <c r="H110" s="37">
        <f t="shared" si="56"/>
        <v>0</v>
      </c>
      <c r="I110" s="37">
        <f t="shared" si="57"/>
        <v>0</v>
      </c>
      <c r="J110" s="37">
        <f t="shared" si="58"/>
        <v>0</v>
      </c>
      <c r="K110" s="37">
        <f>IF($A110&gt;LastT,0,J110*Policy_Sched!$C110*Policy_Sched!$D110*C110)</f>
        <v>0</v>
      </c>
      <c r="L110" s="41">
        <f t="shared" si="59"/>
        <v>0</v>
      </c>
      <c r="M110" s="38">
        <f t="shared" si="60"/>
        <v>0</v>
      </c>
      <c r="N110" s="38">
        <f t="shared" si="61"/>
        <v>0</v>
      </c>
      <c r="O110" s="38">
        <f t="shared" si="62"/>
        <v>0</v>
      </c>
      <c r="P110" s="38">
        <f>Policy_Sched!$I110*(L110+I110)</f>
        <v>0</v>
      </c>
      <c r="Q110" s="42">
        <f t="shared" si="63"/>
        <v>0</v>
      </c>
      <c r="R110" s="38">
        <f t="shared" si="64"/>
        <v>0</v>
      </c>
      <c r="S110" s="38">
        <f t="shared" si="65"/>
        <v>0</v>
      </c>
      <c r="T110" s="38">
        <f>Policy_Sched!$J110*J110</f>
        <v>0</v>
      </c>
      <c r="U110" s="42">
        <f t="shared" si="66"/>
        <v>0</v>
      </c>
      <c r="V110" s="42">
        <f t="shared" si="67"/>
        <v>0</v>
      </c>
      <c r="W110" s="38">
        <f>IF($A110&gt;LastT,0,N110+W111/(1+Policy_Sched!$K110))</f>
        <v>0</v>
      </c>
      <c r="X110" s="38">
        <f>IF($A110&gt;LastT,0,(-Q110+X111)/(1+Policy_Sched!$K110))</f>
        <v>0</v>
      </c>
      <c r="Y110" s="38">
        <f>IF($A110&gt;LastT,0,-V110+Y111/(1+Policy_Sched!$K110))</f>
        <v>0</v>
      </c>
      <c r="Z110" s="42">
        <f t="shared" si="68"/>
        <v>0</v>
      </c>
      <c r="AA110" s="38">
        <f>IF($A110&gt;LastT,0,N110-V110-Q110/(1+Policy_Sched!$K110)+Z111/(1+Policy_Sched!$K110))</f>
        <v>0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AA110"/>
  <sheetViews>
    <sheetView workbookViewId="0">
      <pane xSplit="1" ySplit="6" topLeftCell="B7" activePane="bottomRight" state="frozen"/>
      <selection pane="topRight"/>
      <selection pane="bottomLeft"/>
      <selection pane="bottomRight"/>
    </sheetView>
  </sheetViews>
  <sheetFormatPr baseColWidth="10" defaultColWidth="8.83203125" defaultRowHeight="15" x14ac:dyDescent="0.2"/>
  <cols>
    <col min="1" max="1" width="5" customWidth="1"/>
    <col min="2" max="2" width="10" customWidth="1"/>
    <col min="3" max="5" width="11" customWidth="1"/>
    <col min="6" max="6" width="10" customWidth="1"/>
    <col min="7" max="7" width="11" customWidth="1"/>
    <col min="8" max="9" width="10" customWidth="1"/>
    <col min="10" max="13" width="11" customWidth="1"/>
    <col min="14" max="17" width="12" customWidth="1"/>
    <col min="18" max="21" width="11" customWidth="1"/>
    <col min="22" max="22" width="12" customWidth="1"/>
    <col min="23" max="27" width="13" customWidth="1"/>
  </cols>
  <sheetData>
    <row r="1" spans="1:27" x14ac:dyDescent="0.2">
      <c r="A1" s="3" t="s">
        <v>397</v>
      </c>
    </row>
    <row r="2" spans="1:27" x14ac:dyDescent="0.2">
      <c r="B2" s="39" t="s">
        <v>334</v>
      </c>
      <c r="C2" s="39" t="s">
        <v>335</v>
      </c>
      <c r="D2" s="39" t="s">
        <v>336</v>
      </c>
      <c r="E2" s="39" t="s">
        <v>337</v>
      </c>
      <c r="F2" s="39" t="s">
        <v>338</v>
      </c>
      <c r="G2" s="39" t="s">
        <v>339</v>
      </c>
    </row>
    <row r="3" spans="1:27" x14ac:dyDescent="0.2">
      <c r="B3" s="7" t="s">
        <v>398</v>
      </c>
      <c r="C3" s="7"/>
      <c r="D3" s="7">
        <v>0</v>
      </c>
      <c r="E3" s="34">
        <f>IFERROR(INDEX(FactorVals,MATCH($B$3&amp;"|"&amp;$C$3&amp;"||",FactorKeys,0)),0)</f>
        <v>0.1</v>
      </c>
      <c r="F3" s="34">
        <f>IFERROR(INDEX(FactorVals,MATCH($B$3&amp;"|"&amp;$C$3&amp;"||limit",FactorKeys,0)),0)</f>
        <v>0</v>
      </c>
      <c r="G3" s="34">
        <f>IFERROR(INDEX(FactorVals,MATCH($B$3&amp;"|||inflation",FactorKeys,0)),0)</f>
        <v>0.01</v>
      </c>
    </row>
    <row r="4" spans="1:27" x14ac:dyDescent="0.2">
      <c r="B4" s="14" t="s">
        <v>334</v>
      </c>
      <c r="C4" s="14" t="s">
        <v>335</v>
      </c>
      <c r="E4" s="14" t="s">
        <v>341</v>
      </c>
    </row>
    <row r="5" spans="1:27" x14ac:dyDescent="0.2">
      <c r="A5" s="10" t="s">
        <v>185</v>
      </c>
      <c r="B5" s="10" t="s">
        <v>342</v>
      </c>
      <c r="C5" s="10" t="s">
        <v>343</v>
      </c>
      <c r="D5" s="10" t="s">
        <v>344</v>
      </c>
      <c r="E5" s="10" t="s">
        <v>345</v>
      </c>
      <c r="F5" s="10" t="s">
        <v>346</v>
      </c>
      <c r="G5" s="10" t="s">
        <v>347</v>
      </c>
      <c r="H5" s="10" t="s">
        <v>348</v>
      </c>
      <c r="I5" s="10" t="s">
        <v>349</v>
      </c>
      <c r="J5" s="10" t="s">
        <v>350</v>
      </c>
      <c r="K5" s="10" t="s">
        <v>351</v>
      </c>
      <c r="L5" s="10" t="s">
        <v>352</v>
      </c>
      <c r="M5" s="10" t="s">
        <v>353</v>
      </c>
      <c r="N5" s="10" t="s">
        <v>354</v>
      </c>
      <c r="O5" s="10" t="s">
        <v>355</v>
      </c>
      <c r="P5" s="10" t="s">
        <v>356</v>
      </c>
      <c r="Q5" s="10" t="s">
        <v>357</v>
      </c>
      <c r="R5" s="10" t="s">
        <v>358</v>
      </c>
      <c r="S5" s="10" t="s">
        <v>359</v>
      </c>
      <c r="T5" s="10" t="s">
        <v>360</v>
      </c>
      <c r="U5" s="10" t="s">
        <v>361</v>
      </c>
      <c r="V5" s="10" t="s">
        <v>362</v>
      </c>
      <c r="W5" s="10" t="s">
        <v>363</v>
      </c>
      <c r="X5" s="10" t="s">
        <v>364</v>
      </c>
      <c r="Y5" s="10" t="s">
        <v>365</v>
      </c>
      <c r="Z5" s="10" t="s">
        <v>366</v>
      </c>
      <c r="AA5" s="10" t="s">
        <v>367</v>
      </c>
    </row>
    <row r="6" spans="1:27" x14ac:dyDescent="0.2">
      <c r="A6" s="14" t="s">
        <v>185</v>
      </c>
      <c r="B6" s="14" t="s">
        <v>368</v>
      </c>
      <c r="C6" s="14" t="s">
        <v>369</v>
      </c>
      <c r="D6" s="14" t="s">
        <v>327</v>
      </c>
      <c r="E6" s="14" t="s">
        <v>370</v>
      </c>
      <c r="F6" s="14" t="s">
        <v>371</v>
      </c>
      <c r="G6" s="14" t="s">
        <v>372</v>
      </c>
      <c r="H6" s="14" t="s">
        <v>373</v>
      </c>
      <c r="I6" s="14" t="s">
        <v>374</v>
      </c>
      <c r="J6" s="14" t="s">
        <v>375</v>
      </c>
      <c r="K6" s="14" t="s">
        <v>376</v>
      </c>
      <c r="L6" s="14" t="s">
        <v>377</v>
      </c>
      <c r="M6" s="14" t="s">
        <v>378</v>
      </c>
      <c r="N6" s="14" t="s">
        <v>379</v>
      </c>
      <c r="O6" s="14" t="s">
        <v>380</v>
      </c>
      <c r="P6" s="14" t="s">
        <v>381</v>
      </c>
      <c r="Q6" s="14" t="s">
        <v>382</v>
      </c>
      <c r="R6" s="14" t="s">
        <v>383</v>
      </c>
      <c r="S6" s="14" t="s">
        <v>384</v>
      </c>
      <c r="T6" s="14" t="s">
        <v>385</v>
      </c>
      <c r="U6" s="14" t="s">
        <v>386</v>
      </c>
      <c r="V6" s="14" t="s">
        <v>387</v>
      </c>
      <c r="W6" s="14" t="s">
        <v>388</v>
      </c>
      <c r="X6" s="14" t="s">
        <v>389</v>
      </c>
      <c r="Y6" s="14" t="s">
        <v>390</v>
      </c>
      <c r="Z6" s="14" t="s">
        <v>391</v>
      </c>
      <c r="AA6" s="14" t="s">
        <v>392</v>
      </c>
    </row>
    <row r="7" spans="1:27" x14ac:dyDescent="0.2">
      <c r="A7" s="30">
        <v>0</v>
      </c>
      <c r="B7" s="40">
        <f>1</f>
        <v>1</v>
      </c>
      <c r="C7" s="31">
        <f>IF($A7&gt;LastT,0,IF(AND($D$3&lt;&gt;0,$A7&gt;=T0,Policy_Sched!$B7&lt;LastAge),1+$D$3*$E$3,1))</f>
        <v>1</v>
      </c>
      <c r="D7" s="36">
        <f>IF($A7&gt;LastT,0,IF($C$3="up",MIN(Policy_Sched!$E7*(1+IF($A7&gt;=T0,$E$3,0)),$F$3),IF($C$3="down",MAX(Policy_Sched!$E7*(1-IF($A7&gt;=T0,$E$3,0)),Policy_Sched!$E7-$F$3),Policy_Sched!$E7)))</f>
        <v>0.08</v>
      </c>
      <c r="E7" s="41">
        <f>0</f>
        <v>0</v>
      </c>
      <c r="F7" s="37">
        <f t="shared" ref="F7:F38" si="0">IF($A7&gt;LastT,0,IF($A7=PolicyTerm,E7,0))</f>
        <v>0</v>
      </c>
      <c r="G7" s="37">
        <f t="shared" ref="G7:G38" si="1">IF($A7&gt;LastT,0,E7-F7)</f>
        <v>0</v>
      </c>
      <c r="H7" s="37">
        <f t="shared" ref="H7:H38" si="2">IF($A7=0,PolicyCount,0)</f>
        <v>1</v>
      </c>
      <c r="I7" s="37">
        <f t="shared" ref="I7:I38" si="3">IF($A7&gt;LastT,0,IF(AND($C$3="mass",$A7=T0),(G7+H7)*$E$3,0))</f>
        <v>0</v>
      </c>
      <c r="J7" s="37">
        <f t="shared" ref="J7:J38" si="4">IF($A7&gt;LastT,0,G7+H7-I7)</f>
        <v>1</v>
      </c>
      <c r="K7" s="37">
        <f>IF($A7&gt;LastT,0,J7*Policy_Sched!$C7*Policy_Sched!$D7*C7)</f>
        <v>5.3899999999999998E-4</v>
      </c>
      <c r="L7" s="41">
        <f t="shared" ref="L7:L38" si="5">J7*D7</f>
        <v>0.08</v>
      </c>
      <c r="M7" s="38">
        <f t="shared" ref="M7:M38" si="6">IF($A7&gt;LastT,0,(SizeAnnPrem*ExpsMaintAnnPrem+(SumAssured*ExpsMaintSA+ExpsMaintPol)*B7)*(1+IF($B$3="exps",$E$3,0)))</f>
        <v>1139.3158690027565</v>
      </c>
      <c r="N7" s="38">
        <f t="shared" ref="N7:N38" si="7">SizePremium*J7</f>
        <v>3574.1699093414809</v>
      </c>
      <c r="O7" s="38">
        <f t="shared" ref="O7:O38" si="8">SumAssured*K7</f>
        <v>539</v>
      </c>
      <c r="P7" s="38">
        <f>Policy_Sched!$I7*(L7+I7)</f>
        <v>17.898776561204809</v>
      </c>
      <c r="Q7" s="42">
        <f t="shared" ref="Q7:Q38" si="9">O7+P7</f>
        <v>556.89877656120484</v>
      </c>
      <c r="R7" s="38">
        <f t="shared" ref="R7:R38" si="10">IF($A7=0,SizeExpsAcq0*H7,0)</f>
        <v>3357.4169909341481</v>
      </c>
      <c r="S7" s="38">
        <f t="shared" ref="S7:S38" si="11">IF($A7=0,SizeExpsCommInit0*J7,0)</f>
        <v>714.83398186829618</v>
      </c>
      <c r="T7" s="38">
        <f>Policy_Sched!$J7*J7</f>
        <v>0</v>
      </c>
      <c r="U7" s="42">
        <f t="shared" ref="U7:U38" si="12">M7*J7</f>
        <v>1139.3158690027565</v>
      </c>
      <c r="V7" s="42">
        <f t="shared" ref="V7:V38" si="13">S7+T7+R7+U7</f>
        <v>5211.566841805201</v>
      </c>
      <c r="W7" s="38">
        <f>IF($A7&gt;LastT,0,N7+W8/(1+Policy_Sched!$K7))</f>
        <v>29328.122842484918</v>
      </c>
      <c r="X7" s="38">
        <f>IF($A7&gt;LastT,0,(-Q7+X8)/(1+Policy_Sched!$K7))</f>
        <v>-7241.3233650783741</v>
      </c>
      <c r="Y7" s="38">
        <f>IF($A7&gt;LastT,0,-V7+Y8/(1+Policy_Sched!$K7))</f>
        <v>-14471.334654739061</v>
      </c>
      <c r="Z7" s="42">
        <f t="shared" ref="Z7:Z38" si="14">W7+Y7+X7</f>
        <v>7615.4648226674826</v>
      </c>
      <c r="AA7" s="38">
        <f>IF($A7&gt;LastT,0,N7-V7-Q7/(1+Policy_Sched!$K7)+Z8/(1+Policy_Sched!$K7))</f>
        <v>7615.4648226674872</v>
      </c>
    </row>
    <row r="8" spans="1:27" x14ac:dyDescent="0.2">
      <c r="A8" s="30">
        <f t="shared" ref="A8:A39" si="15">A7+1</f>
        <v>1</v>
      </c>
      <c r="B8" s="31">
        <f t="shared" ref="B8:B39" si="16">IF($A8&gt;LastT,0,IF($B$3="exps",B7*(1+InflRate+IF($A8&gt;=T0,$G$3,0)),B7/(1+InflRate)))</f>
        <v>1.01</v>
      </c>
      <c r="C8" s="31">
        <f>IF($A8&gt;LastT,0,IF(AND($D$3&lt;&gt;0,$A8&gt;=T0,Policy_Sched!$B8&lt;LastAge),1+$D$3*$E$3,1))</f>
        <v>1</v>
      </c>
      <c r="D8" s="36">
        <f>IF($A8&gt;LastT,0,IF($C$3="up",MIN(Policy_Sched!$E8*(1+IF($A8&gt;=T0,$E$3,0)),$F$3),IF($C$3="down",MAX(Policy_Sched!$E8*(1-IF($A8&gt;=T0,$E$3,0)),Policy_Sched!$E8-$F$3),Policy_Sched!$E8)))</f>
        <v>0.08</v>
      </c>
      <c r="E8" s="37">
        <f t="shared" ref="E8:E39" si="17">IF($A8&gt;LastT,0,J7-K7-L7)</f>
        <v>0.91946100000000008</v>
      </c>
      <c r="F8" s="37">
        <f t="shared" si="0"/>
        <v>0</v>
      </c>
      <c r="G8" s="37">
        <f t="shared" si="1"/>
        <v>0.91946100000000008</v>
      </c>
      <c r="H8" s="37">
        <f t="shared" si="2"/>
        <v>0</v>
      </c>
      <c r="I8" s="37">
        <f t="shared" si="3"/>
        <v>0</v>
      </c>
      <c r="J8" s="37">
        <f t="shared" si="4"/>
        <v>0.91946100000000008</v>
      </c>
      <c r="K8" s="37">
        <f>IF($A8&gt;LastT,0,J8*Policy_Sched!$C8*Policy_Sched!$D8*C8)</f>
        <v>5.2777061399999993E-4</v>
      </c>
      <c r="L8" s="41">
        <f t="shared" si="5"/>
        <v>7.3556880000000005E-2</v>
      </c>
      <c r="M8" s="38">
        <f t="shared" si="6"/>
        <v>1150.3158690027565</v>
      </c>
      <c r="N8" s="38">
        <f t="shared" si="7"/>
        <v>3286.3098390130276</v>
      </c>
      <c r="O8" s="38">
        <f t="shared" si="8"/>
        <v>527.77061399999991</v>
      </c>
      <c r="P8" s="38">
        <f>Policy_Sched!$I8*(L8+I8)</f>
        <v>48.012298893801123</v>
      </c>
      <c r="Q8" s="42">
        <f t="shared" si="9"/>
        <v>575.78291289380104</v>
      </c>
      <c r="R8" s="38">
        <f t="shared" si="10"/>
        <v>0</v>
      </c>
      <c r="S8" s="38">
        <f t="shared" si="11"/>
        <v>0</v>
      </c>
      <c r="T8" s="38">
        <f>Policy_Sched!$J8*J8</f>
        <v>164.31549195065139</v>
      </c>
      <c r="U8" s="42">
        <f t="shared" si="12"/>
        <v>1057.6705792291436</v>
      </c>
      <c r="V8" s="42">
        <f t="shared" si="13"/>
        <v>1221.9860711797951</v>
      </c>
      <c r="W8" s="38">
        <f>IF($A8&gt;LastT,0,N8+W9/(1+Policy_Sched!$K8))</f>
        <v>26140.262227140589</v>
      </c>
      <c r="X8" s="38">
        <f>IF($A8&gt;LastT,0,(-Q8+X9)/(1+Policy_Sched!$K8))</f>
        <v>-6793.0444389933446</v>
      </c>
      <c r="Y8" s="38">
        <f>IF($A8&gt;LastT,0,-V8+Y9/(1+Policy_Sched!$K8))</f>
        <v>-9398.6643301278673</v>
      </c>
      <c r="Z8" s="42">
        <f t="shared" si="14"/>
        <v>9948.553458019378</v>
      </c>
      <c r="AA8" s="38">
        <f>IF($A8&gt;LastT,0,N8-V8-Q8/(1+Policy_Sched!$K8)+Z9/(1+Policy_Sched!$K8))</f>
        <v>9948.5534580193744</v>
      </c>
    </row>
    <row r="9" spans="1:27" x14ac:dyDescent="0.2">
      <c r="A9" s="30">
        <f t="shared" si="15"/>
        <v>2</v>
      </c>
      <c r="B9" s="31">
        <f t="shared" si="16"/>
        <v>1.0201</v>
      </c>
      <c r="C9" s="31">
        <f>IF($A9&gt;LastT,0,IF(AND($D$3&lt;&gt;0,$A9&gt;=T0,Policy_Sched!$B9&lt;LastAge),1+$D$3*$E$3,1))</f>
        <v>1</v>
      </c>
      <c r="D9" s="36">
        <f>IF($A9&gt;LastT,0,IF($C$3="up",MIN(Policy_Sched!$E9*(1+IF($A9&gt;=T0,$E$3,0)),$F$3),IF($C$3="down",MAX(Policy_Sched!$E9*(1-IF($A9&gt;=T0,$E$3,0)),Policy_Sched!$E9-$F$3),Policy_Sched!$E9)))</f>
        <v>0.08</v>
      </c>
      <c r="E9" s="37">
        <f t="shared" si="17"/>
        <v>0.84537634938600004</v>
      </c>
      <c r="F9" s="37">
        <f t="shared" si="0"/>
        <v>0</v>
      </c>
      <c r="G9" s="37">
        <f t="shared" si="1"/>
        <v>0.84537634938600004</v>
      </c>
      <c r="H9" s="37">
        <f t="shared" si="2"/>
        <v>0</v>
      </c>
      <c r="I9" s="37">
        <f t="shared" si="3"/>
        <v>0</v>
      </c>
      <c r="J9" s="37">
        <f t="shared" si="4"/>
        <v>0.84537634938600004</v>
      </c>
      <c r="K9" s="37">
        <f>IF($A9&gt;LastT,0,J9*Policy_Sched!$C9*Policy_Sched!$D9*C9)</f>
        <v>5.2075183122177594E-4</v>
      </c>
      <c r="L9" s="41">
        <f t="shared" si="5"/>
        <v>6.7630107950880008E-2</v>
      </c>
      <c r="M9" s="38">
        <f t="shared" si="6"/>
        <v>1161.4258690027564</v>
      </c>
      <c r="N9" s="38">
        <f t="shared" si="7"/>
        <v>3021.5187100443918</v>
      </c>
      <c r="O9" s="38">
        <f t="shared" si="8"/>
        <v>520.75183122177589</v>
      </c>
      <c r="P9" s="38">
        <f>Policy_Sched!$I9*(L9+I9)</f>
        <v>70.276308665691758</v>
      </c>
      <c r="Q9" s="42">
        <f t="shared" si="9"/>
        <v>591.02813988746766</v>
      </c>
      <c r="R9" s="38">
        <f t="shared" si="10"/>
        <v>0</v>
      </c>
      <c r="S9" s="38">
        <f t="shared" si="11"/>
        <v>0</v>
      </c>
      <c r="T9" s="38">
        <f>Policy_Sched!$J9*J9</f>
        <v>151.07593550221958</v>
      </c>
      <c r="U9" s="42">
        <f t="shared" si="12"/>
        <v>981.84196122001288</v>
      </c>
      <c r="V9" s="42">
        <f t="shared" si="13"/>
        <v>1132.9178967222324</v>
      </c>
      <c r="W9" s="38">
        <f>IF($A9&gt;LastT,0,N9+W10/(1+Policy_Sched!$K9))</f>
        <v>23196.76167394947</v>
      </c>
      <c r="X9" s="38">
        <f>IF($A9&gt;LastT,0,(-Q9+X10)/(1+Policy_Sched!$K9))</f>
        <v>-6319.1571926844426</v>
      </c>
      <c r="Y9" s="38">
        <f>IF($A9&gt;LastT,0,-V9+Y10/(1+Policy_Sched!$K9))</f>
        <v>-8299.3284328322916</v>
      </c>
      <c r="Z9" s="42">
        <f t="shared" si="14"/>
        <v>8578.2760484327355</v>
      </c>
      <c r="AA9" s="38">
        <f>IF($A9&gt;LastT,0,N9-V9-Q9/(1+Policy_Sched!$K9)+Z10/(1+Policy_Sched!$K9))</f>
        <v>8578.2760484327355</v>
      </c>
    </row>
    <row r="10" spans="1:27" x14ac:dyDescent="0.2">
      <c r="A10" s="30">
        <f t="shared" si="15"/>
        <v>3</v>
      </c>
      <c r="B10" s="31">
        <f t="shared" si="16"/>
        <v>1.0303009999999999</v>
      </c>
      <c r="C10" s="31">
        <f>IF($A10&gt;LastT,0,IF(AND($D$3&lt;&gt;0,$A10&gt;=T0,Policy_Sched!$B10&lt;LastAge),1+$D$3*$E$3,1))</f>
        <v>1</v>
      </c>
      <c r="D10" s="36">
        <f>IF($A10&gt;LastT,0,IF($C$3="up",MIN(Policy_Sched!$E10*(1+IF($A10&gt;=T0,$E$3,0)),$F$3),IF($C$3="down",MAX(Policy_Sched!$E10*(1-IF($A10&gt;=T0,$E$3,0)),Policy_Sched!$E10-$F$3),Policy_Sched!$E10)))</f>
        <v>0.08</v>
      </c>
      <c r="E10" s="37">
        <f t="shared" si="17"/>
        <v>0.77722548960389826</v>
      </c>
      <c r="F10" s="37">
        <f t="shared" si="0"/>
        <v>0</v>
      </c>
      <c r="G10" s="37">
        <f t="shared" si="1"/>
        <v>0.77722548960389826</v>
      </c>
      <c r="H10" s="37">
        <f t="shared" si="2"/>
        <v>0</v>
      </c>
      <c r="I10" s="37">
        <f t="shared" si="3"/>
        <v>0</v>
      </c>
      <c r="J10" s="37">
        <f t="shared" si="4"/>
        <v>0.77722548960389826</v>
      </c>
      <c r="K10" s="37">
        <f>IF($A10&gt;LastT,0,J10*Policy_Sched!$C10*Policy_Sched!$D10*C10)</f>
        <v>5.0053321530491046E-4</v>
      </c>
      <c r="L10" s="41">
        <f t="shared" si="5"/>
        <v>6.2178039168311862E-2</v>
      </c>
      <c r="M10" s="38">
        <f t="shared" si="6"/>
        <v>1172.6469690027564</v>
      </c>
      <c r="N10" s="38">
        <f t="shared" si="7"/>
        <v>2777.9359577154532</v>
      </c>
      <c r="O10" s="38">
        <f t="shared" si="8"/>
        <v>500.53321530491047</v>
      </c>
      <c r="P10" s="38">
        <f>Policy_Sched!$I10*(L10+I10)</f>
        <v>86.224901513695485</v>
      </c>
      <c r="Q10" s="42">
        <f t="shared" si="9"/>
        <v>586.75811681860591</v>
      </c>
      <c r="R10" s="38">
        <f t="shared" si="10"/>
        <v>0</v>
      </c>
      <c r="S10" s="38">
        <f t="shared" si="11"/>
        <v>0</v>
      </c>
      <c r="T10" s="38">
        <f>Policy_Sched!$J10*J10</f>
        <v>138.89679788577266</v>
      </c>
      <c r="U10" s="42">
        <f t="shared" si="12"/>
        <v>911.4111146156946</v>
      </c>
      <c r="V10" s="42">
        <f t="shared" si="13"/>
        <v>1050.3079125014672</v>
      </c>
      <c r="W10" s="38">
        <f>IF($A10&gt;LastT,0,N10+W11/(1+Policy_Sched!$K10))</f>
        <v>20477.871608363654</v>
      </c>
      <c r="X10" s="38">
        <f>IF($A10&gt;LastT,0,(-Q10+X11)/(1+Policy_Sched!$K10))</f>
        <v>-5822.9164106872413</v>
      </c>
      <c r="Y10" s="38">
        <f>IF($A10&gt;LastT,0,-V10+Y11/(1+Policy_Sched!$K10))</f>
        <v>-7273.9066941517103</v>
      </c>
      <c r="Z10" s="42">
        <f t="shared" si="14"/>
        <v>7381.048503524702</v>
      </c>
      <c r="AA10" s="38">
        <f>IF($A10&gt;LastT,0,N10-V10-Q10/(1+Policy_Sched!$K10)+Z11/(1+Policy_Sched!$K10))</f>
        <v>7381.0485035246993</v>
      </c>
    </row>
    <row r="11" spans="1:27" x14ac:dyDescent="0.2">
      <c r="A11" s="30">
        <f t="shared" si="15"/>
        <v>4</v>
      </c>
      <c r="B11" s="31">
        <f t="shared" si="16"/>
        <v>1.04060401</v>
      </c>
      <c r="C11" s="31">
        <f>IF($A11&gt;LastT,0,IF(AND($D$3&lt;&gt;0,$A11&gt;=T0,Policy_Sched!$B11&lt;LastAge),1+$D$3*$E$3,1))</f>
        <v>1</v>
      </c>
      <c r="D11" s="36">
        <f>IF($A11&gt;LastT,0,IF($C$3="up",MIN(Policy_Sched!$E11*(1+IF($A11&gt;=T0,$E$3,0)),$F$3),IF($C$3="down",MAX(Policy_Sched!$E11*(1-IF($A11&gt;=T0,$E$3,0)),Policy_Sched!$E11-$F$3),Policy_Sched!$E11)))</f>
        <v>0.08</v>
      </c>
      <c r="E11" s="37">
        <f t="shared" si="17"/>
        <v>0.71454691722028141</v>
      </c>
      <c r="F11" s="37">
        <f t="shared" si="0"/>
        <v>0</v>
      </c>
      <c r="G11" s="37">
        <f t="shared" si="1"/>
        <v>0.71454691722028141</v>
      </c>
      <c r="H11" s="37">
        <f t="shared" si="2"/>
        <v>0</v>
      </c>
      <c r="I11" s="37">
        <f t="shared" si="3"/>
        <v>0</v>
      </c>
      <c r="J11" s="37">
        <f t="shared" si="4"/>
        <v>0.71454691722028141</v>
      </c>
      <c r="K11" s="37">
        <f>IF($A11&gt;LastT,0,J11*Policy_Sched!$C11*Policy_Sched!$D11*C11)</f>
        <v>4.7517369995148708E-4</v>
      </c>
      <c r="L11" s="41">
        <f t="shared" si="5"/>
        <v>5.7163753377622514E-2</v>
      </c>
      <c r="M11" s="38">
        <f t="shared" si="6"/>
        <v>1183.9802800027564</v>
      </c>
      <c r="N11" s="38">
        <f t="shared" si="7"/>
        <v>2553.9120903414478</v>
      </c>
      <c r="O11" s="38">
        <f t="shared" si="8"/>
        <v>475.17369995148709</v>
      </c>
      <c r="P11" s="38">
        <f>Policy_Sched!$I11*(L11+I11)</f>
        <v>97.727912937982495</v>
      </c>
      <c r="Q11" s="42">
        <f t="shared" si="9"/>
        <v>572.90161288946956</v>
      </c>
      <c r="R11" s="38">
        <f t="shared" si="10"/>
        <v>0</v>
      </c>
      <c r="S11" s="38">
        <f t="shared" si="11"/>
        <v>0</v>
      </c>
      <c r="T11" s="38">
        <f>Policy_Sched!$J11*J11</f>
        <v>127.6956045170724</v>
      </c>
      <c r="U11" s="42">
        <f t="shared" si="12"/>
        <v>846.00945912557518</v>
      </c>
      <c r="V11" s="42">
        <f t="shared" si="13"/>
        <v>973.70506364264759</v>
      </c>
      <c r="W11" s="38">
        <f>IF($A11&gt;LastT,0,N11+W12/(1+Policy_Sched!$K11))</f>
        <v>17965.434685407919</v>
      </c>
      <c r="X11" s="38">
        <f>IF($A11&gt;LastT,0,(-Q11+X12)/(1+Policy_Sched!$K11))</f>
        <v>-5323.5020400289432</v>
      </c>
      <c r="Y11" s="38">
        <f>IF($A11&gt;LastT,0,-V11+Y12/(1+Policy_Sched!$K11))</f>
        <v>-6316.9527633749958</v>
      </c>
      <c r="Z11" s="42">
        <f t="shared" si="14"/>
        <v>6324.9798820039796</v>
      </c>
      <c r="AA11" s="38">
        <f>IF($A11&gt;LastT,0,N11-V11-Q11/(1+Policy_Sched!$K11)+Z12/(1+Policy_Sched!$K11))</f>
        <v>6324.9798820039787</v>
      </c>
    </row>
    <row r="12" spans="1:27" x14ac:dyDescent="0.2">
      <c r="A12" s="30">
        <f t="shared" si="15"/>
        <v>5</v>
      </c>
      <c r="B12" s="31">
        <f t="shared" si="16"/>
        <v>1.0510100500999999</v>
      </c>
      <c r="C12" s="31">
        <f>IF($A12&gt;LastT,0,IF(AND($D$3&lt;&gt;0,$A12&gt;=T0,Policy_Sched!$B12&lt;LastAge),1+$D$3*$E$3,1))</f>
        <v>1</v>
      </c>
      <c r="D12" s="36">
        <f>IF($A12&gt;LastT,0,IF($C$3="up",MIN(Policy_Sched!$E12*(1+IF($A12&gt;=T0,$E$3,0)),$F$3),IF($C$3="down",MAX(Policy_Sched!$E12*(1-IF($A12&gt;=T0,$E$3,0)),Policy_Sched!$E12-$F$3),Policy_Sched!$E12)))</f>
        <v>0.08</v>
      </c>
      <c r="E12" s="37">
        <f t="shared" si="17"/>
        <v>0.6569079901427074</v>
      </c>
      <c r="F12" s="37">
        <f t="shared" si="0"/>
        <v>0</v>
      </c>
      <c r="G12" s="37">
        <f t="shared" si="1"/>
        <v>0.6569079901427074</v>
      </c>
      <c r="H12" s="37">
        <f t="shared" si="2"/>
        <v>0</v>
      </c>
      <c r="I12" s="37">
        <f t="shared" si="3"/>
        <v>0</v>
      </c>
      <c r="J12" s="37">
        <f t="shared" si="4"/>
        <v>0.6569079901427074</v>
      </c>
      <c r="K12" s="37">
        <f>IF($A12&gt;LastT,0,J12*Policy_Sched!$C12*Policy_Sched!$D12*C12)</f>
        <v>4.5523723716889622E-4</v>
      </c>
      <c r="L12" s="41">
        <f t="shared" si="5"/>
        <v>5.2552639211416591E-2</v>
      </c>
      <c r="M12" s="38">
        <f t="shared" si="6"/>
        <v>1195.4269241127563</v>
      </c>
      <c r="N12" s="38">
        <f t="shared" si="7"/>
        <v>2347.9007715740549</v>
      </c>
      <c r="O12" s="38">
        <f t="shared" si="8"/>
        <v>455.23723716889623</v>
      </c>
      <c r="P12" s="38">
        <f>Policy_Sched!$I12*(L12+I12)</f>
        <v>105.47305945861274</v>
      </c>
      <c r="Q12" s="42">
        <f t="shared" si="9"/>
        <v>560.71029662750902</v>
      </c>
      <c r="R12" s="38">
        <f t="shared" si="10"/>
        <v>0</v>
      </c>
      <c r="S12" s="38">
        <f t="shared" si="11"/>
        <v>0</v>
      </c>
      <c r="T12" s="38">
        <f>Policy_Sched!$J12*J12</f>
        <v>0</v>
      </c>
      <c r="U12" s="42">
        <f t="shared" si="12"/>
        <v>785.28549808138951</v>
      </c>
      <c r="V12" s="42">
        <f t="shared" si="13"/>
        <v>785.28549808138951</v>
      </c>
      <c r="W12" s="38">
        <f>IF($A12&gt;LastT,0,N12+W13/(1+Policy_Sched!$K12))</f>
        <v>15642.695433992467</v>
      </c>
      <c r="X12" s="38">
        <f>IF($A12&gt;LastT,0,(-Q12+X13)/(1+Policy_Sched!$K12))</f>
        <v>-4830.452957739908</v>
      </c>
      <c r="Y12" s="38">
        <f>IF($A12&gt;LastT,0,-V12+Y13/(1+Policy_Sched!$K12))</f>
        <v>-5423.3964152283334</v>
      </c>
      <c r="Z12" s="42">
        <f t="shared" si="14"/>
        <v>5388.8460610242255</v>
      </c>
      <c r="AA12" s="38">
        <f>IF($A12&gt;LastT,0,N12-V12-Q12/(1+Policy_Sched!$K12)+Z13/(1+Policy_Sched!$K12))</f>
        <v>5388.8460610242246</v>
      </c>
    </row>
    <row r="13" spans="1:27" x14ac:dyDescent="0.2">
      <c r="A13" s="30">
        <f t="shared" si="15"/>
        <v>6</v>
      </c>
      <c r="B13" s="31">
        <f t="shared" si="16"/>
        <v>1.0615201506009999</v>
      </c>
      <c r="C13" s="31">
        <f>IF($A13&gt;LastT,0,IF(AND($D$3&lt;&gt;0,$A13&gt;=T0,Policy_Sched!$B13&lt;LastAge),1+$D$3*$E$3,1))</f>
        <v>1</v>
      </c>
      <c r="D13" s="36">
        <f>IF($A13&gt;LastT,0,IF($C$3="up",MIN(Policy_Sched!$E13*(1+IF($A13&gt;=T0,$E$3,0)),$F$3),IF($C$3="down",MAX(Policy_Sched!$E13*(1-IF($A13&gt;=T0,$E$3,0)),Policy_Sched!$E13-$F$3),Policy_Sched!$E13)))</f>
        <v>0.08</v>
      </c>
      <c r="E13" s="37">
        <f t="shared" si="17"/>
        <v>0.60390011369412189</v>
      </c>
      <c r="F13" s="37">
        <f t="shared" si="0"/>
        <v>0</v>
      </c>
      <c r="G13" s="37">
        <f t="shared" si="1"/>
        <v>0.60390011369412189</v>
      </c>
      <c r="H13" s="37">
        <f t="shared" si="2"/>
        <v>0</v>
      </c>
      <c r="I13" s="37">
        <f t="shared" si="3"/>
        <v>0</v>
      </c>
      <c r="J13" s="37">
        <f t="shared" si="4"/>
        <v>0.60390011369412189</v>
      </c>
      <c r="K13" s="37">
        <f>IF($A13&gt;LastT,0,J13*Policy_Sched!$C13*Policy_Sched!$D13*C13)</f>
        <v>4.4386658356517959E-4</v>
      </c>
      <c r="L13" s="41">
        <f t="shared" si="5"/>
        <v>4.8312009095529754E-2</v>
      </c>
      <c r="M13" s="38">
        <f t="shared" si="6"/>
        <v>1206.9880346638563</v>
      </c>
      <c r="N13" s="38">
        <f t="shared" si="7"/>
        <v>2158.4416146134295</v>
      </c>
      <c r="O13" s="38">
        <f t="shared" si="8"/>
        <v>443.86658356517961</v>
      </c>
      <c r="P13" s="38">
        <f>Policy_Sched!$I13*(L13+I13)</f>
        <v>109.32633187232365</v>
      </c>
      <c r="Q13" s="42">
        <f t="shared" si="9"/>
        <v>553.1929154375033</v>
      </c>
      <c r="R13" s="38">
        <f t="shared" si="10"/>
        <v>0</v>
      </c>
      <c r="S13" s="38">
        <f t="shared" si="11"/>
        <v>0</v>
      </c>
      <c r="T13" s="38">
        <f>Policy_Sched!$J13*J13</f>
        <v>0</v>
      </c>
      <c r="U13" s="42">
        <f t="shared" si="12"/>
        <v>728.90021136094754</v>
      </c>
      <c r="V13" s="42">
        <f t="shared" si="13"/>
        <v>728.90021136094754</v>
      </c>
      <c r="W13" s="38">
        <f>IF($A13&gt;LastT,0,N13+W14/(1+Policy_Sched!$K13))</f>
        <v>13494.216582354686</v>
      </c>
      <c r="X13" s="38">
        <f>IF($A13&gt;LastT,0,(-Q13+X14)/(1+Policy_Sched!$K13))</f>
        <v>-4342.1994554784969</v>
      </c>
      <c r="Y13" s="38">
        <f>IF($A13&gt;LastT,0,-V13+Y14/(1+Policy_Sched!$K13))</f>
        <v>-4707.6825809041475</v>
      </c>
      <c r="Z13" s="42">
        <f t="shared" si="14"/>
        <v>4444.3345459720413</v>
      </c>
      <c r="AA13" s="38">
        <f>IF($A13&gt;LastT,0,N13-V13-Q13/(1+Policy_Sched!$K13)+Z14/(1+Policy_Sched!$K13))</f>
        <v>4444.3345459720413</v>
      </c>
    </row>
    <row r="14" spans="1:27" x14ac:dyDescent="0.2">
      <c r="A14" s="30">
        <f t="shared" si="15"/>
        <v>7</v>
      </c>
      <c r="B14" s="31">
        <f t="shared" si="16"/>
        <v>1.0721353521070098</v>
      </c>
      <c r="C14" s="31">
        <f>IF($A14&gt;LastT,0,IF(AND($D$3&lt;&gt;0,$A14&gt;=T0,Policy_Sched!$B14&lt;LastAge),1+$D$3*$E$3,1))</f>
        <v>1</v>
      </c>
      <c r="D14" s="36">
        <f>IF($A14&gt;LastT,0,IF($C$3="up",MIN(Policy_Sched!$E14*(1+IF($A14&gt;=T0,$E$3,0)),$F$3),IF($C$3="down",MAX(Policy_Sched!$E14*(1-IF($A14&gt;=T0,$E$3,0)),Policy_Sched!$E14-$F$3),Policy_Sched!$E14)))</f>
        <v>0.08</v>
      </c>
      <c r="E14" s="37">
        <f t="shared" si="17"/>
        <v>0.55514423801502688</v>
      </c>
      <c r="F14" s="37">
        <f t="shared" si="0"/>
        <v>0</v>
      </c>
      <c r="G14" s="37">
        <f t="shared" si="1"/>
        <v>0.55514423801502688</v>
      </c>
      <c r="H14" s="37">
        <f t="shared" si="2"/>
        <v>0</v>
      </c>
      <c r="I14" s="37">
        <f t="shared" si="3"/>
        <v>0</v>
      </c>
      <c r="J14" s="37">
        <f t="shared" si="4"/>
        <v>0.55514423801502688</v>
      </c>
      <c r="K14" s="37">
        <f>IF($A14&gt;LastT,0,J14*Policy_Sched!$C14*Policy_Sched!$D14*C14)</f>
        <v>4.4300510193599139E-4</v>
      </c>
      <c r="L14" s="41">
        <f t="shared" si="5"/>
        <v>4.4411539041202153E-2</v>
      </c>
      <c r="M14" s="38">
        <f t="shared" si="6"/>
        <v>1218.6647563204672</v>
      </c>
      <c r="N14" s="38">
        <f t="shared" si="7"/>
        <v>1984.1798308576142</v>
      </c>
      <c r="O14" s="38">
        <f t="shared" si="8"/>
        <v>443.00510193599138</v>
      </c>
      <c r="P14" s="38">
        <f>Policy_Sched!$I14*(L14+I14)</f>
        <v>108.84304217168557</v>
      </c>
      <c r="Q14" s="42">
        <f t="shared" si="9"/>
        <v>551.84814410767694</v>
      </c>
      <c r="R14" s="38">
        <f t="shared" si="10"/>
        <v>0</v>
      </c>
      <c r="S14" s="38">
        <f t="shared" si="11"/>
        <v>0</v>
      </c>
      <c r="T14" s="38">
        <f>Policy_Sched!$J14*J14</f>
        <v>0</v>
      </c>
      <c r="U14" s="42">
        <f t="shared" si="12"/>
        <v>676.53471754329416</v>
      </c>
      <c r="V14" s="42">
        <f t="shared" si="13"/>
        <v>676.53471754329416</v>
      </c>
      <c r="W14" s="38">
        <f>IF($A14&gt;LastT,0,N14+W15/(1+Policy_Sched!$K14))</f>
        <v>11505.811592257374</v>
      </c>
      <c r="X14" s="38">
        <f>IF($A14&gt;LastT,0,(-Q14+X15)/(1+Policy_Sched!$K14))</f>
        <v>-3854.1395318731711</v>
      </c>
      <c r="Y14" s="38">
        <f>IF($A14&gt;LastT,0,-V14+Y15/(1+Policy_Sched!$K14))</f>
        <v>-4038.4641050863474</v>
      </c>
      <c r="Z14" s="42">
        <f t="shared" si="14"/>
        <v>3613.2079552978557</v>
      </c>
      <c r="AA14" s="38">
        <f>IF($A14&gt;LastT,0,N14-V14-Q14/(1+Policy_Sched!$K14)+Z15/(1+Policy_Sched!$K14))</f>
        <v>3613.2079552978566</v>
      </c>
    </row>
    <row r="15" spans="1:27" x14ac:dyDescent="0.2">
      <c r="A15" s="30">
        <f t="shared" si="15"/>
        <v>8</v>
      </c>
      <c r="B15" s="31">
        <f t="shared" si="16"/>
        <v>1.08285670562808</v>
      </c>
      <c r="C15" s="31">
        <f>IF($A15&gt;LastT,0,IF(AND($D$3&lt;&gt;0,$A15&gt;=T0,Policy_Sched!$B15&lt;LastAge),1+$D$3*$E$3,1))</f>
        <v>1</v>
      </c>
      <c r="D15" s="36">
        <f>IF($A15&gt;LastT,0,IF($C$3="up",MIN(Policy_Sched!$E15*(1+IF($A15&gt;=T0,$E$3,0)),$F$3),IF($C$3="down",MAX(Policy_Sched!$E15*(1-IF($A15&gt;=T0,$E$3,0)),Policy_Sched!$E15-$F$3),Policy_Sched!$E15)))</f>
        <v>0.08</v>
      </c>
      <c r="E15" s="37">
        <f t="shared" si="17"/>
        <v>0.51028969387188883</v>
      </c>
      <c r="F15" s="37">
        <f t="shared" si="0"/>
        <v>0</v>
      </c>
      <c r="G15" s="37">
        <f t="shared" si="1"/>
        <v>0.51028969387188883</v>
      </c>
      <c r="H15" s="37">
        <f t="shared" si="2"/>
        <v>0</v>
      </c>
      <c r="I15" s="37">
        <f t="shared" si="3"/>
        <v>0</v>
      </c>
      <c r="J15" s="37">
        <f t="shared" si="4"/>
        <v>0.51028969387188883</v>
      </c>
      <c r="K15" s="37">
        <f>IF($A15&gt;LastT,0,J15*Policy_Sched!$C15*Policy_Sched!$D15*C15)</f>
        <v>4.4650348213790269E-4</v>
      </c>
      <c r="L15" s="41">
        <f t="shared" si="5"/>
        <v>4.0823175509751106E-2</v>
      </c>
      <c r="M15" s="38">
        <f t="shared" si="6"/>
        <v>1230.4582451936442</v>
      </c>
      <c r="N15" s="38">
        <f t="shared" si="7"/>
        <v>1823.862068883981</v>
      </c>
      <c r="O15" s="38">
        <f t="shared" si="8"/>
        <v>446.50348213790267</v>
      </c>
      <c r="P15" s="38">
        <f>Policy_Sched!$I15*(L15+I15)</f>
        <v>103.81919443332401</v>
      </c>
      <c r="Q15" s="42">
        <f t="shared" si="9"/>
        <v>550.32267657122668</v>
      </c>
      <c r="R15" s="38">
        <f t="shared" si="10"/>
        <v>0</v>
      </c>
      <c r="S15" s="38">
        <f t="shared" si="11"/>
        <v>0</v>
      </c>
      <c r="T15" s="38">
        <f>Policy_Sched!$J15*J15</f>
        <v>0</v>
      </c>
      <c r="U15" s="42">
        <f t="shared" si="12"/>
        <v>627.89016126200625</v>
      </c>
      <c r="V15" s="42">
        <f t="shared" si="13"/>
        <v>627.89016126200625</v>
      </c>
      <c r="W15" s="38">
        <f>IF($A15&gt;LastT,0,N15+W16/(1+Policy_Sched!$K15))</f>
        <v>9664.4562378207556</v>
      </c>
      <c r="X15" s="38">
        <f>IF($A15&gt;LastT,0,(-Q15+X16)/(1+Policy_Sched!$K15))</f>
        <v>-3360.1034807435913</v>
      </c>
      <c r="Y15" s="38">
        <f>IF($A15&gt;LastT,0,-V15+Y16/(1+Policy_Sched!$K15))</f>
        <v>-3412.3583283561989</v>
      </c>
      <c r="Z15" s="42">
        <f t="shared" si="14"/>
        <v>2891.994428720966</v>
      </c>
      <c r="AA15" s="38">
        <f>IF($A15&gt;LastT,0,N15-V15-Q15/(1+Policy_Sched!$K15)+Z16/(1+Policy_Sched!$K15))</f>
        <v>2891.9944287209646</v>
      </c>
    </row>
    <row r="16" spans="1:27" x14ac:dyDescent="0.2">
      <c r="A16" s="30">
        <f t="shared" si="15"/>
        <v>9</v>
      </c>
      <c r="B16" s="31">
        <f t="shared" si="16"/>
        <v>1.0936852726843609</v>
      </c>
      <c r="C16" s="31">
        <f>IF($A16&gt;LastT,0,IF(AND($D$3&lt;&gt;0,$A16&gt;=T0,Policy_Sched!$B16&lt;LastAge),1+$D$3*$E$3,1))</f>
        <v>1</v>
      </c>
      <c r="D16" s="36">
        <f>IF($A16&gt;LastT,0,IF($C$3="up",MIN(Policy_Sched!$E16*(1+IF($A16&gt;=T0,$E$3,0)),$F$3),IF($C$3="down",MAX(Policy_Sched!$E16*(1-IF($A16&gt;=T0,$E$3,0)),Policy_Sched!$E16-$F$3),Policy_Sched!$E16)))</f>
        <v>0.08</v>
      </c>
      <c r="E16" s="37">
        <f t="shared" si="17"/>
        <v>0.46902001487999978</v>
      </c>
      <c r="F16" s="37">
        <f t="shared" si="0"/>
        <v>0</v>
      </c>
      <c r="G16" s="37">
        <f t="shared" si="1"/>
        <v>0.46902001487999978</v>
      </c>
      <c r="H16" s="37">
        <f t="shared" si="2"/>
        <v>0</v>
      </c>
      <c r="I16" s="37">
        <f t="shared" si="3"/>
        <v>0</v>
      </c>
      <c r="J16" s="37">
        <f t="shared" si="4"/>
        <v>0.46902001487999978</v>
      </c>
      <c r="K16" s="37">
        <f>IF($A16&gt;LastT,0,J16*Policy_Sched!$C16*Policy_Sched!$D16*C16)</f>
        <v>4.4650705416575984E-4</v>
      </c>
      <c r="L16" s="41">
        <f t="shared" si="5"/>
        <v>3.7521601190399982E-2</v>
      </c>
      <c r="M16" s="38">
        <f t="shared" si="6"/>
        <v>1242.3696689555534</v>
      </c>
      <c r="N16" s="38">
        <f t="shared" si="7"/>
        <v>1676.3572240629887</v>
      </c>
      <c r="O16" s="38">
        <f t="shared" si="8"/>
        <v>446.50705416575983</v>
      </c>
      <c r="P16" s="38">
        <f>Policy_Sched!$I16*(L16+I16)</f>
        <v>94.813057336543238</v>
      </c>
      <c r="Q16" s="42">
        <f t="shared" si="9"/>
        <v>541.32011150230301</v>
      </c>
      <c r="R16" s="38">
        <f t="shared" si="10"/>
        <v>0</v>
      </c>
      <c r="S16" s="38">
        <f t="shared" si="11"/>
        <v>0</v>
      </c>
      <c r="T16" s="38">
        <f>Policy_Sched!$J16*J16</f>
        <v>0</v>
      </c>
      <c r="U16" s="42">
        <f t="shared" si="12"/>
        <v>582.696240619994</v>
      </c>
      <c r="V16" s="42">
        <f t="shared" si="13"/>
        <v>582.696240619994</v>
      </c>
      <c r="W16" s="38">
        <f>IF($A16&gt;LastT,0,N16+W17/(1+Policy_Sched!$K16))</f>
        <v>7958.2030814708251</v>
      </c>
      <c r="X16" s="38">
        <f>IF($A16&gt;LastT,0,(-Q16+X17)/(1+Policy_Sched!$K16))</f>
        <v>-2860.1823563835183</v>
      </c>
      <c r="Y16" s="38">
        <f>IF($A16&gt;LastT,0,-V16+Y17/(1+Policy_Sched!$K16))</f>
        <v>-2826.2351896006053</v>
      </c>
      <c r="Z16" s="42">
        <f t="shared" si="14"/>
        <v>2271.7855354867011</v>
      </c>
      <c r="AA16" s="38">
        <f>IF($A16&gt;LastT,0,N16-V16-Q16/(1+Policy_Sched!$K16)+Z17/(1+Policy_Sched!$K16))</f>
        <v>2271.7855354867011</v>
      </c>
    </row>
    <row r="17" spans="1:27" x14ac:dyDescent="0.2">
      <c r="A17" s="30">
        <f t="shared" si="15"/>
        <v>10</v>
      </c>
      <c r="B17" s="31">
        <f t="shared" si="16"/>
        <v>1.1046221254112045</v>
      </c>
      <c r="C17" s="31">
        <f>IF($A17&gt;LastT,0,IF(AND($D$3&lt;&gt;0,$A17&gt;=T0,Policy_Sched!$B17&lt;LastAge),1+$D$3*$E$3,1))</f>
        <v>1</v>
      </c>
      <c r="D17" s="36">
        <f>IF($A17&gt;LastT,0,IF($C$3="up",MIN(Policy_Sched!$E17*(1+IF($A17&gt;=T0,$E$3,0)),$F$3),IF($C$3="down",MAX(Policy_Sched!$E17*(1-IF($A17&gt;=T0,$E$3,0)),Policy_Sched!$E17-$F$3),Policy_Sched!$E17)))</f>
        <v>0.08</v>
      </c>
      <c r="E17" s="37">
        <f t="shared" si="17"/>
        <v>0.43105190663543402</v>
      </c>
      <c r="F17" s="37">
        <f t="shared" si="0"/>
        <v>0</v>
      </c>
      <c r="G17" s="37">
        <f t="shared" si="1"/>
        <v>0.43105190663543402</v>
      </c>
      <c r="H17" s="37">
        <f t="shared" si="2"/>
        <v>0</v>
      </c>
      <c r="I17" s="37">
        <f t="shared" si="3"/>
        <v>0</v>
      </c>
      <c r="J17" s="37">
        <f t="shared" si="4"/>
        <v>0.43105190663543402</v>
      </c>
      <c r="K17" s="37">
        <f>IF($A17&gt;LastT,0,J17*Policy_Sched!$C17*Policy_Sched!$D17*C17)</f>
        <v>4.4355241192786161E-4</v>
      </c>
      <c r="L17" s="41">
        <f t="shared" si="5"/>
        <v>3.448415253083472E-2</v>
      </c>
      <c r="M17" s="38">
        <f t="shared" si="6"/>
        <v>1254.4002069550813</v>
      </c>
      <c r="N17" s="38">
        <f t="shared" si="7"/>
        <v>1540.6527540606417</v>
      </c>
      <c r="O17" s="38">
        <f t="shared" si="8"/>
        <v>443.55241192786161</v>
      </c>
      <c r="P17" s="38">
        <f>Policy_Sched!$I17*(L17+I17)</f>
        <v>82.714022797032527</v>
      </c>
      <c r="Q17" s="42">
        <f t="shared" si="9"/>
        <v>526.26643472489411</v>
      </c>
      <c r="R17" s="38">
        <f t="shared" si="10"/>
        <v>0</v>
      </c>
      <c r="S17" s="38">
        <f t="shared" si="11"/>
        <v>0</v>
      </c>
      <c r="T17" s="38">
        <f>Policy_Sched!$J17*J17</f>
        <v>0</v>
      </c>
      <c r="U17" s="42">
        <f t="shared" si="12"/>
        <v>540.71160089187083</v>
      </c>
      <c r="V17" s="42">
        <f t="shared" si="13"/>
        <v>540.71160089187083</v>
      </c>
      <c r="W17" s="38">
        <f>IF($A17&gt;LastT,0,N17+W18/(1+Policy_Sched!$K17))</f>
        <v>6376.0735452689532</v>
      </c>
      <c r="X17" s="38">
        <f>IF($A17&gt;LastT,0,(-Q17+X18)/(1+Policy_Sched!$K17))</f>
        <v>-2361.764980226968</v>
      </c>
      <c r="Y17" s="38">
        <f>IF($A17&gt;LastT,0,-V17+Y18/(1+Policy_Sched!$K17))</f>
        <v>-2277.19203321532</v>
      </c>
      <c r="Z17" s="42">
        <f t="shared" si="14"/>
        <v>1737.1165318266649</v>
      </c>
      <c r="AA17" s="38">
        <f>IF($A17&gt;LastT,0,N17-V17-Q17/(1+Policy_Sched!$K17)+Z18/(1+Policy_Sched!$K17))</f>
        <v>1737.1165318266649</v>
      </c>
    </row>
    <row r="18" spans="1:27" x14ac:dyDescent="0.2">
      <c r="A18" s="30">
        <f t="shared" si="15"/>
        <v>11</v>
      </c>
      <c r="B18" s="31">
        <f t="shared" si="16"/>
        <v>1.1156683466653166</v>
      </c>
      <c r="C18" s="31">
        <f>IF($A18&gt;LastT,0,IF(AND($D$3&lt;&gt;0,$A18&gt;=T0,Policy_Sched!$B18&lt;LastAge),1+$D$3*$E$3,1))</f>
        <v>1</v>
      </c>
      <c r="D18" s="36">
        <f>IF($A18&gt;LastT,0,IF($C$3="up",MIN(Policy_Sched!$E18*(1+IF($A18&gt;=T0,$E$3,0)),$F$3),IF($C$3="down",MAX(Policy_Sched!$E18*(1-IF($A18&gt;=T0,$E$3,0)),Policy_Sched!$E18-$F$3),Policy_Sched!$E18)))</f>
        <v>0.08</v>
      </c>
      <c r="E18" s="37">
        <f t="shared" si="17"/>
        <v>0.39612420169267148</v>
      </c>
      <c r="F18" s="37">
        <f t="shared" si="0"/>
        <v>0</v>
      </c>
      <c r="G18" s="37">
        <f t="shared" si="1"/>
        <v>0.39612420169267148</v>
      </c>
      <c r="H18" s="37">
        <f t="shared" si="2"/>
        <v>0</v>
      </c>
      <c r="I18" s="37">
        <f t="shared" si="3"/>
        <v>0</v>
      </c>
      <c r="J18" s="37">
        <f t="shared" si="4"/>
        <v>0.39612420169267148</v>
      </c>
      <c r="K18" s="37">
        <f>IF($A18&gt;LastT,0,J18*Policy_Sched!$C18*Policy_Sched!$D18*C18)</f>
        <v>4.4088623648394336E-4</v>
      </c>
      <c r="L18" s="41">
        <f t="shared" si="5"/>
        <v>3.1689936135413717E-2</v>
      </c>
      <c r="M18" s="38">
        <f t="shared" si="6"/>
        <v>1266.5510503346045</v>
      </c>
      <c r="N18" s="38">
        <f t="shared" si="7"/>
        <v>1415.8152020518621</v>
      </c>
      <c r="O18" s="38">
        <f t="shared" si="8"/>
        <v>440.88623648394338</v>
      </c>
      <c r="P18" s="38">
        <f>Policy_Sched!$I18*(L18+I18)</f>
        <v>68.122483173062975</v>
      </c>
      <c r="Q18" s="42">
        <f t="shared" si="9"/>
        <v>509.00871965700634</v>
      </c>
      <c r="R18" s="38">
        <f t="shared" si="10"/>
        <v>0</v>
      </c>
      <c r="S18" s="38">
        <f t="shared" si="11"/>
        <v>0</v>
      </c>
      <c r="T18" s="38">
        <f>Policy_Sched!$J18*J18</f>
        <v>0</v>
      </c>
      <c r="U18" s="42">
        <f t="shared" si="12"/>
        <v>501.71152371680978</v>
      </c>
      <c r="V18" s="42">
        <f t="shared" si="13"/>
        <v>501.71152371680978</v>
      </c>
      <c r="W18" s="38">
        <f>IF($A18&gt;LastT,0,N18+W19/(1+Policy_Sched!$K18))</f>
        <v>4907.9521030764354</v>
      </c>
      <c r="X18" s="38">
        <f>IF($A18&gt;LastT,0,(-Q18+X19)/(1+Policy_Sched!$K18))</f>
        <v>-1870.9250202054782</v>
      </c>
      <c r="Y18" s="38">
        <f>IF($A18&gt;LastT,0,-V18+Y19/(1+Policy_Sched!$K18))</f>
        <v>-1762.5276388083007</v>
      </c>
      <c r="Z18" s="42">
        <f t="shared" si="14"/>
        <v>1274.4994440626565</v>
      </c>
      <c r="AA18" s="38">
        <f>IF($A18&gt;LastT,0,N18-V18-Q18/(1+Policy_Sched!$K18)+Z19/(1+Policy_Sched!$K18))</f>
        <v>1274.4994440626567</v>
      </c>
    </row>
    <row r="19" spans="1:27" x14ac:dyDescent="0.2">
      <c r="A19" s="30">
        <f t="shared" si="15"/>
        <v>12</v>
      </c>
      <c r="B19" s="31">
        <f t="shared" si="16"/>
        <v>1.1268250301319698</v>
      </c>
      <c r="C19" s="31">
        <f>IF($A19&gt;LastT,0,IF(AND($D$3&lt;&gt;0,$A19&gt;=T0,Policy_Sched!$B19&lt;LastAge),1+$D$3*$E$3,1))</f>
        <v>1</v>
      </c>
      <c r="D19" s="36">
        <f>IF($A19&gt;LastT,0,IF($C$3="up",MIN(Policy_Sched!$E19*(1+IF($A19&gt;=T0,$E$3,0)),$F$3),IF($C$3="down",MAX(Policy_Sched!$E19*(1-IF($A19&gt;=T0,$E$3,0)),Policy_Sched!$E19-$F$3),Policy_Sched!$E19)))</f>
        <v>0.08</v>
      </c>
      <c r="E19" s="37">
        <f t="shared" si="17"/>
        <v>0.36399337932077386</v>
      </c>
      <c r="F19" s="37">
        <f t="shared" si="0"/>
        <v>0</v>
      </c>
      <c r="G19" s="37">
        <f t="shared" si="1"/>
        <v>0.36399337932077386</v>
      </c>
      <c r="H19" s="37">
        <f t="shared" si="2"/>
        <v>0</v>
      </c>
      <c r="I19" s="37">
        <f t="shared" si="3"/>
        <v>0</v>
      </c>
      <c r="J19" s="37">
        <f t="shared" si="4"/>
        <v>0.36399337932077386</v>
      </c>
      <c r="K19" s="37">
        <f>IF($A19&gt;LastT,0,J19*Policy_Sched!$C19*Policy_Sched!$D19*C19)</f>
        <v>4.4079598235745711E-4</v>
      </c>
      <c r="L19" s="41">
        <f t="shared" si="5"/>
        <v>2.911947034566191E-2</v>
      </c>
      <c r="M19" s="38">
        <f t="shared" si="6"/>
        <v>1278.8234021479232</v>
      </c>
      <c r="N19" s="38">
        <f t="shared" si="7"/>
        <v>1300.9741835678296</v>
      </c>
      <c r="O19" s="38">
        <f t="shared" si="8"/>
        <v>440.79598235745709</v>
      </c>
      <c r="P19" s="38">
        <f>Policy_Sched!$I19*(L19+I19)</f>
        <v>51.277255021224853</v>
      </c>
      <c r="Q19" s="42">
        <f t="shared" si="9"/>
        <v>492.07323737868194</v>
      </c>
      <c r="R19" s="38">
        <f t="shared" si="10"/>
        <v>0</v>
      </c>
      <c r="S19" s="38">
        <f t="shared" si="11"/>
        <v>0</v>
      </c>
      <c r="T19" s="38">
        <f>Policy_Sched!$J19*J19</f>
        <v>0</v>
      </c>
      <c r="U19" s="42">
        <f t="shared" si="12"/>
        <v>465.48325170231152</v>
      </c>
      <c r="V19" s="42">
        <f t="shared" si="13"/>
        <v>465.48325170231152</v>
      </c>
      <c r="W19" s="38">
        <f>IF($A19&gt;LastT,0,N19+W20/(1+Policy_Sched!$K19))</f>
        <v>3544.5189545399417</v>
      </c>
      <c r="X19" s="38">
        <f>IF($A19&gt;LastT,0,(-Q19+X20)/(1+Policy_Sched!$K19))</f>
        <v>-1389.9801758515537</v>
      </c>
      <c r="Y19" s="38">
        <f>IF($A19&gt;LastT,0,-V19+Y20/(1+Policy_Sched!$K19))</f>
        <v>-1279.7283568178632</v>
      </c>
      <c r="Z19" s="42">
        <f t="shared" si="14"/>
        <v>874.81042187052481</v>
      </c>
      <c r="AA19" s="38">
        <f>IF($A19&gt;LastT,0,N19-V19-Q19/(1+Policy_Sched!$K19)+Z20/(1+Policy_Sched!$K19))</f>
        <v>874.81042187052492</v>
      </c>
    </row>
    <row r="20" spans="1:27" x14ac:dyDescent="0.2">
      <c r="A20" s="30">
        <f t="shared" si="15"/>
        <v>13</v>
      </c>
      <c r="B20" s="31">
        <f t="shared" si="16"/>
        <v>1.1380932804332895</v>
      </c>
      <c r="C20" s="31">
        <f>IF($A20&gt;LastT,0,IF(AND($D$3&lt;&gt;0,$A20&gt;=T0,Policy_Sched!$B20&lt;LastAge),1+$D$3*$E$3,1))</f>
        <v>1</v>
      </c>
      <c r="D20" s="36">
        <f>IF($A20&gt;LastT,0,IF($C$3="up",MIN(Policy_Sched!$E20*(1+IF($A20&gt;=T0,$E$3,0)),$F$3),IF($C$3="down",MAX(Policy_Sched!$E20*(1-IF($A20&gt;=T0,$E$3,0)),Policy_Sched!$E20-$F$3),Policy_Sched!$E20)))</f>
        <v>0.08</v>
      </c>
      <c r="E20" s="37">
        <f t="shared" si="17"/>
        <v>0.33443311299275447</v>
      </c>
      <c r="F20" s="37">
        <f t="shared" si="0"/>
        <v>0</v>
      </c>
      <c r="G20" s="37">
        <f t="shared" si="1"/>
        <v>0.33443311299275447</v>
      </c>
      <c r="H20" s="37">
        <f t="shared" si="2"/>
        <v>0</v>
      </c>
      <c r="I20" s="37">
        <f t="shared" si="3"/>
        <v>0</v>
      </c>
      <c r="J20" s="37">
        <f t="shared" si="4"/>
        <v>0.33443311299275447</v>
      </c>
      <c r="K20" s="37">
        <f>IF($A20&gt;LastT,0,J20*Policy_Sched!$C20*Policy_Sched!$D20*C20)</f>
        <v>4.4479604028036342E-4</v>
      </c>
      <c r="L20" s="41">
        <f t="shared" si="5"/>
        <v>2.6754649039420358E-2</v>
      </c>
      <c r="M20" s="38">
        <f t="shared" si="6"/>
        <v>1291.2184774793748</v>
      </c>
      <c r="N20" s="38">
        <f t="shared" si="7"/>
        <v>1195.3207691461025</v>
      </c>
      <c r="O20" s="38">
        <f t="shared" si="8"/>
        <v>444.7960402803634</v>
      </c>
      <c r="P20" s="38">
        <f>Policy_Sched!$I20*(L20+I20)</f>
        <v>32.171797874225504</v>
      </c>
      <c r="Q20" s="42">
        <f t="shared" si="9"/>
        <v>476.96783815458889</v>
      </c>
      <c r="R20" s="38">
        <f t="shared" si="10"/>
        <v>0</v>
      </c>
      <c r="S20" s="38">
        <f t="shared" si="11"/>
        <v>0</v>
      </c>
      <c r="T20" s="38">
        <f>Policy_Sched!$J20*J20</f>
        <v>0</v>
      </c>
      <c r="U20" s="42">
        <f t="shared" si="12"/>
        <v>431.82621497719214</v>
      </c>
      <c r="V20" s="42">
        <f t="shared" si="13"/>
        <v>431.82621497719214</v>
      </c>
      <c r="W20" s="38">
        <f>IF($A20&gt;LastT,0,N20+W21/(1+Policy_Sched!$K20))</f>
        <v>2277.1979425366935</v>
      </c>
      <c r="X20" s="38">
        <f>IF($A20&gt;LastT,0,(-Q20+X21)/(1+Policy_Sched!$K20))</f>
        <v>-918.75664111064486</v>
      </c>
      <c r="Y20" s="38">
        <f>IF($A20&gt;LastT,0,-V20+Y21/(1+Policy_Sched!$K20))</f>
        <v>-826.45878169228479</v>
      </c>
      <c r="Z20" s="42">
        <f t="shared" si="14"/>
        <v>531.98251973376375</v>
      </c>
      <c r="AA20" s="38">
        <f>IF($A20&gt;LastT,0,N20-V20-Q20/(1+Policy_Sched!$K20)+Z21/(1+Policy_Sched!$K20))</f>
        <v>531.98251973376387</v>
      </c>
    </row>
    <row r="21" spans="1:27" x14ac:dyDescent="0.2">
      <c r="A21" s="30">
        <f t="shared" si="15"/>
        <v>14</v>
      </c>
      <c r="B21" s="31">
        <f t="shared" si="16"/>
        <v>1.1494742132376223</v>
      </c>
      <c r="C21" s="31">
        <f>IF($A21&gt;LastT,0,IF(AND($D$3&lt;&gt;0,$A21&gt;=T0,Policy_Sched!$B21&lt;LastAge),1+$D$3*$E$3,1))</f>
        <v>1</v>
      </c>
      <c r="D21" s="36">
        <f>IF($A21&gt;LastT,0,IF($C$3="up",MIN(Policy_Sched!$E21*(1+IF($A21&gt;=T0,$E$3,0)),$F$3),IF($C$3="down",MAX(Policy_Sched!$E21*(1-IF($A21&gt;=T0,$E$3,0)),Policy_Sched!$E21-$F$3),Policy_Sched!$E21)))</f>
        <v>0.08</v>
      </c>
      <c r="E21" s="37">
        <f t="shared" si="17"/>
        <v>0.30723366791305373</v>
      </c>
      <c r="F21" s="37">
        <f t="shared" si="0"/>
        <v>0</v>
      </c>
      <c r="G21" s="37">
        <f t="shared" si="1"/>
        <v>0.30723366791305373</v>
      </c>
      <c r="H21" s="37">
        <f t="shared" si="2"/>
        <v>0</v>
      </c>
      <c r="I21" s="37">
        <f t="shared" si="3"/>
        <v>0</v>
      </c>
      <c r="J21" s="37">
        <f t="shared" si="4"/>
        <v>0.30723366791305373</v>
      </c>
      <c r="K21" s="37">
        <f>IF($A21&gt;LastT,0,J21*Policy_Sched!$C21*Policy_Sched!$D21*C21)</f>
        <v>4.5163349183218897E-4</v>
      </c>
      <c r="L21" s="41">
        <f t="shared" si="5"/>
        <v>2.45786934330443E-2</v>
      </c>
      <c r="M21" s="38">
        <f t="shared" si="6"/>
        <v>1303.737503564141</v>
      </c>
      <c r="N21" s="38">
        <f t="shared" si="7"/>
        <v>1098.1053309914498</v>
      </c>
      <c r="O21" s="38">
        <f t="shared" si="8"/>
        <v>451.63349183218895</v>
      </c>
      <c r="P21" s="38">
        <f>Policy_Sched!$I21*(L21+I21)</f>
        <v>10.770213029117286</v>
      </c>
      <c r="Q21" s="42">
        <f t="shared" si="9"/>
        <v>462.40370486130621</v>
      </c>
      <c r="R21" s="38">
        <f t="shared" si="10"/>
        <v>0</v>
      </c>
      <c r="S21" s="38">
        <f t="shared" si="11"/>
        <v>0</v>
      </c>
      <c r="T21" s="38">
        <f>Policy_Sched!$J21*J21</f>
        <v>0</v>
      </c>
      <c r="U21" s="42">
        <f t="shared" si="12"/>
        <v>400.552055215819</v>
      </c>
      <c r="V21" s="42">
        <f t="shared" si="13"/>
        <v>400.552055215819</v>
      </c>
      <c r="W21" s="38">
        <f>IF($A21&gt;LastT,0,N21+W22/(1+Policy_Sched!$K21))</f>
        <v>1098.1053309914498</v>
      </c>
      <c r="X21" s="38">
        <f>IF($A21&gt;LastT,0,(-Q21+X22)/(1+Policy_Sched!$K21))</f>
        <v>-455.57015257271553</v>
      </c>
      <c r="Y21" s="38">
        <f>IF($A21&gt;LastT,0,-V21+Y22/(1+Policy_Sched!$K21))</f>
        <v>-400.552055215819</v>
      </c>
      <c r="Z21" s="42">
        <f t="shared" si="14"/>
        <v>241.98312320291529</v>
      </c>
      <c r="AA21" s="38">
        <f>IF($A21&gt;LastT,0,N21-V21-Q21/(1+Policy_Sched!$K21)+Z22/(1+Policy_Sched!$K21))</f>
        <v>241.98312320291529</v>
      </c>
    </row>
    <row r="22" spans="1:27" x14ac:dyDescent="0.2">
      <c r="A22" s="30">
        <f t="shared" si="15"/>
        <v>15</v>
      </c>
      <c r="B22" s="31">
        <f t="shared" si="16"/>
        <v>1.1609689553699987</v>
      </c>
      <c r="C22" s="31">
        <f>IF($A22&gt;LastT,0,IF(AND($D$3&lt;&gt;0,$A22&gt;=T0,Policy_Sched!$B22&lt;LastAge),1+$D$3*$E$3,1))</f>
        <v>1</v>
      </c>
      <c r="D22" s="36">
        <f>IF($A22&gt;LastT,0,IF($C$3="up",MIN(Policy_Sched!$E22*(1+IF($A22&gt;=T0,$E$3,0)),$F$3),IF($C$3="down",MAX(Policy_Sched!$E22*(1-IF($A22&gt;=T0,$E$3,0)),Policy_Sched!$E22-$F$3),Policy_Sched!$E22)))</f>
        <v>0.08</v>
      </c>
      <c r="E22" s="37">
        <f t="shared" si="17"/>
        <v>0.28220334098817723</v>
      </c>
      <c r="F22" s="37">
        <f t="shared" si="0"/>
        <v>0.28220334098817723</v>
      </c>
      <c r="G22" s="37">
        <f t="shared" si="1"/>
        <v>0</v>
      </c>
      <c r="H22" s="37">
        <f t="shared" si="2"/>
        <v>0</v>
      </c>
      <c r="I22" s="37">
        <f t="shared" si="3"/>
        <v>0</v>
      </c>
      <c r="J22" s="37">
        <f t="shared" si="4"/>
        <v>0</v>
      </c>
      <c r="K22" s="37">
        <f>IF($A22&gt;LastT,0,J22*Policy_Sched!$C22*Policy_Sched!$D22*C22)</f>
        <v>0</v>
      </c>
      <c r="L22" s="41">
        <f t="shared" si="5"/>
        <v>0</v>
      </c>
      <c r="M22" s="38">
        <f t="shared" si="6"/>
        <v>1316.3817199097548</v>
      </c>
      <c r="N22" s="38">
        <f t="shared" si="7"/>
        <v>0</v>
      </c>
      <c r="O22" s="38">
        <f t="shared" si="8"/>
        <v>0</v>
      </c>
      <c r="P22" s="38">
        <f>Policy_Sched!$I22*(L22+I22)</f>
        <v>0</v>
      </c>
      <c r="Q22" s="42">
        <f t="shared" si="9"/>
        <v>0</v>
      </c>
      <c r="R22" s="38">
        <f t="shared" si="10"/>
        <v>0</v>
      </c>
      <c r="S22" s="38">
        <f t="shared" si="11"/>
        <v>0</v>
      </c>
      <c r="T22" s="38">
        <f>Policy_Sched!$J22*J22</f>
        <v>0</v>
      </c>
      <c r="U22" s="42">
        <f t="shared" si="12"/>
        <v>0</v>
      </c>
      <c r="V22" s="42">
        <f t="shared" si="13"/>
        <v>0</v>
      </c>
      <c r="W22" s="38">
        <f>IF($A22&gt;LastT,0,N22+W23/(1+Policy_Sched!$K22))</f>
        <v>0</v>
      </c>
      <c r="X22" s="38">
        <f>IF($A22&gt;LastT,0,(-Q22+X23)/(1+Policy_Sched!$K22))</f>
        <v>0</v>
      </c>
      <c r="Y22" s="38">
        <f>IF($A22&gt;LastT,0,-V22+Y23/(1+Policy_Sched!$K22))</f>
        <v>0</v>
      </c>
      <c r="Z22" s="42">
        <f t="shared" si="14"/>
        <v>0</v>
      </c>
      <c r="AA22" s="38">
        <f>IF($A22&gt;LastT,0,N22-V22-Q22/(1+Policy_Sched!$K22)+Z23/(1+Policy_Sched!$K22))</f>
        <v>0</v>
      </c>
    </row>
    <row r="23" spans="1:27" x14ac:dyDescent="0.2">
      <c r="A23" s="30">
        <f t="shared" si="15"/>
        <v>16</v>
      </c>
      <c r="B23" s="31">
        <f t="shared" si="16"/>
        <v>0</v>
      </c>
      <c r="C23" s="31">
        <f>IF($A23&gt;LastT,0,IF(AND($D$3&lt;&gt;0,$A23&gt;=T0,Policy_Sched!$B23&lt;LastAge),1+$D$3*$E$3,1))</f>
        <v>0</v>
      </c>
      <c r="D23" s="36">
        <f>IF($A23&gt;LastT,0,IF($C$3="up",MIN(Policy_Sched!$E23*(1+IF($A23&gt;=T0,$E$3,0)),$F$3),IF($C$3="down",MAX(Policy_Sched!$E23*(1-IF($A23&gt;=T0,$E$3,0)),Policy_Sched!$E23-$F$3),Policy_Sched!$E23)))</f>
        <v>0</v>
      </c>
      <c r="E23" s="37">
        <f t="shared" si="17"/>
        <v>0</v>
      </c>
      <c r="F23" s="37">
        <f t="shared" si="0"/>
        <v>0</v>
      </c>
      <c r="G23" s="37">
        <f t="shared" si="1"/>
        <v>0</v>
      </c>
      <c r="H23" s="37">
        <f t="shared" si="2"/>
        <v>0</v>
      </c>
      <c r="I23" s="37">
        <f t="shared" si="3"/>
        <v>0</v>
      </c>
      <c r="J23" s="37">
        <f t="shared" si="4"/>
        <v>0</v>
      </c>
      <c r="K23" s="37">
        <f>IF($A23&gt;LastT,0,J23*Policy_Sched!$C23*Policy_Sched!$D23*C23)</f>
        <v>0</v>
      </c>
      <c r="L23" s="41">
        <f t="shared" si="5"/>
        <v>0</v>
      </c>
      <c r="M23" s="38">
        <f t="shared" si="6"/>
        <v>0</v>
      </c>
      <c r="N23" s="38">
        <f t="shared" si="7"/>
        <v>0</v>
      </c>
      <c r="O23" s="38">
        <f t="shared" si="8"/>
        <v>0</v>
      </c>
      <c r="P23" s="38">
        <f>Policy_Sched!$I23*(L23+I23)</f>
        <v>0</v>
      </c>
      <c r="Q23" s="42">
        <f t="shared" si="9"/>
        <v>0</v>
      </c>
      <c r="R23" s="38">
        <f t="shared" si="10"/>
        <v>0</v>
      </c>
      <c r="S23" s="38">
        <f t="shared" si="11"/>
        <v>0</v>
      </c>
      <c r="T23" s="38">
        <f>Policy_Sched!$J23*J23</f>
        <v>0</v>
      </c>
      <c r="U23" s="42">
        <f t="shared" si="12"/>
        <v>0</v>
      </c>
      <c r="V23" s="42">
        <f t="shared" si="13"/>
        <v>0</v>
      </c>
      <c r="W23" s="38">
        <f>IF($A23&gt;LastT,0,N23+W24/(1+Policy_Sched!$K23))</f>
        <v>0</v>
      </c>
      <c r="X23" s="38">
        <f>IF($A23&gt;LastT,0,(-Q23+X24)/(1+Policy_Sched!$K23))</f>
        <v>0</v>
      </c>
      <c r="Y23" s="38">
        <f>IF($A23&gt;LastT,0,-V23+Y24/(1+Policy_Sched!$K23))</f>
        <v>0</v>
      </c>
      <c r="Z23" s="42">
        <f t="shared" si="14"/>
        <v>0</v>
      </c>
      <c r="AA23" s="38">
        <f>IF($A23&gt;LastT,0,N23-V23-Q23/(1+Policy_Sched!$K23)+Z24/(1+Policy_Sched!$K23))</f>
        <v>0</v>
      </c>
    </row>
    <row r="24" spans="1:27" x14ac:dyDescent="0.2">
      <c r="A24" s="30">
        <f t="shared" si="15"/>
        <v>17</v>
      </c>
      <c r="B24" s="31">
        <f t="shared" si="16"/>
        <v>0</v>
      </c>
      <c r="C24" s="31">
        <f>IF($A24&gt;LastT,0,IF(AND($D$3&lt;&gt;0,$A24&gt;=T0,Policy_Sched!$B24&lt;LastAge),1+$D$3*$E$3,1))</f>
        <v>0</v>
      </c>
      <c r="D24" s="36">
        <f>IF($A24&gt;LastT,0,IF($C$3="up",MIN(Policy_Sched!$E24*(1+IF($A24&gt;=T0,$E$3,0)),$F$3),IF($C$3="down",MAX(Policy_Sched!$E24*(1-IF($A24&gt;=T0,$E$3,0)),Policy_Sched!$E24-$F$3),Policy_Sched!$E24)))</f>
        <v>0</v>
      </c>
      <c r="E24" s="37">
        <f t="shared" si="17"/>
        <v>0</v>
      </c>
      <c r="F24" s="37">
        <f t="shared" si="0"/>
        <v>0</v>
      </c>
      <c r="G24" s="37">
        <f t="shared" si="1"/>
        <v>0</v>
      </c>
      <c r="H24" s="37">
        <f t="shared" si="2"/>
        <v>0</v>
      </c>
      <c r="I24" s="37">
        <f t="shared" si="3"/>
        <v>0</v>
      </c>
      <c r="J24" s="37">
        <f t="shared" si="4"/>
        <v>0</v>
      </c>
      <c r="K24" s="37">
        <f>IF($A24&gt;LastT,0,J24*Policy_Sched!$C24*Policy_Sched!$D24*C24)</f>
        <v>0</v>
      </c>
      <c r="L24" s="41">
        <f t="shared" si="5"/>
        <v>0</v>
      </c>
      <c r="M24" s="38">
        <f t="shared" si="6"/>
        <v>0</v>
      </c>
      <c r="N24" s="38">
        <f t="shared" si="7"/>
        <v>0</v>
      </c>
      <c r="O24" s="38">
        <f t="shared" si="8"/>
        <v>0</v>
      </c>
      <c r="P24" s="38">
        <f>Policy_Sched!$I24*(L24+I24)</f>
        <v>0</v>
      </c>
      <c r="Q24" s="42">
        <f t="shared" si="9"/>
        <v>0</v>
      </c>
      <c r="R24" s="38">
        <f t="shared" si="10"/>
        <v>0</v>
      </c>
      <c r="S24" s="38">
        <f t="shared" si="11"/>
        <v>0</v>
      </c>
      <c r="T24" s="38">
        <f>Policy_Sched!$J24*J24</f>
        <v>0</v>
      </c>
      <c r="U24" s="42">
        <f t="shared" si="12"/>
        <v>0</v>
      </c>
      <c r="V24" s="42">
        <f t="shared" si="13"/>
        <v>0</v>
      </c>
      <c r="W24" s="38">
        <f>IF($A24&gt;LastT,0,N24+W25/(1+Policy_Sched!$K24))</f>
        <v>0</v>
      </c>
      <c r="X24" s="38">
        <f>IF($A24&gt;LastT,0,(-Q24+X25)/(1+Policy_Sched!$K24))</f>
        <v>0</v>
      </c>
      <c r="Y24" s="38">
        <f>IF($A24&gt;LastT,0,-V24+Y25/(1+Policy_Sched!$K24))</f>
        <v>0</v>
      </c>
      <c r="Z24" s="42">
        <f t="shared" si="14"/>
        <v>0</v>
      </c>
      <c r="AA24" s="38">
        <f>IF($A24&gt;LastT,0,N24-V24-Q24/(1+Policy_Sched!$K24)+Z25/(1+Policy_Sched!$K24))</f>
        <v>0</v>
      </c>
    </row>
    <row r="25" spans="1:27" x14ac:dyDescent="0.2">
      <c r="A25" s="30">
        <f t="shared" si="15"/>
        <v>18</v>
      </c>
      <c r="B25" s="31">
        <f t="shared" si="16"/>
        <v>0</v>
      </c>
      <c r="C25" s="31">
        <f>IF($A25&gt;LastT,0,IF(AND($D$3&lt;&gt;0,$A25&gt;=T0,Policy_Sched!$B25&lt;LastAge),1+$D$3*$E$3,1))</f>
        <v>0</v>
      </c>
      <c r="D25" s="36">
        <f>IF($A25&gt;LastT,0,IF($C$3="up",MIN(Policy_Sched!$E25*(1+IF($A25&gt;=T0,$E$3,0)),$F$3),IF($C$3="down",MAX(Policy_Sched!$E25*(1-IF($A25&gt;=T0,$E$3,0)),Policy_Sched!$E25-$F$3),Policy_Sched!$E25)))</f>
        <v>0</v>
      </c>
      <c r="E25" s="37">
        <f t="shared" si="17"/>
        <v>0</v>
      </c>
      <c r="F25" s="37">
        <f t="shared" si="0"/>
        <v>0</v>
      </c>
      <c r="G25" s="37">
        <f t="shared" si="1"/>
        <v>0</v>
      </c>
      <c r="H25" s="37">
        <f t="shared" si="2"/>
        <v>0</v>
      </c>
      <c r="I25" s="37">
        <f t="shared" si="3"/>
        <v>0</v>
      </c>
      <c r="J25" s="37">
        <f t="shared" si="4"/>
        <v>0</v>
      </c>
      <c r="K25" s="37">
        <f>IF($A25&gt;LastT,0,J25*Policy_Sched!$C25*Policy_Sched!$D25*C25)</f>
        <v>0</v>
      </c>
      <c r="L25" s="41">
        <f t="shared" si="5"/>
        <v>0</v>
      </c>
      <c r="M25" s="38">
        <f t="shared" si="6"/>
        <v>0</v>
      </c>
      <c r="N25" s="38">
        <f t="shared" si="7"/>
        <v>0</v>
      </c>
      <c r="O25" s="38">
        <f t="shared" si="8"/>
        <v>0</v>
      </c>
      <c r="P25" s="38">
        <f>Policy_Sched!$I25*(L25+I25)</f>
        <v>0</v>
      </c>
      <c r="Q25" s="42">
        <f t="shared" si="9"/>
        <v>0</v>
      </c>
      <c r="R25" s="38">
        <f t="shared" si="10"/>
        <v>0</v>
      </c>
      <c r="S25" s="38">
        <f t="shared" si="11"/>
        <v>0</v>
      </c>
      <c r="T25" s="38">
        <f>Policy_Sched!$J25*J25</f>
        <v>0</v>
      </c>
      <c r="U25" s="42">
        <f t="shared" si="12"/>
        <v>0</v>
      </c>
      <c r="V25" s="42">
        <f t="shared" si="13"/>
        <v>0</v>
      </c>
      <c r="W25" s="38">
        <f>IF($A25&gt;LastT,0,N25+W26/(1+Policy_Sched!$K25))</f>
        <v>0</v>
      </c>
      <c r="X25" s="38">
        <f>IF($A25&gt;LastT,0,(-Q25+X26)/(1+Policy_Sched!$K25))</f>
        <v>0</v>
      </c>
      <c r="Y25" s="38">
        <f>IF($A25&gt;LastT,0,-V25+Y26/(1+Policy_Sched!$K25))</f>
        <v>0</v>
      </c>
      <c r="Z25" s="42">
        <f t="shared" si="14"/>
        <v>0</v>
      </c>
      <c r="AA25" s="38">
        <f>IF($A25&gt;LastT,0,N25-V25-Q25/(1+Policy_Sched!$K25)+Z26/(1+Policy_Sched!$K25))</f>
        <v>0</v>
      </c>
    </row>
    <row r="26" spans="1:27" x14ac:dyDescent="0.2">
      <c r="A26" s="30">
        <f t="shared" si="15"/>
        <v>19</v>
      </c>
      <c r="B26" s="31">
        <f t="shared" si="16"/>
        <v>0</v>
      </c>
      <c r="C26" s="31">
        <f>IF($A26&gt;LastT,0,IF(AND($D$3&lt;&gt;0,$A26&gt;=T0,Policy_Sched!$B26&lt;LastAge),1+$D$3*$E$3,1))</f>
        <v>0</v>
      </c>
      <c r="D26" s="36">
        <f>IF($A26&gt;LastT,0,IF($C$3="up",MIN(Policy_Sched!$E26*(1+IF($A26&gt;=T0,$E$3,0)),$F$3),IF($C$3="down",MAX(Policy_Sched!$E26*(1-IF($A26&gt;=T0,$E$3,0)),Policy_Sched!$E26-$F$3),Policy_Sched!$E26)))</f>
        <v>0</v>
      </c>
      <c r="E26" s="37">
        <f t="shared" si="17"/>
        <v>0</v>
      </c>
      <c r="F26" s="37">
        <f t="shared" si="0"/>
        <v>0</v>
      </c>
      <c r="G26" s="37">
        <f t="shared" si="1"/>
        <v>0</v>
      </c>
      <c r="H26" s="37">
        <f t="shared" si="2"/>
        <v>0</v>
      </c>
      <c r="I26" s="37">
        <f t="shared" si="3"/>
        <v>0</v>
      </c>
      <c r="J26" s="37">
        <f t="shared" si="4"/>
        <v>0</v>
      </c>
      <c r="K26" s="37">
        <f>IF($A26&gt;LastT,0,J26*Policy_Sched!$C26*Policy_Sched!$D26*C26)</f>
        <v>0</v>
      </c>
      <c r="L26" s="41">
        <f t="shared" si="5"/>
        <v>0</v>
      </c>
      <c r="M26" s="38">
        <f t="shared" si="6"/>
        <v>0</v>
      </c>
      <c r="N26" s="38">
        <f t="shared" si="7"/>
        <v>0</v>
      </c>
      <c r="O26" s="38">
        <f t="shared" si="8"/>
        <v>0</v>
      </c>
      <c r="P26" s="38">
        <f>Policy_Sched!$I26*(L26+I26)</f>
        <v>0</v>
      </c>
      <c r="Q26" s="42">
        <f t="shared" si="9"/>
        <v>0</v>
      </c>
      <c r="R26" s="38">
        <f t="shared" si="10"/>
        <v>0</v>
      </c>
      <c r="S26" s="38">
        <f t="shared" si="11"/>
        <v>0</v>
      </c>
      <c r="T26" s="38">
        <f>Policy_Sched!$J26*J26</f>
        <v>0</v>
      </c>
      <c r="U26" s="42">
        <f t="shared" si="12"/>
        <v>0</v>
      </c>
      <c r="V26" s="42">
        <f t="shared" si="13"/>
        <v>0</v>
      </c>
      <c r="W26" s="38">
        <f>IF($A26&gt;LastT,0,N26+W27/(1+Policy_Sched!$K26))</f>
        <v>0</v>
      </c>
      <c r="X26" s="38">
        <f>IF($A26&gt;LastT,0,(-Q26+X27)/(1+Policy_Sched!$K26))</f>
        <v>0</v>
      </c>
      <c r="Y26" s="38">
        <f>IF($A26&gt;LastT,0,-V26+Y27/(1+Policy_Sched!$K26))</f>
        <v>0</v>
      </c>
      <c r="Z26" s="42">
        <f t="shared" si="14"/>
        <v>0</v>
      </c>
      <c r="AA26" s="38">
        <f>IF($A26&gt;LastT,0,N26-V26-Q26/(1+Policy_Sched!$K26)+Z27/(1+Policy_Sched!$K26))</f>
        <v>0</v>
      </c>
    </row>
    <row r="27" spans="1:27" x14ac:dyDescent="0.2">
      <c r="A27" s="30">
        <f t="shared" si="15"/>
        <v>20</v>
      </c>
      <c r="B27" s="31">
        <f t="shared" si="16"/>
        <v>0</v>
      </c>
      <c r="C27" s="31">
        <f>IF($A27&gt;LastT,0,IF(AND($D$3&lt;&gt;0,$A27&gt;=T0,Policy_Sched!$B27&lt;LastAge),1+$D$3*$E$3,1))</f>
        <v>0</v>
      </c>
      <c r="D27" s="36">
        <f>IF($A27&gt;LastT,0,IF($C$3="up",MIN(Policy_Sched!$E27*(1+IF($A27&gt;=T0,$E$3,0)),$F$3),IF($C$3="down",MAX(Policy_Sched!$E27*(1-IF($A27&gt;=T0,$E$3,0)),Policy_Sched!$E27-$F$3),Policy_Sched!$E27)))</f>
        <v>0</v>
      </c>
      <c r="E27" s="37">
        <f t="shared" si="17"/>
        <v>0</v>
      </c>
      <c r="F27" s="37">
        <f t="shared" si="0"/>
        <v>0</v>
      </c>
      <c r="G27" s="37">
        <f t="shared" si="1"/>
        <v>0</v>
      </c>
      <c r="H27" s="37">
        <f t="shared" si="2"/>
        <v>0</v>
      </c>
      <c r="I27" s="37">
        <f t="shared" si="3"/>
        <v>0</v>
      </c>
      <c r="J27" s="37">
        <f t="shared" si="4"/>
        <v>0</v>
      </c>
      <c r="K27" s="37">
        <f>IF($A27&gt;LastT,0,J27*Policy_Sched!$C27*Policy_Sched!$D27*C27)</f>
        <v>0</v>
      </c>
      <c r="L27" s="41">
        <f t="shared" si="5"/>
        <v>0</v>
      </c>
      <c r="M27" s="38">
        <f t="shared" si="6"/>
        <v>0</v>
      </c>
      <c r="N27" s="38">
        <f t="shared" si="7"/>
        <v>0</v>
      </c>
      <c r="O27" s="38">
        <f t="shared" si="8"/>
        <v>0</v>
      </c>
      <c r="P27" s="38">
        <f>Policy_Sched!$I27*(L27+I27)</f>
        <v>0</v>
      </c>
      <c r="Q27" s="42">
        <f t="shared" si="9"/>
        <v>0</v>
      </c>
      <c r="R27" s="38">
        <f t="shared" si="10"/>
        <v>0</v>
      </c>
      <c r="S27" s="38">
        <f t="shared" si="11"/>
        <v>0</v>
      </c>
      <c r="T27" s="38">
        <f>Policy_Sched!$J27*J27</f>
        <v>0</v>
      </c>
      <c r="U27" s="42">
        <f t="shared" si="12"/>
        <v>0</v>
      </c>
      <c r="V27" s="42">
        <f t="shared" si="13"/>
        <v>0</v>
      </c>
      <c r="W27" s="38">
        <f>IF($A27&gt;LastT,0,N27+W28/(1+Policy_Sched!$K27))</f>
        <v>0</v>
      </c>
      <c r="X27" s="38">
        <f>IF($A27&gt;LastT,0,(-Q27+X28)/(1+Policy_Sched!$K27))</f>
        <v>0</v>
      </c>
      <c r="Y27" s="38">
        <f>IF($A27&gt;LastT,0,-V27+Y28/(1+Policy_Sched!$K27))</f>
        <v>0</v>
      </c>
      <c r="Z27" s="42">
        <f t="shared" si="14"/>
        <v>0</v>
      </c>
      <c r="AA27" s="38">
        <f>IF($A27&gt;LastT,0,N27-V27-Q27/(1+Policy_Sched!$K27)+Z28/(1+Policy_Sched!$K27))</f>
        <v>0</v>
      </c>
    </row>
    <row r="28" spans="1:27" x14ac:dyDescent="0.2">
      <c r="A28" s="30">
        <f t="shared" si="15"/>
        <v>21</v>
      </c>
      <c r="B28" s="31">
        <f t="shared" si="16"/>
        <v>0</v>
      </c>
      <c r="C28" s="31">
        <f>IF($A28&gt;LastT,0,IF(AND($D$3&lt;&gt;0,$A28&gt;=T0,Policy_Sched!$B28&lt;LastAge),1+$D$3*$E$3,1))</f>
        <v>0</v>
      </c>
      <c r="D28" s="36">
        <f>IF($A28&gt;LastT,0,IF($C$3="up",MIN(Policy_Sched!$E28*(1+IF($A28&gt;=T0,$E$3,0)),$F$3),IF($C$3="down",MAX(Policy_Sched!$E28*(1-IF($A28&gt;=T0,$E$3,0)),Policy_Sched!$E28-$F$3),Policy_Sched!$E28)))</f>
        <v>0</v>
      </c>
      <c r="E28" s="37">
        <f t="shared" si="17"/>
        <v>0</v>
      </c>
      <c r="F28" s="37">
        <f t="shared" si="0"/>
        <v>0</v>
      </c>
      <c r="G28" s="37">
        <f t="shared" si="1"/>
        <v>0</v>
      </c>
      <c r="H28" s="37">
        <f t="shared" si="2"/>
        <v>0</v>
      </c>
      <c r="I28" s="37">
        <f t="shared" si="3"/>
        <v>0</v>
      </c>
      <c r="J28" s="37">
        <f t="shared" si="4"/>
        <v>0</v>
      </c>
      <c r="K28" s="37">
        <f>IF($A28&gt;LastT,0,J28*Policy_Sched!$C28*Policy_Sched!$D28*C28)</f>
        <v>0</v>
      </c>
      <c r="L28" s="41">
        <f t="shared" si="5"/>
        <v>0</v>
      </c>
      <c r="M28" s="38">
        <f t="shared" si="6"/>
        <v>0</v>
      </c>
      <c r="N28" s="38">
        <f t="shared" si="7"/>
        <v>0</v>
      </c>
      <c r="O28" s="38">
        <f t="shared" si="8"/>
        <v>0</v>
      </c>
      <c r="P28" s="38">
        <f>Policy_Sched!$I28*(L28+I28)</f>
        <v>0</v>
      </c>
      <c r="Q28" s="42">
        <f t="shared" si="9"/>
        <v>0</v>
      </c>
      <c r="R28" s="38">
        <f t="shared" si="10"/>
        <v>0</v>
      </c>
      <c r="S28" s="38">
        <f t="shared" si="11"/>
        <v>0</v>
      </c>
      <c r="T28" s="38">
        <f>Policy_Sched!$J28*J28</f>
        <v>0</v>
      </c>
      <c r="U28" s="42">
        <f t="shared" si="12"/>
        <v>0</v>
      </c>
      <c r="V28" s="42">
        <f t="shared" si="13"/>
        <v>0</v>
      </c>
      <c r="W28" s="38">
        <f>IF($A28&gt;LastT,0,N28+W29/(1+Policy_Sched!$K28))</f>
        <v>0</v>
      </c>
      <c r="X28" s="38">
        <f>IF($A28&gt;LastT,0,(-Q28+X29)/(1+Policy_Sched!$K28))</f>
        <v>0</v>
      </c>
      <c r="Y28" s="38">
        <f>IF($A28&gt;LastT,0,-V28+Y29/(1+Policy_Sched!$K28))</f>
        <v>0</v>
      </c>
      <c r="Z28" s="42">
        <f t="shared" si="14"/>
        <v>0</v>
      </c>
      <c r="AA28" s="38">
        <f>IF($A28&gt;LastT,0,N28-V28-Q28/(1+Policy_Sched!$K28)+Z29/(1+Policy_Sched!$K28))</f>
        <v>0</v>
      </c>
    </row>
    <row r="29" spans="1:27" x14ac:dyDescent="0.2">
      <c r="A29" s="30">
        <f t="shared" si="15"/>
        <v>22</v>
      </c>
      <c r="B29" s="31">
        <f t="shared" si="16"/>
        <v>0</v>
      </c>
      <c r="C29" s="31">
        <f>IF($A29&gt;LastT,0,IF(AND($D$3&lt;&gt;0,$A29&gt;=T0,Policy_Sched!$B29&lt;LastAge),1+$D$3*$E$3,1))</f>
        <v>0</v>
      </c>
      <c r="D29" s="36">
        <f>IF($A29&gt;LastT,0,IF($C$3="up",MIN(Policy_Sched!$E29*(1+IF($A29&gt;=T0,$E$3,0)),$F$3),IF($C$3="down",MAX(Policy_Sched!$E29*(1-IF($A29&gt;=T0,$E$3,0)),Policy_Sched!$E29-$F$3),Policy_Sched!$E29)))</f>
        <v>0</v>
      </c>
      <c r="E29" s="37">
        <f t="shared" si="17"/>
        <v>0</v>
      </c>
      <c r="F29" s="37">
        <f t="shared" si="0"/>
        <v>0</v>
      </c>
      <c r="G29" s="37">
        <f t="shared" si="1"/>
        <v>0</v>
      </c>
      <c r="H29" s="37">
        <f t="shared" si="2"/>
        <v>0</v>
      </c>
      <c r="I29" s="37">
        <f t="shared" si="3"/>
        <v>0</v>
      </c>
      <c r="J29" s="37">
        <f t="shared" si="4"/>
        <v>0</v>
      </c>
      <c r="K29" s="37">
        <f>IF($A29&gt;LastT,0,J29*Policy_Sched!$C29*Policy_Sched!$D29*C29)</f>
        <v>0</v>
      </c>
      <c r="L29" s="41">
        <f t="shared" si="5"/>
        <v>0</v>
      </c>
      <c r="M29" s="38">
        <f t="shared" si="6"/>
        <v>0</v>
      </c>
      <c r="N29" s="38">
        <f t="shared" si="7"/>
        <v>0</v>
      </c>
      <c r="O29" s="38">
        <f t="shared" si="8"/>
        <v>0</v>
      </c>
      <c r="P29" s="38">
        <f>Policy_Sched!$I29*(L29+I29)</f>
        <v>0</v>
      </c>
      <c r="Q29" s="42">
        <f t="shared" si="9"/>
        <v>0</v>
      </c>
      <c r="R29" s="38">
        <f t="shared" si="10"/>
        <v>0</v>
      </c>
      <c r="S29" s="38">
        <f t="shared" si="11"/>
        <v>0</v>
      </c>
      <c r="T29" s="38">
        <f>Policy_Sched!$J29*J29</f>
        <v>0</v>
      </c>
      <c r="U29" s="42">
        <f t="shared" si="12"/>
        <v>0</v>
      </c>
      <c r="V29" s="42">
        <f t="shared" si="13"/>
        <v>0</v>
      </c>
      <c r="W29" s="38">
        <f>IF($A29&gt;LastT,0,N29+W30/(1+Policy_Sched!$K29))</f>
        <v>0</v>
      </c>
      <c r="X29" s="38">
        <f>IF($A29&gt;LastT,0,(-Q29+X30)/(1+Policy_Sched!$K29))</f>
        <v>0</v>
      </c>
      <c r="Y29" s="38">
        <f>IF($A29&gt;LastT,0,-V29+Y30/(1+Policy_Sched!$K29))</f>
        <v>0</v>
      </c>
      <c r="Z29" s="42">
        <f t="shared" si="14"/>
        <v>0</v>
      </c>
      <c r="AA29" s="38">
        <f>IF($A29&gt;LastT,0,N29-V29-Q29/(1+Policy_Sched!$K29)+Z30/(1+Policy_Sched!$K29))</f>
        <v>0</v>
      </c>
    </row>
    <row r="30" spans="1:27" x14ac:dyDescent="0.2">
      <c r="A30" s="30">
        <f t="shared" si="15"/>
        <v>23</v>
      </c>
      <c r="B30" s="31">
        <f t="shared" si="16"/>
        <v>0</v>
      </c>
      <c r="C30" s="31">
        <f>IF($A30&gt;LastT,0,IF(AND($D$3&lt;&gt;0,$A30&gt;=T0,Policy_Sched!$B30&lt;LastAge),1+$D$3*$E$3,1))</f>
        <v>0</v>
      </c>
      <c r="D30" s="36">
        <f>IF($A30&gt;LastT,0,IF($C$3="up",MIN(Policy_Sched!$E30*(1+IF($A30&gt;=T0,$E$3,0)),$F$3),IF($C$3="down",MAX(Policy_Sched!$E30*(1-IF($A30&gt;=T0,$E$3,0)),Policy_Sched!$E30-$F$3),Policy_Sched!$E30)))</f>
        <v>0</v>
      </c>
      <c r="E30" s="37">
        <f t="shared" si="17"/>
        <v>0</v>
      </c>
      <c r="F30" s="37">
        <f t="shared" si="0"/>
        <v>0</v>
      </c>
      <c r="G30" s="37">
        <f t="shared" si="1"/>
        <v>0</v>
      </c>
      <c r="H30" s="37">
        <f t="shared" si="2"/>
        <v>0</v>
      </c>
      <c r="I30" s="37">
        <f t="shared" si="3"/>
        <v>0</v>
      </c>
      <c r="J30" s="37">
        <f t="shared" si="4"/>
        <v>0</v>
      </c>
      <c r="K30" s="37">
        <f>IF($A30&gt;LastT,0,J30*Policy_Sched!$C30*Policy_Sched!$D30*C30)</f>
        <v>0</v>
      </c>
      <c r="L30" s="41">
        <f t="shared" si="5"/>
        <v>0</v>
      </c>
      <c r="M30" s="38">
        <f t="shared" si="6"/>
        <v>0</v>
      </c>
      <c r="N30" s="38">
        <f t="shared" si="7"/>
        <v>0</v>
      </c>
      <c r="O30" s="38">
        <f t="shared" si="8"/>
        <v>0</v>
      </c>
      <c r="P30" s="38">
        <f>Policy_Sched!$I30*(L30+I30)</f>
        <v>0</v>
      </c>
      <c r="Q30" s="42">
        <f t="shared" si="9"/>
        <v>0</v>
      </c>
      <c r="R30" s="38">
        <f t="shared" si="10"/>
        <v>0</v>
      </c>
      <c r="S30" s="38">
        <f t="shared" si="11"/>
        <v>0</v>
      </c>
      <c r="T30" s="38">
        <f>Policy_Sched!$J30*J30</f>
        <v>0</v>
      </c>
      <c r="U30" s="42">
        <f t="shared" si="12"/>
        <v>0</v>
      </c>
      <c r="V30" s="42">
        <f t="shared" si="13"/>
        <v>0</v>
      </c>
      <c r="W30" s="38">
        <f>IF($A30&gt;LastT,0,N30+W31/(1+Policy_Sched!$K30))</f>
        <v>0</v>
      </c>
      <c r="X30" s="38">
        <f>IF($A30&gt;LastT,0,(-Q30+X31)/(1+Policy_Sched!$K30))</f>
        <v>0</v>
      </c>
      <c r="Y30" s="38">
        <f>IF($A30&gt;LastT,0,-V30+Y31/(1+Policy_Sched!$K30))</f>
        <v>0</v>
      </c>
      <c r="Z30" s="42">
        <f t="shared" si="14"/>
        <v>0</v>
      </c>
      <c r="AA30" s="38">
        <f>IF($A30&gt;LastT,0,N30-V30-Q30/(1+Policy_Sched!$K30)+Z31/(1+Policy_Sched!$K30))</f>
        <v>0</v>
      </c>
    </row>
    <row r="31" spans="1:27" x14ac:dyDescent="0.2">
      <c r="A31" s="30">
        <f t="shared" si="15"/>
        <v>24</v>
      </c>
      <c r="B31" s="31">
        <f t="shared" si="16"/>
        <v>0</v>
      </c>
      <c r="C31" s="31">
        <f>IF($A31&gt;LastT,0,IF(AND($D$3&lt;&gt;0,$A31&gt;=T0,Policy_Sched!$B31&lt;LastAge),1+$D$3*$E$3,1))</f>
        <v>0</v>
      </c>
      <c r="D31" s="36">
        <f>IF($A31&gt;LastT,0,IF($C$3="up",MIN(Policy_Sched!$E31*(1+IF($A31&gt;=T0,$E$3,0)),$F$3),IF($C$3="down",MAX(Policy_Sched!$E31*(1-IF($A31&gt;=T0,$E$3,0)),Policy_Sched!$E31-$F$3),Policy_Sched!$E31)))</f>
        <v>0</v>
      </c>
      <c r="E31" s="37">
        <f t="shared" si="17"/>
        <v>0</v>
      </c>
      <c r="F31" s="37">
        <f t="shared" si="0"/>
        <v>0</v>
      </c>
      <c r="G31" s="37">
        <f t="shared" si="1"/>
        <v>0</v>
      </c>
      <c r="H31" s="37">
        <f t="shared" si="2"/>
        <v>0</v>
      </c>
      <c r="I31" s="37">
        <f t="shared" si="3"/>
        <v>0</v>
      </c>
      <c r="J31" s="37">
        <f t="shared" si="4"/>
        <v>0</v>
      </c>
      <c r="K31" s="37">
        <f>IF($A31&gt;LastT,0,J31*Policy_Sched!$C31*Policy_Sched!$D31*C31)</f>
        <v>0</v>
      </c>
      <c r="L31" s="41">
        <f t="shared" si="5"/>
        <v>0</v>
      </c>
      <c r="M31" s="38">
        <f t="shared" si="6"/>
        <v>0</v>
      </c>
      <c r="N31" s="38">
        <f t="shared" si="7"/>
        <v>0</v>
      </c>
      <c r="O31" s="38">
        <f t="shared" si="8"/>
        <v>0</v>
      </c>
      <c r="P31" s="38">
        <f>Policy_Sched!$I31*(L31+I31)</f>
        <v>0</v>
      </c>
      <c r="Q31" s="42">
        <f t="shared" si="9"/>
        <v>0</v>
      </c>
      <c r="R31" s="38">
        <f t="shared" si="10"/>
        <v>0</v>
      </c>
      <c r="S31" s="38">
        <f t="shared" si="11"/>
        <v>0</v>
      </c>
      <c r="T31" s="38">
        <f>Policy_Sched!$J31*J31</f>
        <v>0</v>
      </c>
      <c r="U31" s="42">
        <f t="shared" si="12"/>
        <v>0</v>
      </c>
      <c r="V31" s="42">
        <f t="shared" si="13"/>
        <v>0</v>
      </c>
      <c r="W31" s="38">
        <f>IF($A31&gt;LastT,0,N31+W32/(1+Policy_Sched!$K31))</f>
        <v>0</v>
      </c>
      <c r="X31" s="38">
        <f>IF($A31&gt;LastT,0,(-Q31+X32)/(1+Policy_Sched!$K31))</f>
        <v>0</v>
      </c>
      <c r="Y31" s="38">
        <f>IF($A31&gt;LastT,0,-V31+Y32/(1+Policy_Sched!$K31))</f>
        <v>0</v>
      </c>
      <c r="Z31" s="42">
        <f t="shared" si="14"/>
        <v>0</v>
      </c>
      <c r="AA31" s="38">
        <f>IF($A31&gt;LastT,0,N31-V31-Q31/(1+Policy_Sched!$K31)+Z32/(1+Policy_Sched!$K31))</f>
        <v>0</v>
      </c>
    </row>
    <row r="32" spans="1:27" x14ac:dyDescent="0.2">
      <c r="A32" s="30">
        <f t="shared" si="15"/>
        <v>25</v>
      </c>
      <c r="B32" s="31">
        <f t="shared" si="16"/>
        <v>0</v>
      </c>
      <c r="C32" s="31">
        <f>IF($A32&gt;LastT,0,IF(AND($D$3&lt;&gt;0,$A32&gt;=T0,Policy_Sched!$B32&lt;LastAge),1+$D$3*$E$3,1))</f>
        <v>0</v>
      </c>
      <c r="D32" s="36">
        <f>IF($A32&gt;LastT,0,IF($C$3="up",MIN(Policy_Sched!$E32*(1+IF($A32&gt;=T0,$E$3,0)),$F$3),IF($C$3="down",MAX(Policy_Sched!$E32*(1-IF($A32&gt;=T0,$E$3,0)),Policy_Sched!$E32-$F$3),Policy_Sched!$E32)))</f>
        <v>0</v>
      </c>
      <c r="E32" s="37">
        <f t="shared" si="17"/>
        <v>0</v>
      </c>
      <c r="F32" s="37">
        <f t="shared" si="0"/>
        <v>0</v>
      </c>
      <c r="G32" s="37">
        <f t="shared" si="1"/>
        <v>0</v>
      </c>
      <c r="H32" s="37">
        <f t="shared" si="2"/>
        <v>0</v>
      </c>
      <c r="I32" s="37">
        <f t="shared" si="3"/>
        <v>0</v>
      </c>
      <c r="J32" s="37">
        <f t="shared" si="4"/>
        <v>0</v>
      </c>
      <c r="K32" s="37">
        <f>IF($A32&gt;LastT,0,J32*Policy_Sched!$C32*Policy_Sched!$D32*C32)</f>
        <v>0</v>
      </c>
      <c r="L32" s="41">
        <f t="shared" si="5"/>
        <v>0</v>
      </c>
      <c r="M32" s="38">
        <f t="shared" si="6"/>
        <v>0</v>
      </c>
      <c r="N32" s="38">
        <f t="shared" si="7"/>
        <v>0</v>
      </c>
      <c r="O32" s="38">
        <f t="shared" si="8"/>
        <v>0</v>
      </c>
      <c r="P32" s="38">
        <f>Policy_Sched!$I32*(L32+I32)</f>
        <v>0</v>
      </c>
      <c r="Q32" s="42">
        <f t="shared" si="9"/>
        <v>0</v>
      </c>
      <c r="R32" s="38">
        <f t="shared" si="10"/>
        <v>0</v>
      </c>
      <c r="S32" s="38">
        <f t="shared" si="11"/>
        <v>0</v>
      </c>
      <c r="T32" s="38">
        <f>Policy_Sched!$J32*J32</f>
        <v>0</v>
      </c>
      <c r="U32" s="42">
        <f t="shared" si="12"/>
        <v>0</v>
      </c>
      <c r="V32" s="42">
        <f t="shared" si="13"/>
        <v>0</v>
      </c>
      <c r="W32" s="38">
        <f>IF($A32&gt;LastT,0,N32+W33/(1+Policy_Sched!$K32))</f>
        <v>0</v>
      </c>
      <c r="X32" s="38">
        <f>IF($A32&gt;LastT,0,(-Q32+X33)/(1+Policy_Sched!$K32))</f>
        <v>0</v>
      </c>
      <c r="Y32" s="38">
        <f>IF($A32&gt;LastT,0,-V32+Y33/(1+Policy_Sched!$K32))</f>
        <v>0</v>
      </c>
      <c r="Z32" s="42">
        <f t="shared" si="14"/>
        <v>0</v>
      </c>
      <c r="AA32" s="38">
        <f>IF($A32&gt;LastT,0,N32-V32-Q32/(1+Policy_Sched!$K32)+Z33/(1+Policy_Sched!$K32))</f>
        <v>0</v>
      </c>
    </row>
    <row r="33" spans="1:27" x14ac:dyDescent="0.2">
      <c r="A33" s="30">
        <f t="shared" si="15"/>
        <v>26</v>
      </c>
      <c r="B33" s="31">
        <f t="shared" si="16"/>
        <v>0</v>
      </c>
      <c r="C33" s="31">
        <f>IF($A33&gt;LastT,0,IF(AND($D$3&lt;&gt;0,$A33&gt;=T0,Policy_Sched!$B33&lt;LastAge),1+$D$3*$E$3,1))</f>
        <v>0</v>
      </c>
      <c r="D33" s="36">
        <f>IF($A33&gt;LastT,0,IF($C$3="up",MIN(Policy_Sched!$E33*(1+IF($A33&gt;=T0,$E$3,0)),$F$3),IF($C$3="down",MAX(Policy_Sched!$E33*(1-IF($A33&gt;=T0,$E$3,0)),Policy_Sched!$E33-$F$3),Policy_Sched!$E33)))</f>
        <v>0</v>
      </c>
      <c r="E33" s="37">
        <f t="shared" si="17"/>
        <v>0</v>
      </c>
      <c r="F33" s="37">
        <f t="shared" si="0"/>
        <v>0</v>
      </c>
      <c r="G33" s="37">
        <f t="shared" si="1"/>
        <v>0</v>
      </c>
      <c r="H33" s="37">
        <f t="shared" si="2"/>
        <v>0</v>
      </c>
      <c r="I33" s="37">
        <f t="shared" si="3"/>
        <v>0</v>
      </c>
      <c r="J33" s="37">
        <f t="shared" si="4"/>
        <v>0</v>
      </c>
      <c r="K33" s="37">
        <f>IF($A33&gt;LastT,0,J33*Policy_Sched!$C33*Policy_Sched!$D33*C33)</f>
        <v>0</v>
      </c>
      <c r="L33" s="41">
        <f t="shared" si="5"/>
        <v>0</v>
      </c>
      <c r="M33" s="38">
        <f t="shared" si="6"/>
        <v>0</v>
      </c>
      <c r="N33" s="38">
        <f t="shared" si="7"/>
        <v>0</v>
      </c>
      <c r="O33" s="38">
        <f t="shared" si="8"/>
        <v>0</v>
      </c>
      <c r="P33" s="38">
        <f>Policy_Sched!$I33*(L33+I33)</f>
        <v>0</v>
      </c>
      <c r="Q33" s="42">
        <f t="shared" si="9"/>
        <v>0</v>
      </c>
      <c r="R33" s="38">
        <f t="shared" si="10"/>
        <v>0</v>
      </c>
      <c r="S33" s="38">
        <f t="shared" si="11"/>
        <v>0</v>
      </c>
      <c r="T33" s="38">
        <f>Policy_Sched!$J33*J33</f>
        <v>0</v>
      </c>
      <c r="U33" s="42">
        <f t="shared" si="12"/>
        <v>0</v>
      </c>
      <c r="V33" s="42">
        <f t="shared" si="13"/>
        <v>0</v>
      </c>
      <c r="W33" s="38">
        <f>IF($A33&gt;LastT,0,N33+W34/(1+Policy_Sched!$K33))</f>
        <v>0</v>
      </c>
      <c r="X33" s="38">
        <f>IF($A33&gt;LastT,0,(-Q33+X34)/(1+Policy_Sched!$K33))</f>
        <v>0</v>
      </c>
      <c r="Y33" s="38">
        <f>IF($A33&gt;LastT,0,-V33+Y34/(1+Policy_Sched!$K33))</f>
        <v>0</v>
      </c>
      <c r="Z33" s="42">
        <f t="shared" si="14"/>
        <v>0</v>
      </c>
      <c r="AA33" s="38">
        <f>IF($A33&gt;LastT,0,N33-V33-Q33/(1+Policy_Sched!$K33)+Z34/(1+Policy_Sched!$K33))</f>
        <v>0</v>
      </c>
    </row>
    <row r="34" spans="1:27" x14ac:dyDescent="0.2">
      <c r="A34" s="30">
        <f t="shared" si="15"/>
        <v>27</v>
      </c>
      <c r="B34" s="31">
        <f t="shared" si="16"/>
        <v>0</v>
      </c>
      <c r="C34" s="31">
        <f>IF($A34&gt;LastT,0,IF(AND($D$3&lt;&gt;0,$A34&gt;=T0,Policy_Sched!$B34&lt;LastAge),1+$D$3*$E$3,1))</f>
        <v>0</v>
      </c>
      <c r="D34" s="36">
        <f>IF($A34&gt;LastT,0,IF($C$3="up",MIN(Policy_Sched!$E34*(1+IF($A34&gt;=T0,$E$3,0)),$F$3),IF($C$3="down",MAX(Policy_Sched!$E34*(1-IF($A34&gt;=T0,$E$3,0)),Policy_Sched!$E34-$F$3),Policy_Sched!$E34)))</f>
        <v>0</v>
      </c>
      <c r="E34" s="37">
        <f t="shared" si="17"/>
        <v>0</v>
      </c>
      <c r="F34" s="37">
        <f t="shared" si="0"/>
        <v>0</v>
      </c>
      <c r="G34" s="37">
        <f t="shared" si="1"/>
        <v>0</v>
      </c>
      <c r="H34" s="37">
        <f t="shared" si="2"/>
        <v>0</v>
      </c>
      <c r="I34" s="37">
        <f t="shared" si="3"/>
        <v>0</v>
      </c>
      <c r="J34" s="37">
        <f t="shared" si="4"/>
        <v>0</v>
      </c>
      <c r="K34" s="37">
        <f>IF($A34&gt;LastT,0,J34*Policy_Sched!$C34*Policy_Sched!$D34*C34)</f>
        <v>0</v>
      </c>
      <c r="L34" s="41">
        <f t="shared" si="5"/>
        <v>0</v>
      </c>
      <c r="M34" s="38">
        <f t="shared" si="6"/>
        <v>0</v>
      </c>
      <c r="N34" s="38">
        <f t="shared" si="7"/>
        <v>0</v>
      </c>
      <c r="O34" s="38">
        <f t="shared" si="8"/>
        <v>0</v>
      </c>
      <c r="P34" s="38">
        <f>Policy_Sched!$I34*(L34+I34)</f>
        <v>0</v>
      </c>
      <c r="Q34" s="42">
        <f t="shared" si="9"/>
        <v>0</v>
      </c>
      <c r="R34" s="38">
        <f t="shared" si="10"/>
        <v>0</v>
      </c>
      <c r="S34" s="38">
        <f t="shared" si="11"/>
        <v>0</v>
      </c>
      <c r="T34" s="38">
        <f>Policy_Sched!$J34*J34</f>
        <v>0</v>
      </c>
      <c r="U34" s="42">
        <f t="shared" si="12"/>
        <v>0</v>
      </c>
      <c r="V34" s="42">
        <f t="shared" si="13"/>
        <v>0</v>
      </c>
      <c r="W34" s="38">
        <f>IF($A34&gt;LastT,0,N34+W35/(1+Policy_Sched!$K34))</f>
        <v>0</v>
      </c>
      <c r="X34" s="38">
        <f>IF($A34&gt;LastT,0,(-Q34+X35)/(1+Policy_Sched!$K34))</f>
        <v>0</v>
      </c>
      <c r="Y34" s="38">
        <f>IF($A34&gt;LastT,0,-V34+Y35/(1+Policy_Sched!$K34))</f>
        <v>0</v>
      </c>
      <c r="Z34" s="42">
        <f t="shared" si="14"/>
        <v>0</v>
      </c>
      <c r="AA34" s="38">
        <f>IF($A34&gt;LastT,0,N34-V34-Q34/(1+Policy_Sched!$K34)+Z35/(1+Policy_Sched!$K34))</f>
        <v>0</v>
      </c>
    </row>
    <row r="35" spans="1:27" x14ac:dyDescent="0.2">
      <c r="A35" s="30">
        <f t="shared" si="15"/>
        <v>28</v>
      </c>
      <c r="B35" s="31">
        <f t="shared" si="16"/>
        <v>0</v>
      </c>
      <c r="C35" s="31">
        <f>IF($A35&gt;LastT,0,IF(AND($D$3&lt;&gt;0,$A35&gt;=T0,Policy_Sched!$B35&lt;LastAge),1+$D$3*$E$3,1))</f>
        <v>0</v>
      </c>
      <c r="D35" s="36">
        <f>IF($A35&gt;LastT,0,IF($C$3="up",MIN(Policy_Sched!$E35*(1+IF($A35&gt;=T0,$E$3,0)),$F$3),IF($C$3="down",MAX(Policy_Sched!$E35*(1-IF($A35&gt;=T0,$E$3,0)),Policy_Sched!$E35-$F$3),Policy_Sched!$E35)))</f>
        <v>0</v>
      </c>
      <c r="E35" s="37">
        <f t="shared" si="17"/>
        <v>0</v>
      </c>
      <c r="F35" s="37">
        <f t="shared" si="0"/>
        <v>0</v>
      </c>
      <c r="G35" s="37">
        <f t="shared" si="1"/>
        <v>0</v>
      </c>
      <c r="H35" s="37">
        <f t="shared" si="2"/>
        <v>0</v>
      </c>
      <c r="I35" s="37">
        <f t="shared" si="3"/>
        <v>0</v>
      </c>
      <c r="J35" s="37">
        <f t="shared" si="4"/>
        <v>0</v>
      </c>
      <c r="K35" s="37">
        <f>IF($A35&gt;LastT,0,J35*Policy_Sched!$C35*Policy_Sched!$D35*C35)</f>
        <v>0</v>
      </c>
      <c r="L35" s="41">
        <f t="shared" si="5"/>
        <v>0</v>
      </c>
      <c r="M35" s="38">
        <f t="shared" si="6"/>
        <v>0</v>
      </c>
      <c r="N35" s="38">
        <f t="shared" si="7"/>
        <v>0</v>
      </c>
      <c r="O35" s="38">
        <f t="shared" si="8"/>
        <v>0</v>
      </c>
      <c r="P35" s="38">
        <f>Policy_Sched!$I35*(L35+I35)</f>
        <v>0</v>
      </c>
      <c r="Q35" s="42">
        <f t="shared" si="9"/>
        <v>0</v>
      </c>
      <c r="R35" s="38">
        <f t="shared" si="10"/>
        <v>0</v>
      </c>
      <c r="S35" s="38">
        <f t="shared" si="11"/>
        <v>0</v>
      </c>
      <c r="T35" s="38">
        <f>Policy_Sched!$J35*J35</f>
        <v>0</v>
      </c>
      <c r="U35" s="42">
        <f t="shared" si="12"/>
        <v>0</v>
      </c>
      <c r="V35" s="42">
        <f t="shared" si="13"/>
        <v>0</v>
      </c>
      <c r="W35" s="38">
        <f>IF($A35&gt;LastT,0,N35+W36/(1+Policy_Sched!$K35))</f>
        <v>0</v>
      </c>
      <c r="X35" s="38">
        <f>IF($A35&gt;LastT,0,(-Q35+X36)/(1+Policy_Sched!$K35))</f>
        <v>0</v>
      </c>
      <c r="Y35" s="38">
        <f>IF($A35&gt;LastT,0,-V35+Y36/(1+Policy_Sched!$K35))</f>
        <v>0</v>
      </c>
      <c r="Z35" s="42">
        <f t="shared" si="14"/>
        <v>0</v>
      </c>
      <c r="AA35" s="38">
        <f>IF($A35&gt;LastT,0,N35-V35-Q35/(1+Policy_Sched!$K35)+Z36/(1+Policy_Sched!$K35))</f>
        <v>0</v>
      </c>
    </row>
    <row r="36" spans="1:27" x14ac:dyDescent="0.2">
      <c r="A36" s="30">
        <f t="shared" si="15"/>
        <v>29</v>
      </c>
      <c r="B36" s="31">
        <f t="shared" si="16"/>
        <v>0</v>
      </c>
      <c r="C36" s="31">
        <f>IF($A36&gt;LastT,0,IF(AND($D$3&lt;&gt;0,$A36&gt;=T0,Policy_Sched!$B36&lt;LastAge),1+$D$3*$E$3,1))</f>
        <v>0</v>
      </c>
      <c r="D36" s="36">
        <f>IF($A36&gt;LastT,0,IF($C$3="up",MIN(Policy_Sched!$E36*(1+IF($A36&gt;=T0,$E$3,0)),$F$3),IF($C$3="down",MAX(Policy_Sched!$E36*(1-IF($A36&gt;=T0,$E$3,0)),Policy_Sched!$E36-$F$3),Policy_Sched!$E36)))</f>
        <v>0</v>
      </c>
      <c r="E36" s="37">
        <f t="shared" si="17"/>
        <v>0</v>
      </c>
      <c r="F36" s="37">
        <f t="shared" si="0"/>
        <v>0</v>
      </c>
      <c r="G36" s="37">
        <f t="shared" si="1"/>
        <v>0</v>
      </c>
      <c r="H36" s="37">
        <f t="shared" si="2"/>
        <v>0</v>
      </c>
      <c r="I36" s="37">
        <f t="shared" si="3"/>
        <v>0</v>
      </c>
      <c r="J36" s="37">
        <f t="shared" si="4"/>
        <v>0</v>
      </c>
      <c r="K36" s="37">
        <f>IF($A36&gt;LastT,0,J36*Policy_Sched!$C36*Policy_Sched!$D36*C36)</f>
        <v>0</v>
      </c>
      <c r="L36" s="41">
        <f t="shared" si="5"/>
        <v>0</v>
      </c>
      <c r="M36" s="38">
        <f t="shared" si="6"/>
        <v>0</v>
      </c>
      <c r="N36" s="38">
        <f t="shared" si="7"/>
        <v>0</v>
      </c>
      <c r="O36" s="38">
        <f t="shared" si="8"/>
        <v>0</v>
      </c>
      <c r="P36" s="38">
        <f>Policy_Sched!$I36*(L36+I36)</f>
        <v>0</v>
      </c>
      <c r="Q36" s="42">
        <f t="shared" si="9"/>
        <v>0</v>
      </c>
      <c r="R36" s="38">
        <f t="shared" si="10"/>
        <v>0</v>
      </c>
      <c r="S36" s="38">
        <f t="shared" si="11"/>
        <v>0</v>
      </c>
      <c r="T36" s="38">
        <f>Policy_Sched!$J36*J36</f>
        <v>0</v>
      </c>
      <c r="U36" s="42">
        <f t="shared" si="12"/>
        <v>0</v>
      </c>
      <c r="V36" s="42">
        <f t="shared" si="13"/>
        <v>0</v>
      </c>
      <c r="W36" s="38">
        <f>IF($A36&gt;LastT,0,N36+W37/(1+Policy_Sched!$K36))</f>
        <v>0</v>
      </c>
      <c r="X36" s="38">
        <f>IF($A36&gt;LastT,0,(-Q36+X37)/(1+Policy_Sched!$K36))</f>
        <v>0</v>
      </c>
      <c r="Y36" s="38">
        <f>IF($A36&gt;LastT,0,-V36+Y37/(1+Policy_Sched!$K36))</f>
        <v>0</v>
      </c>
      <c r="Z36" s="42">
        <f t="shared" si="14"/>
        <v>0</v>
      </c>
      <c r="AA36" s="38">
        <f>IF($A36&gt;LastT,0,N36-V36-Q36/(1+Policy_Sched!$K36)+Z37/(1+Policy_Sched!$K36))</f>
        <v>0</v>
      </c>
    </row>
    <row r="37" spans="1:27" x14ac:dyDescent="0.2">
      <c r="A37" s="30">
        <f t="shared" si="15"/>
        <v>30</v>
      </c>
      <c r="B37" s="31">
        <f t="shared" si="16"/>
        <v>0</v>
      </c>
      <c r="C37" s="31">
        <f>IF($A37&gt;LastT,0,IF(AND($D$3&lt;&gt;0,$A37&gt;=T0,Policy_Sched!$B37&lt;LastAge),1+$D$3*$E$3,1))</f>
        <v>0</v>
      </c>
      <c r="D37" s="36">
        <f>IF($A37&gt;LastT,0,IF($C$3="up",MIN(Policy_Sched!$E37*(1+IF($A37&gt;=T0,$E$3,0)),$F$3),IF($C$3="down",MAX(Policy_Sched!$E37*(1-IF($A37&gt;=T0,$E$3,0)),Policy_Sched!$E37-$F$3),Policy_Sched!$E37)))</f>
        <v>0</v>
      </c>
      <c r="E37" s="37">
        <f t="shared" si="17"/>
        <v>0</v>
      </c>
      <c r="F37" s="37">
        <f t="shared" si="0"/>
        <v>0</v>
      </c>
      <c r="G37" s="37">
        <f t="shared" si="1"/>
        <v>0</v>
      </c>
      <c r="H37" s="37">
        <f t="shared" si="2"/>
        <v>0</v>
      </c>
      <c r="I37" s="37">
        <f t="shared" si="3"/>
        <v>0</v>
      </c>
      <c r="J37" s="37">
        <f t="shared" si="4"/>
        <v>0</v>
      </c>
      <c r="K37" s="37">
        <f>IF($A37&gt;LastT,0,J37*Policy_Sched!$C37*Policy_Sched!$D37*C37)</f>
        <v>0</v>
      </c>
      <c r="L37" s="41">
        <f t="shared" si="5"/>
        <v>0</v>
      </c>
      <c r="M37" s="38">
        <f t="shared" si="6"/>
        <v>0</v>
      </c>
      <c r="N37" s="38">
        <f t="shared" si="7"/>
        <v>0</v>
      </c>
      <c r="O37" s="38">
        <f t="shared" si="8"/>
        <v>0</v>
      </c>
      <c r="P37" s="38">
        <f>Policy_Sched!$I37*(L37+I37)</f>
        <v>0</v>
      </c>
      <c r="Q37" s="42">
        <f t="shared" si="9"/>
        <v>0</v>
      </c>
      <c r="R37" s="38">
        <f t="shared" si="10"/>
        <v>0</v>
      </c>
      <c r="S37" s="38">
        <f t="shared" si="11"/>
        <v>0</v>
      </c>
      <c r="T37" s="38">
        <f>Policy_Sched!$J37*J37</f>
        <v>0</v>
      </c>
      <c r="U37" s="42">
        <f t="shared" si="12"/>
        <v>0</v>
      </c>
      <c r="V37" s="42">
        <f t="shared" si="13"/>
        <v>0</v>
      </c>
      <c r="W37" s="38">
        <f>IF($A37&gt;LastT,0,N37+W38/(1+Policy_Sched!$K37))</f>
        <v>0</v>
      </c>
      <c r="X37" s="38">
        <f>IF($A37&gt;LastT,0,(-Q37+X38)/(1+Policy_Sched!$K37))</f>
        <v>0</v>
      </c>
      <c r="Y37" s="38">
        <f>IF($A37&gt;LastT,0,-V37+Y38/(1+Policy_Sched!$K37))</f>
        <v>0</v>
      </c>
      <c r="Z37" s="42">
        <f t="shared" si="14"/>
        <v>0</v>
      </c>
      <c r="AA37" s="38">
        <f>IF($A37&gt;LastT,0,N37-V37-Q37/(1+Policy_Sched!$K37)+Z38/(1+Policy_Sched!$K37))</f>
        <v>0</v>
      </c>
    </row>
    <row r="38" spans="1:27" x14ac:dyDescent="0.2">
      <c r="A38" s="30">
        <f t="shared" si="15"/>
        <v>31</v>
      </c>
      <c r="B38" s="31">
        <f t="shared" si="16"/>
        <v>0</v>
      </c>
      <c r="C38" s="31">
        <f>IF($A38&gt;LastT,0,IF(AND($D$3&lt;&gt;0,$A38&gt;=T0,Policy_Sched!$B38&lt;LastAge),1+$D$3*$E$3,1))</f>
        <v>0</v>
      </c>
      <c r="D38" s="36">
        <f>IF($A38&gt;LastT,0,IF($C$3="up",MIN(Policy_Sched!$E38*(1+IF($A38&gt;=T0,$E$3,0)),$F$3),IF($C$3="down",MAX(Policy_Sched!$E38*(1-IF($A38&gt;=T0,$E$3,0)),Policy_Sched!$E38-$F$3),Policy_Sched!$E38)))</f>
        <v>0</v>
      </c>
      <c r="E38" s="37">
        <f t="shared" si="17"/>
        <v>0</v>
      </c>
      <c r="F38" s="37">
        <f t="shared" si="0"/>
        <v>0</v>
      </c>
      <c r="G38" s="37">
        <f t="shared" si="1"/>
        <v>0</v>
      </c>
      <c r="H38" s="37">
        <f t="shared" si="2"/>
        <v>0</v>
      </c>
      <c r="I38" s="37">
        <f t="shared" si="3"/>
        <v>0</v>
      </c>
      <c r="J38" s="37">
        <f t="shared" si="4"/>
        <v>0</v>
      </c>
      <c r="K38" s="37">
        <f>IF($A38&gt;LastT,0,J38*Policy_Sched!$C38*Policy_Sched!$D38*C38)</f>
        <v>0</v>
      </c>
      <c r="L38" s="41">
        <f t="shared" si="5"/>
        <v>0</v>
      </c>
      <c r="M38" s="38">
        <f t="shared" si="6"/>
        <v>0</v>
      </c>
      <c r="N38" s="38">
        <f t="shared" si="7"/>
        <v>0</v>
      </c>
      <c r="O38" s="38">
        <f t="shared" si="8"/>
        <v>0</v>
      </c>
      <c r="P38" s="38">
        <f>Policy_Sched!$I38*(L38+I38)</f>
        <v>0</v>
      </c>
      <c r="Q38" s="42">
        <f t="shared" si="9"/>
        <v>0</v>
      </c>
      <c r="R38" s="38">
        <f t="shared" si="10"/>
        <v>0</v>
      </c>
      <c r="S38" s="38">
        <f t="shared" si="11"/>
        <v>0</v>
      </c>
      <c r="T38" s="38">
        <f>Policy_Sched!$J38*J38</f>
        <v>0</v>
      </c>
      <c r="U38" s="42">
        <f t="shared" si="12"/>
        <v>0</v>
      </c>
      <c r="V38" s="42">
        <f t="shared" si="13"/>
        <v>0</v>
      </c>
      <c r="W38" s="38">
        <f>IF($A38&gt;LastT,0,N38+W39/(1+Policy_Sched!$K38))</f>
        <v>0</v>
      </c>
      <c r="X38" s="38">
        <f>IF($A38&gt;LastT,0,(-Q38+X39)/(1+Policy_Sched!$K38))</f>
        <v>0</v>
      </c>
      <c r="Y38" s="38">
        <f>IF($A38&gt;LastT,0,-V38+Y39/(1+Policy_Sched!$K38))</f>
        <v>0</v>
      </c>
      <c r="Z38" s="42">
        <f t="shared" si="14"/>
        <v>0</v>
      </c>
      <c r="AA38" s="38">
        <f>IF($A38&gt;LastT,0,N38-V38-Q38/(1+Policy_Sched!$K38)+Z39/(1+Policy_Sched!$K38))</f>
        <v>0</v>
      </c>
    </row>
    <row r="39" spans="1:27" x14ac:dyDescent="0.2">
      <c r="A39" s="30">
        <f t="shared" si="15"/>
        <v>32</v>
      </c>
      <c r="B39" s="31">
        <f t="shared" si="16"/>
        <v>0</v>
      </c>
      <c r="C39" s="31">
        <f>IF($A39&gt;LastT,0,IF(AND($D$3&lt;&gt;0,$A39&gt;=T0,Policy_Sched!$B39&lt;LastAge),1+$D$3*$E$3,1))</f>
        <v>0</v>
      </c>
      <c r="D39" s="36">
        <f>IF($A39&gt;LastT,0,IF($C$3="up",MIN(Policy_Sched!$E39*(1+IF($A39&gt;=T0,$E$3,0)),$F$3),IF($C$3="down",MAX(Policy_Sched!$E39*(1-IF($A39&gt;=T0,$E$3,0)),Policy_Sched!$E39-$F$3),Policy_Sched!$E39)))</f>
        <v>0</v>
      </c>
      <c r="E39" s="37">
        <f t="shared" si="17"/>
        <v>0</v>
      </c>
      <c r="F39" s="37">
        <f t="shared" ref="F39:F70" si="18">IF($A39&gt;LastT,0,IF($A39=PolicyTerm,E39,0))</f>
        <v>0</v>
      </c>
      <c r="G39" s="37">
        <f t="shared" ref="G39:G70" si="19">IF($A39&gt;LastT,0,E39-F39)</f>
        <v>0</v>
      </c>
      <c r="H39" s="37">
        <f t="shared" ref="H39:H70" si="20">IF($A39=0,PolicyCount,0)</f>
        <v>0</v>
      </c>
      <c r="I39" s="37">
        <f t="shared" ref="I39:I70" si="21">IF($A39&gt;LastT,0,IF(AND($C$3="mass",$A39=T0),(G39+H39)*$E$3,0))</f>
        <v>0</v>
      </c>
      <c r="J39" s="37">
        <f t="shared" ref="J39:J70" si="22">IF($A39&gt;LastT,0,G39+H39-I39)</f>
        <v>0</v>
      </c>
      <c r="K39" s="37">
        <f>IF($A39&gt;LastT,0,J39*Policy_Sched!$C39*Policy_Sched!$D39*C39)</f>
        <v>0</v>
      </c>
      <c r="L39" s="41">
        <f t="shared" ref="L39:L70" si="23">J39*D39</f>
        <v>0</v>
      </c>
      <c r="M39" s="38">
        <f t="shared" ref="M39:M70" si="24">IF($A39&gt;LastT,0,(SizeAnnPrem*ExpsMaintAnnPrem+(SumAssured*ExpsMaintSA+ExpsMaintPol)*B39)*(1+IF($B$3="exps",$E$3,0)))</f>
        <v>0</v>
      </c>
      <c r="N39" s="38">
        <f t="shared" ref="N39:N70" si="25">SizePremium*J39</f>
        <v>0</v>
      </c>
      <c r="O39" s="38">
        <f t="shared" ref="O39:O70" si="26">SumAssured*K39</f>
        <v>0</v>
      </c>
      <c r="P39" s="38">
        <f>Policy_Sched!$I39*(L39+I39)</f>
        <v>0</v>
      </c>
      <c r="Q39" s="42">
        <f t="shared" ref="Q39:Q70" si="27">O39+P39</f>
        <v>0</v>
      </c>
      <c r="R39" s="38">
        <f t="shared" ref="R39:R70" si="28">IF($A39=0,SizeExpsAcq0*H39,0)</f>
        <v>0</v>
      </c>
      <c r="S39" s="38">
        <f t="shared" ref="S39:S70" si="29">IF($A39=0,SizeExpsCommInit0*J39,0)</f>
        <v>0</v>
      </c>
      <c r="T39" s="38">
        <f>Policy_Sched!$J39*J39</f>
        <v>0</v>
      </c>
      <c r="U39" s="42">
        <f t="shared" ref="U39:U70" si="30">M39*J39</f>
        <v>0</v>
      </c>
      <c r="V39" s="42">
        <f t="shared" ref="V39:V70" si="31">S39+T39+R39+U39</f>
        <v>0</v>
      </c>
      <c r="W39" s="38">
        <f>IF($A39&gt;LastT,0,N39+W40/(1+Policy_Sched!$K39))</f>
        <v>0</v>
      </c>
      <c r="X39" s="38">
        <f>IF($A39&gt;LastT,0,(-Q39+X40)/(1+Policy_Sched!$K39))</f>
        <v>0</v>
      </c>
      <c r="Y39" s="38">
        <f>IF($A39&gt;LastT,0,-V39+Y40/(1+Policy_Sched!$K39))</f>
        <v>0</v>
      </c>
      <c r="Z39" s="42">
        <f t="shared" ref="Z39:Z70" si="32">W39+Y39+X39</f>
        <v>0</v>
      </c>
      <c r="AA39" s="38">
        <f>IF($A39&gt;LastT,0,N39-V39-Q39/(1+Policy_Sched!$K39)+Z40/(1+Policy_Sched!$K39))</f>
        <v>0</v>
      </c>
    </row>
    <row r="40" spans="1:27" x14ac:dyDescent="0.2">
      <c r="A40" s="30">
        <f t="shared" ref="A40:A71" si="33">A39+1</f>
        <v>33</v>
      </c>
      <c r="B40" s="31">
        <f t="shared" ref="B40:B71" si="34">IF($A40&gt;LastT,0,IF($B$3="exps",B39*(1+InflRate+IF($A40&gt;=T0,$G$3,0)),B39/(1+InflRate)))</f>
        <v>0</v>
      </c>
      <c r="C40" s="31">
        <f>IF($A40&gt;LastT,0,IF(AND($D$3&lt;&gt;0,$A40&gt;=T0,Policy_Sched!$B40&lt;LastAge),1+$D$3*$E$3,1))</f>
        <v>0</v>
      </c>
      <c r="D40" s="36">
        <f>IF($A40&gt;LastT,0,IF($C$3="up",MIN(Policy_Sched!$E40*(1+IF($A40&gt;=T0,$E$3,0)),$F$3),IF($C$3="down",MAX(Policy_Sched!$E40*(1-IF($A40&gt;=T0,$E$3,0)),Policy_Sched!$E40-$F$3),Policy_Sched!$E40)))</f>
        <v>0</v>
      </c>
      <c r="E40" s="37">
        <f t="shared" ref="E40:E71" si="35">IF($A40&gt;LastT,0,J39-K39-L39)</f>
        <v>0</v>
      </c>
      <c r="F40" s="37">
        <f t="shared" si="18"/>
        <v>0</v>
      </c>
      <c r="G40" s="37">
        <f t="shared" si="19"/>
        <v>0</v>
      </c>
      <c r="H40" s="37">
        <f t="shared" si="20"/>
        <v>0</v>
      </c>
      <c r="I40" s="37">
        <f t="shared" si="21"/>
        <v>0</v>
      </c>
      <c r="J40" s="37">
        <f t="shared" si="22"/>
        <v>0</v>
      </c>
      <c r="K40" s="37">
        <f>IF($A40&gt;LastT,0,J40*Policy_Sched!$C40*Policy_Sched!$D40*C40)</f>
        <v>0</v>
      </c>
      <c r="L40" s="41">
        <f t="shared" si="23"/>
        <v>0</v>
      </c>
      <c r="M40" s="38">
        <f t="shared" si="24"/>
        <v>0</v>
      </c>
      <c r="N40" s="38">
        <f t="shared" si="25"/>
        <v>0</v>
      </c>
      <c r="O40" s="38">
        <f t="shared" si="26"/>
        <v>0</v>
      </c>
      <c r="P40" s="38">
        <f>Policy_Sched!$I40*(L40+I40)</f>
        <v>0</v>
      </c>
      <c r="Q40" s="42">
        <f t="shared" si="27"/>
        <v>0</v>
      </c>
      <c r="R40" s="38">
        <f t="shared" si="28"/>
        <v>0</v>
      </c>
      <c r="S40" s="38">
        <f t="shared" si="29"/>
        <v>0</v>
      </c>
      <c r="T40" s="38">
        <f>Policy_Sched!$J40*J40</f>
        <v>0</v>
      </c>
      <c r="U40" s="42">
        <f t="shared" si="30"/>
        <v>0</v>
      </c>
      <c r="V40" s="42">
        <f t="shared" si="31"/>
        <v>0</v>
      </c>
      <c r="W40" s="38">
        <f>IF($A40&gt;LastT,0,N40+W41/(1+Policy_Sched!$K40))</f>
        <v>0</v>
      </c>
      <c r="X40" s="38">
        <f>IF($A40&gt;LastT,0,(-Q40+X41)/(1+Policy_Sched!$K40))</f>
        <v>0</v>
      </c>
      <c r="Y40" s="38">
        <f>IF($A40&gt;LastT,0,-V40+Y41/(1+Policy_Sched!$K40))</f>
        <v>0</v>
      </c>
      <c r="Z40" s="42">
        <f t="shared" si="32"/>
        <v>0</v>
      </c>
      <c r="AA40" s="38">
        <f>IF($A40&gt;LastT,0,N40-V40-Q40/(1+Policy_Sched!$K40)+Z41/(1+Policy_Sched!$K40))</f>
        <v>0</v>
      </c>
    </row>
    <row r="41" spans="1:27" x14ac:dyDescent="0.2">
      <c r="A41" s="30">
        <f t="shared" si="33"/>
        <v>34</v>
      </c>
      <c r="B41" s="31">
        <f t="shared" si="34"/>
        <v>0</v>
      </c>
      <c r="C41" s="31">
        <f>IF($A41&gt;LastT,0,IF(AND($D$3&lt;&gt;0,$A41&gt;=T0,Policy_Sched!$B41&lt;LastAge),1+$D$3*$E$3,1))</f>
        <v>0</v>
      </c>
      <c r="D41" s="36">
        <f>IF($A41&gt;LastT,0,IF($C$3="up",MIN(Policy_Sched!$E41*(1+IF($A41&gt;=T0,$E$3,0)),$F$3),IF($C$3="down",MAX(Policy_Sched!$E41*(1-IF($A41&gt;=T0,$E$3,0)),Policy_Sched!$E41-$F$3),Policy_Sched!$E41)))</f>
        <v>0</v>
      </c>
      <c r="E41" s="37">
        <f t="shared" si="35"/>
        <v>0</v>
      </c>
      <c r="F41" s="37">
        <f t="shared" si="18"/>
        <v>0</v>
      </c>
      <c r="G41" s="37">
        <f t="shared" si="19"/>
        <v>0</v>
      </c>
      <c r="H41" s="37">
        <f t="shared" si="20"/>
        <v>0</v>
      </c>
      <c r="I41" s="37">
        <f t="shared" si="21"/>
        <v>0</v>
      </c>
      <c r="J41" s="37">
        <f t="shared" si="22"/>
        <v>0</v>
      </c>
      <c r="K41" s="37">
        <f>IF($A41&gt;LastT,0,J41*Policy_Sched!$C41*Policy_Sched!$D41*C41)</f>
        <v>0</v>
      </c>
      <c r="L41" s="41">
        <f t="shared" si="23"/>
        <v>0</v>
      </c>
      <c r="M41" s="38">
        <f t="shared" si="24"/>
        <v>0</v>
      </c>
      <c r="N41" s="38">
        <f t="shared" si="25"/>
        <v>0</v>
      </c>
      <c r="O41" s="38">
        <f t="shared" si="26"/>
        <v>0</v>
      </c>
      <c r="P41" s="38">
        <f>Policy_Sched!$I41*(L41+I41)</f>
        <v>0</v>
      </c>
      <c r="Q41" s="42">
        <f t="shared" si="27"/>
        <v>0</v>
      </c>
      <c r="R41" s="38">
        <f t="shared" si="28"/>
        <v>0</v>
      </c>
      <c r="S41" s="38">
        <f t="shared" si="29"/>
        <v>0</v>
      </c>
      <c r="T41" s="38">
        <f>Policy_Sched!$J41*J41</f>
        <v>0</v>
      </c>
      <c r="U41" s="42">
        <f t="shared" si="30"/>
        <v>0</v>
      </c>
      <c r="V41" s="42">
        <f t="shared" si="31"/>
        <v>0</v>
      </c>
      <c r="W41" s="38">
        <f>IF($A41&gt;LastT,0,N41+W42/(1+Policy_Sched!$K41))</f>
        <v>0</v>
      </c>
      <c r="X41" s="38">
        <f>IF($A41&gt;LastT,0,(-Q41+X42)/(1+Policy_Sched!$K41))</f>
        <v>0</v>
      </c>
      <c r="Y41" s="38">
        <f>IF($A41&gt;LastT,0,-V41+Y42/(1+Policy_Sched!$K41))</f>
        <v>0</v>
      </c>
      <c r="Z41" s="42">
        <f t="shared" si="32"/>
        <v>0</v>
      </c>
      <c r="AA41" s="38">
        <f>IF($A41&gt;LastT,0,N41-V41-Q41/(1+Policy_Sched!$K41)+Z42/(1+Policy_Sched!$K41))</f>
        <v>0</v>
      </c>
    </row>
    <row r="42" spans="1:27" x14ac:dyDescent="0.2">
      <c r="A42" s="30">
        <f t="shared" si="33"/>
        <v>35</v>
      </c>
      <c r="B42" s="31">
        <f t="shared" si="34"/>
        <v>0</v>
      </c>
      <c r="C42" s="31">
        <f>IF($A42&gt;LastT,0,IF(AND($D$3&lt;&gt;0,$A42&gt;=T0,Policy_Sched!$B42&lt;LastAge),1+$D$3*$E$3,1))</f>
        <v>0</v>
      </c>
      <c r="D42" s="36">
        <f>IF($A42&gt;LastT,0,IF($C$3="up",MIN(Policy_Sched!$E42*(1+IF($A42&gt;=T0,$E$3,0)),$F$3),IF($C$3="down",MAX(Policy_Sched!$E42*(1-IF($A42&gt;=T0,$E$3,0)),Policy_Sched!$E42-$F$3),Policy_Sched!$E42)))</f>
        <v>0</v>
      </c>
      <c r="E42" s="37">
        <f t="shared" si="35"/>
        <v>0</v>
      </c>
      <c r="F42" s="37">
        <f t="shared" si="18"/>
        <v>0</v>
      </c>
      <c r="G42" s="37">
        <f t="shared" si="19"/>
        <v>0</v>
      </c>
      <c r="H42" s="37">
        <f t="shared" si="20"/>
        <v>0</v>
      </c>
      <c r="I42" s="37">
        <f t="shared" si="21"/>
        <v>0</v>
      </c>
      <c r="J42" s="37">
        <f t="shared" si="22"/>
        <v>0</v>
      </c>
      <c r="K42" s="37">
        <f>IF($A42&gt;LastT,0,J42*Policy_Sched!$C42*Policy_Sched!$D42*C42)</f>
        <v>0</v>
      </c>
      <c r="L42" s="41">
        <f t="shared" si="23"/>
        <v>0</v>
      </c>
      <c r="M42" s="38">
        <f t="shared" si="24"/>
        <v>0</v>
      </c>
      <c r="N42" s="38">
        <f t="shared" si="25"/>
        <v>0</v>
      </c>
      <c r="O42" s="38">
        <f t="shared" si="26"/>
        <v>0</v>
      </c>
      <c r="P42" s="38">
        <f>Policy_Sched!$I42*(L42+I42)</f>
        <v>0</v>
      </c>
      <c r="Q42" s="42">
        <f t="shared" si="27"/>
        <v>0</v>
      </c>
      <c r="R42" s="38">
        <f t="shared" si="28"/>
        <v>0</v>
      </c>
      <c r="S42" s="38">
        <f t="shared" si="29"/>
        <v>0</v>
      </c>
      <c r="T42" s="38">
        <f>Policy_Sched!$J42*J42</f>
        <v>0</v>
      </c>
      <c r="U42" s="42">
        <f t="shared" si="30"/>
        <v>0</v>
      </c>
      <c r="V42" s="42">
        <f t="shared" si="31"/>
        <v>0</v>
      </c>
      <c r="W42" s="38">
        <f>IF($A42&gt;LastT,0,N42+W43/(1+Policy_Sched!$K42))</f>
        <v>0</v>
      </c>
      <c r="X42" s="38">
        <f>IF($A42&gt;LastT,0,(-Q42+X43)/(1+Policy_Sched!$K42))</f>
        <v>0</v>
      </c>
      <c r="Y42" s="38">
        <f>IF($A42&gt;LastT,0,-V42+Y43/(1+Policy_Sched!$K42))</f>
        <v>0</v>
      </c>
      <c r="Z42" s="42">
        <f t="shared" si="32"/>
        <v>0</v>
      </c>
      <c r="AA42" s="38">
        <f>IF($A42&gt;LastT,0,N42-V42-Q42/(1+Policy_Sched!$K42)+Z43/(1+Policy_Sched!$K42))</f>
        <v>0</v>
      </c>
    </row>
    <row r="43" spans="1:27" x14ac:dyDescent="0.2">
      <c r="A43" s="30">
        <f t="shared" si="33"/>
        <v>36</v>
      </c>
      <c r="B43" s="31">
        <f t="shared" si="34"/>
        <v>0</v>
      </c>
      <c r="C43" s="31">
        <f>IF($A43&gt;LastT,0,IF(AND($D$3&lt;&gt;0,$A43&gt;=T0,Policy_Sched!$B43&lt;LastAge),1+$D$3*$E$3,1))</f>
        <v>0</v>
      </c>
      <c r="D43" s="36">
        <f>IF($A43&gt;LastT,0,IF($C$3="up",MIN(Policy_Sched!$E43*(1+IF($A43&gt;=T0,$E$3,0)),$F$3),IF($C$3="down",MAX(Policy_Sched!$E43*(1-IF($A43&gt;=T0,$E$3,0)),Policy_Sched!$E43-$F$3),Policy_Sched!$E43)))</f>
        <v>0</v>
      </c>
      <c r="E43" s="37">
        <f t="shared" si="35"/>
        <v>0</v>
      </c>
      <c r="F43" s="37">
        <f t="shared" si="18"/>
        <v>0</v>
      </c>
      <c r="G43" s="37">
        <f t="shared" si="19"/>
        <v>0</v>
      </c>
      <c r="H43" s="37">
        <f t="shared" si="20"/>
        <v>0</v>
      </c>
      <c r="I43" s="37">
        <f t="shared" si="21"/>
        <v>0</v>
      </c>
      <c r="J43" s="37">
        <f t="shared" si="22"/>
        <v>0</v>
      </c>
      <c r="K43" s="37">
        <f>IF($A43&gt;LastT,0,J43*Policy_Sched!$C43*Policy_Sched!$D43*C43)</f>
        <v>0</v>
      </c>
      <c r="L43" s="41">
        <f t="shared" si="23"/>
        <v>0</v>
      </c>
      <c r="M43" s="38">
        <f t="shared" si="24"/>
        <v>0</v>
      </c>
      <c r="N43" s="38">
        <f t="shared" si="25"/>
        <v>0</v>
      </c>
      <c r="O43" s="38">
        <f t="shared" si="26"/>
        <v>0</v>
      </c>
      <c r="P43" s="38">
        <f>Policy_Sched!$I43*(L43+I43)</f>
        <v>0</v>
      </c>
      <c r="Q43" s="42">
        <f t="shared" si="27"/>
        <v>0</v>
      </c>
      <c r="R43" s="38">
        <f t="shared" si="28"/>
        <v>0</v>
      </c>
      <c r="S43" s="38">
        <f t="shared" si="29"/>
        <v>0</v>
      </c>
      <c r="T43" s="38">
        <f>Policy_Sched!$J43*J43</f>
        <v>0</v>
      </c>
      <c r="U43" s="42">
        <f t="shared" si="30"/>
        <v>0</v>
      </c>
      <c r="V43" s="42">
        <f t="shared" si="31"/>
        <v>0</v>
      </c>
      <c r="W43" s="38">
        <f>IF($A43&gt;LastT,0,N43+W44/(1+Policy_Sched!$K43))</f>
        <v>0</v>
      </c>
      <c r="X43" s="38">
        <f>IF($A43&gt;LastT,0,(-Q43+X44)/(1+Policy_Sched!$K43))</f>
        <v>0</v>
      </c>
      <c r="Y43" s="38">
        <f>IF($A43&gt;LastT,0,-V43+Y44/(1+Policy_Sched!$K43))</f>
        <v>0</v>
      </c>
      <c r="Z43" s="42">
        <f t="shared" si="32"/>
        <v>0</v>
      </c>
      <c r="AA43" s="38">
        <f>IF($A43&gt;LastT,0,N43-V43-Q43/(1+Policy_Sched!$K43)+Z44/(1+Policy_Sched!$K43))</f>
        <v>0</v>
      </c>
    </row>
    <row r="44" spans="1:27" x14ac:dyDescent="0.2">
      <c r="A44" s="30">
        <f t="shared" si="33"/>
        <v>37</v>
      </c>
      <c r="B44" s="31">
        <f t="shared" si="34"/>
        <v>0</v>
      </c>
      <c r="C44" s="31">
        <f>IF($A44&gt;LastT,0,IF(AND($D$3&lt;&gt;0,$A44&gt;=T0,Policy_Sched!$B44&lt;LastAge),1+$D$3*$E$3,1))</f>
        <v>0</v>
      </c>
      <c r="D44" s="36">
        <f>IF($A44&gt;LastT,0,IF($C$3="up",MIN(Policy_Sched!$E44*(1+IF($A44&gt;=T0,$E$3,0)),$F$3),IF($C$3="down",MAX(Policy_Sched!$E44*(1-IF($A44&gt;=T0,$E$3,0)),Policy_Sched!$E44-$F$3),Policy_Sched!$E44)))</f>
        <v>0</v>
      </c>
      <c r="E44" s="37">
        <f t="shared" si="35"/>
        <v>0</v>
      </c>
      <c r="F44" s="37">
        <f t="shared" si="18"/>
        <v>0</v>
      </c>
      <c r="G44" s="37">
        <f t="shared" si="19"/>
        <v>0</v>
      </c>
      <c r="H44" s="37">
        <f t="shared" si="20"/>
        <v>0</v>
      </c>
      <c r="I44" s="37">
        <f t="shared" si="21"/>
        <v>0</v>
      </c>
      <c r="J44" s="37">
        <f t="shared" si="22"/>
        <v>0</v>
      </c>
      <c r="K44" s="37">
        <f>IF($A44&gt;LastT,0,J44*Policy_Sched!$C44*Policy_Sched!$D44*C44)</f>
        <v>0</v>
      </c>
      <c r="L44" s="41">
        <f t="shared" si="23"/>
        <v>0</v>
      </c>
      <c r="M44" s="38">
        <f t="shared" si="24"/>
        <v>0</v>
      </c>
      <c r="N44" s="38">
        <f t="shared" si="25"/>
        <v>0</v>
      </c>
      <c r="O44" s="38">
        <f t="shared" si="26"/>
        <v>0</v>
      </c>
      <c r="P44" s="38">
        <f>Policy_Sched!$I44*(L44+I44)</f>
        <v>0</v>
      </c>
      <c r="Q44" s="42">
        <f t="shared" si="27"/>
        <v>0</v>
      </c>
      <c r="R44" s="38">
        <f t="shared" si="28"/>
        <v>0</v>
      </c>
      <c r="S44" s="38">
        <f t="shared" si="29"/>
        <v>0</v>
      </c>
      <c r="T44" s="38">
        <f>Policy_Sched!$J44*J44</f>
        <v>0</v>
      </c>
      <c r="U44" s="42">
        <f t="shared" si="30"/>
        <v>0</v>
      </c>
      <c r="V44" s="42">
        <f t="shared" si="31"/>
        <v>0</v>
      </c>
      <c r="W44" s="38">
        <f>IF($A44&gt;LastT,0,N44+W45/(1+Policy_Sched!$K44))</f>
        <v>0</v>
      </c>
      <c r="X44" s="38">
        <f>IF($A44&gt;LastT,0,(-Q44+X45)/(1+Policy_Sched!$K44))</f>
        <v>0</v>
      </c>
      <c r="Y44" s="38">
        <f>IF($A44&gt;LastT,0,-V44+Y45/(1+Policy_Sched!$K44))</f>
        <v>0</v>
      </c>
      <c r="Z44" s="42">
        <f t="shared" si="32"/>
        <v>0</v>
      </c>
      <c r="AA44" s="38">
        <f>IF($A44&gt;LastT,0,N44-V44-Q44/(1+Policy_Sched!$K44)+Z45/(1+Policy_Sched!$K44))</f>
        <v>0</v>
      </c>
    </row>
    <row r="45" spans="1:27" x14ac:dyDescent="0.2">
      <c r="A45" s="30">
        <f t="shared" si="33"/>
        <v>38</v>
      </c>
      <c r="B45" s="31">
        <f t="shared" si="34"/>
        <v>0</v>
      </c>
      <c r="C45" s="31">
        <f>IF($A45&gt;LastT,0,IF(AND($D$3&lt;&gt;0,$A45&gt;=T0,Policy_Sched!$B45&lt;LastAge),1+$D$3*$E$3,1))</f>
        <v>0</v>
      </c>
      <c r="D45" s="36">
        <f>IF($A45&gt;LastT,0,IF($C$3="up",MIN(Policy_Sched!$E45*(1+IF($A45&gt;=T0,$E$3,0)),$F$3),IF($C$3="down",MAX(Policy_Sched!$E45*(1-IF($A45&gt;=T0,$E$3,0)),Policy_Sched!$E45-$F$3),Policy_Sched!$E45)))</f>
        <v>0</v>
      </c>
      <c r="E45" s="37">
        <f t="shared" si="35"/>
        <v>0</v>
      </c>
      <c r="F45" s="37">
        <f t="shared" si="18"/>
        <v>0</v>
      </c>
      <c r="G45" s="37">
        <f t="shared" si="19"/>
        <v>0</v>
      </c>
      <c r="H45" s="37">
        <f t="shared" si="20"/>
        <v>0</v>
      </c>
      <c r="I45" s="37">
        <f t="shared" si="21"/>
        <v>0</v>
      </c>
      <c r="J45" s="37">
        <f t="shared" si="22"/>
        <v>0</v>
      </c>
      <c r="K45" s="37">
        <f>IF($A45&gt;LastT,0,J45*Policy_Sched!$C45*Policy_Sched!$D45*C45)</f>
        <v>0</v>
      </c>
      <c r="L45" s="41">
        <f t="shared" si="23"/>
        <v>0</v>
      </c>
      <c r="M45" s="38">
        <f t="shared" si="24"/>
        <v>0</v>
      </c>
      <c r="N45" s="38">
        <f t="shared" si="25"/>
        <v>0</v>
      </c>
      <c r="O45" s="38">
        <f t="shared" si="26"/>
        <v>0</v>
      </c>
      <c r="P45" s="38">
        <f>Policy_Sched!$I45*(L45+I45)</f>
        <v>0</v>
      </c>
      <c r="Q45" s="42">
        <f t="shared" si="27"/>
        <v>0</v>
      </c>
      <c r="R45" s="38">
        <f t="shared" si="28"/>
        <v>0</v>
      </c>
      <c r="S45" s="38">
        <f t="shared" si="29"/>
        <v>0</v>
      </c>
      <c r="T45" s="38">
        <f>Policy_Sched!$J45*J45</f>
        <v>0</v>
      </c>
      <c r="U45" s="42">
        <f t="shared" si="30"/>
        <v>0</v>
      </c>
      <c r="V45" s="42">
        <f t="shared" si="31"/>
        <v>0</v>
      </c>
      <c r="W45" s="38">
        <f>IF($A45&gt;LastT,0,N45+W46/(1+Policy_Sched!$K45))</f>
        <v>0</v>
      </c>
      <c r="X45" s="38">
        <f>IF($A45&gt;LastT,0,(-Q45+X46)/(1+Policy_Sched!$K45))</f>
        <v>0</v>
      </c>
      <c r="Y45" s="38">
        <f>IF($A45&gt;LastT,0,-V45+Y46/(1+Policy_Sched!$K45))</f>
        <v>0</v>
      </c>
      <c r="Z45" s="42">
        <f t="shared" si="32"/>
        <v>0</v>
      </c>
      <c r="AA45" s="38">
        <f>IF($A45&gt;LastT,0,N45-V45-Q45/(1+Policy_Sched!$K45)+Z46/(1+Policy_Sched!$K45))</f>
        <v>0</v>
      </c>
    </row>
    <row r="46" spans="1:27" x14ac:dyDescent="0.2">
      <c r="A46" s="30">
        <f t="shared" si="33"/>
        <v>39</v>
      </c>
      <c r="B46" s="31">
        <f t="shared" si="34"/>
        <v>0</v>
      </c>
      <c r="C46" s="31">
        <f>IF($A46&gt;LastT,0,IF(AND($D$3&lt;&gt;0,$A46&gt;=T0,Policy_Sched!$B46&lt;LastAge),1+$D$3*$E$3,1))</f>
        <v>0</v>
      </c>
      <c r="D46" s="36">
        <f>IF($A46&gt;LastT,0,IF($C$3="up",MIN(Policy_Sched!$E46*(1+IF($A46&gt;=T0,$E$3,0)),$F$3),IF($C$3="down",MAX(Policy_Sched!$E46*(1-IF($A46&gt;=T0,$E$3,0)),Policy_Sched!$E46-$F$3),Policy_Sched!$E46)))</f>
        <v>0</v>
      </c>
      <c r="E46" s="37">
        <f t="shared" si="35"/>
        <v>0</v>
      </c>
      <c r="F46" s="37">
        <f t="shared" si="18"/>
        <v>0</v>
      </c>
      <c r="G46" s="37">
        <f t="shared" si="19"/>
        <v>0</v>
      </c>
      <c r="H46" s="37">
        <f t="shared" si="20"/>
        <v>0</v>
      </c>
      <c r="I46" s="37">
        <f t="shared" si="21"/>
        <v>0</v>
      </c>
      <c r="J46" s="37">
        <f t="shared" si="22"/>
        <v>0</v>
      </c>
      <c r="K46" s="37">
        <f>IF($A46&gt;LastT,0,J46*Policy_Sched!$C46*Policy_Sched!$D46*C46)</f>
        <v>0</v>
      </c>
      <c r="L46" s="41">
        <f t="shared" si="23"/>
        <v>0</v>
      </c>
      <c r="M46" s="38">
        <f t="shared" si="24"/>
        <v>0</v>
      </c>
      <c r="N46" s="38">
        <f t="shared" si="25"/>
        <v>0</v>
      </c>
      <c r="O46" s="38">
        <f t="shared" si="26"/>
        <v>0</v>
      </c>
      <c r="P46" s="38">
        <f>Policy_Sched!$I46*(L46+I46)</f>
        <v>0</v>
      </c>
      <c r="Q46" s="42">
        <f t="shared" si="27"/>
        <v>0</v>
      </c>
      <c r="R46" s="38">
        <f t="shared" si="28"/>
        <v>0</v>
      </c>
      <c r="S46" s="38">
        <f t="shared" si="29"/>
        <v>0</v>
      </c>
      <c r="T46" s="38">
        <f>Policy_Sched!$J46*J46</f>
        <v>0</v>
      </c>
      <c r="U46" s="42">
        <f t="shared" si="30"/>
        <v>0</v>
      </c>
      <c r="V46" s="42">
        <f t="shared" si="31"/>
        <v>0</v>
      </c>
      <c r="W46" s="38">
        <f>IF($A46&gt;LastT,0,N46+W47/(1+Policy_Sched!$K46))</f>
        <v>0</v>
      </c>
      <c r="X46" s="38">
        <f>IF($A46&gt;LastT,0,(-Q46+X47)/(1+Policy_Sched!$K46))</f>
        <v>0</v>
      </c>
      <c r="Y46" s="38">
        <f>IF($A46&gt;LastT,0,-V46+Y47/(1+Policy_Sched!$K46))</f>
        <v>0</v>
      </c>
      <c r="Z46" s="42">
        <f t="shared" si="32"/>
        <v>0</v>
      </c>
      <c r="AA46" s="38">
        <f>IF($A46&gt;LastT,0,N46-V46-Q46/(1+Policy_Sched!$K46)+Z47/(1+Policy_Sched!$K46))</f>
        <v>0</v>
      </c>
    </row>
    <row r="47" spans="1:27" x14ac:dyDescent="0.2">
      <c r="A47" s="30">
        <f t="shared" si="33"/>
        <v>40</v>
      </c>
      <c r="B47" s="31">
        <f t="shared" si="34"/>
        <v>0</v>
      </c>
      <c r="C47" s="31">
        <f>IF($A47&gt;LastT,0,IF(AND($D$3&lt;&gt;0,$A47&gt;=T0,Policy_Sched!$B47&lt;LastAge),1+$D$3*$E$3,1))</f>
        <v>0</v>
      </c>
      <c r="D47" s="36">
        <f>IF($A47&gt;LastT,0,IF($C$3="up",MIN(Policy_Sched!$E47*(1+IF($A47&gt;=T0,$E$3,0)),$F$3),IF($C$3="down",MAX(Policy_Sched!$E47*(1-IF($A47&gt;=T0,$E$3,0)),Policy_Sched!$E47-$F$3),Policy_Sched!$E47)))</f>
        <v>0</v>
      </c>
      <c r="E47" s="37">
        <f t="shared" si="35"/>
        <v>0</v>
      </c>
      <c r="F47" s="37">
        <f t="shared" si="18"/>
        <v>0</v>
      </c>
      <c r="G47" s="37">
        <f t="shared" si="19"/>
        <v>0</v>
      </c>
      <c r="H47" s="37">
        <f t="shared" si="20"/>
        <v>0</v>
      </c>
      <c r="I47" s="37">
        <f t="shared" si="21"/>
        <v>0</v>
      </c>
      <c r="J47" s="37">
        <f t="shared" si="22"/>
        <v>0</v>
      </c>
      <c r="K47" s="37">
        <f>IF($A47&gt;LastT,0,J47*Policy_Sched!$C47*Policy_Sched!$D47*C47)</f>
        <v>0</v>
      </c>
      <c r="L47" s="41">
        <f t="shared" si="23"/>
        <v>0</v>
      </c>
      <c r="M47" s="38">
        <f t="shared" si="24"/>
        <v>0</v>
      </c>
      <c r="N47" s="38">
        <f t="shared" si="25"/>
        <v>0</v>
      </c>
      <c r="O47" s="38">
        <f t="shared" si="26"/>
        <v>0</v>
      </c>
      <c r="P47" s="38">
        <f>Policy_Sched!$I47*(L47+I47)</f>
        <v>0</v>
      </c>
      <c r="Q47" s="42">
        <f t="shared" si="27"/>
        <v>0</v>
      </c>
      <c r="R47" s="38">
        <f t="shared" si="28"/>
        <v>0</v>
      </c>
      <c r="S47" s="38">
        <f t="shared" si="29"/>
        <v>0</v>
      </c>
      <c r="T47" s="38">
        <f>Policy_Sched!$J47*J47</f>
        <v>0</v>
      </c>
      <c r="U47" s="42">
        <f t="shared" si="30"/>
        <v>0</v>
      </c>
      <c r="V47" s="42">
        <f t="shared" si="31"/>
        <v>0</v>
      </c>
      <c r="W47" s="38">
        <f>IF($A47&gt;LastT,0,N47+W48/(1+Policy_Sched!$K47))</f>
        <v>0</v>
      </c>
      <c r="X47" s="38">
        <f>IF($A47&gt;LastT,0,(-Q47+X48)/(1+Policy_Sched!$K47))</f>
        <v>0</v>
      </c>
      <c r="Y47" s="38">
        <f>IF($A47&gt;LastT,0,-V47+Y48/(1+Policy_Sched!$K47))</f>
        <v>0</v>
      </c>
      <c r="Z47" s="42">
        <f t="shared" si="32"/>
        <v>0</v>
      </c>
      <c r="AA47" s="38">
        <f>IF($A47&gt;LastT,0,N47-V47-Q47/(1+Policy_Sched!$K47)+Z48/(1+Policy_Sched!$K47))</f>
        <v>0</v>
      </c>
    </row>
    <row r="48" spans="1:27" x14ac:dyDescent="0.2">
      <c r="A48" s="30">
        <f t="shared" si="33"/>
        <v>41</v>
      </c>
      <c r="B48" s="31">
        <f t="shared" si="34"/>
        <v>0</v>
      </c>
      <c r="C48" s="31">
        <f>IF($A48&gt;LastT,0,IF(AND($D$3&lt;&gt;0,$A48&gt;=T0,Policy_Sched!$B48&lt;LastAge),1+$D$3*$E$3,1))</f>
        <v>0</v>
      </c>
      <c r="D48" s="36">
        <f>IF($A48&gt;LastT,0,IF($C$3="up",MIN(Policy_Sched!$E48*(1+IF($A48&gt;=T0,$E$3,0)),$F$3),IF($C$3="down",MAX(Policy_Sched!$E48*(1-IF($A48&gt;=T0,$E$3,0)),Policy_Sched!$E48-$F$3),Policy_Sched!$E48)))</f>
        <v>0</v>
      </c>
      <c r="E48" s="37">
        <f t="shared" si="35"/>
        <v>0</v>
      </c>
      <c r="F48" s="37">
        <f t="shared" si="18"/>
        <v>0</v>
      </c>
      <c r="G48" s="37">
        <f t="shared" si="19"/>
        <v>0</v>
      </c>
      <c r="H48" s="37">
        <f t="shared" si="20"/>
        <v>0</v>
      </c>
      <c r="I48" s="37">
        <f t="shared" si="21"/>
        <v>0</v>
      </c>
      <c r="J48" s="37">
        <f t="shared" si="22"/>
        <v>0</v>
      </c>
      <c r="K48" s="37">
        <f>IF($A48&gt;LastT,0,J48*Policy_Sched!$C48*Policy_Sched!$D48*C48)</f>
        <v>0</v>
      </c>
      <c r="L48" s="41">
        <f t="shared" si="23"/>
        <v>0</v>
      </c>
      <c r="M48" s="38">
        <f t="shared" si="24"/>
        <v>0</v>
      </c>
      <c r="N48" s="38">
        <f t="shared" si="25"/>
        <v>0</v>
      </c>
      <c r="O48" s="38">
        <f t="shared" si="26"/>
        <v>0</v>
      </c>
      <c r="P48" s="38">
        <f>Policy_Sched!$I48*(L48+I48)</f>
        <v>0</v>
      </c>
      <c r="Q48" s="42">
        <f t="shared" si="27"/>
        <v>0</v>
      </c>
      <c r="R48" s="38">
        <f t="shared" si="28"/>
        <v>0</v>
      </c>
      <c r="S48" s="38">
        <f t="shared" si="29"/>
        <v>0</v>
      </c>
      <c r="T48" s="38">
        <f>Policy_Sched!$J48*J48</f>
        <v>0</v>
      </c>
      <c r="U48" s="42">
        <f t="shared" si="30"/>
        <v>0</v>
      </c>
      <c r="V48" s="42">
        <f t="shared" si="31"/>
        <v>0</v>
      </c>
      <c r="W48" s="38">
        <f>IF($A48&gt;LastT,0,N48+W49/(1+Policy_Sched!$K48))</f>
        <v>0</v>
      </c>
      <c r="X48" s="38">
        <f>IF($A48&gt;LastT,0,(-Q48+X49)/(1+Policy_Sched!$K48))</f>
        <v>0</v>
      </c>
      <c r="Y48" s="38">
        <f>IF($A48&gt;LastT,0,-V48+Y49/(1+Policy_Sched!$K48))</f>
        <v>0</v>
      </c>
      <c r="Z48" s="42">
        <f t="shared" si="32"/>
        <v>0</v>
      </c>
      <c r="AA48" s="38">
        <f>IF($A48&gt;LastT,0,N48-V48-Q48/(1+Policy_Sched!$K48)+Z49/(1+Policy_Sched!$K48))</f>
        <v>0</v>
      </c>
    </row>
    <row r="49" spans="1:27" x14ac:dyDescent="0.2">
      <c r="A49" s="30">
        <f t="shared" si="33"/>
        <v>42</v>
      </c>
      <c r="B49" s="31">
        <f t="shared" si="34"/>
        <v>0</v>
      </c>
      <c r="C49" s="31">
        <f>IF($A49&gt;LastT,0,IF(AND($D$3&lt;&gt;0,$A49&gt;=T0,Policy_Sched!$B49&lt;LastAge),1+$D$3*$E$3,1))</f>
        <v>0</v>
      </c>
      <c r="D49" s="36">
        <f>IF($A49&gt;LastT,0,IF($C$3="up",MIN(Policy_Sched!$E49*(1+IF($A49&gt;=T0,$E$3,0)),$F$3),IF($C$3="down",MAX(Policy_Sched!$E49*(1-IF($A49&gt;=T0,$E$3,0)),Policy_Sched!$E49-$F$3),Policy_Sched!$E49)))</f>
        <v>0</v>
      </c>
      <c r="E49" s="37">
        <f t="shared" si="35"/>
        <v>0</v>
      </c>
      <c r="F49" s="37">
        <f t="shared" si="18"/>
        <v>0</v>
      </c>
      <c r="G49" s="37">
        <f t="shared" si="19"/>
        <v>0</v>
      </c>
      <c r="H49" s="37">
        <f t="shared" si="20"/>
        <v>0</v>
      </c>
      <c r="I49" s="37">
        <f t="shared" si="21"/>
        <v>0</v>
      </c>
      <c r="J49" s="37">
        <f t="shared" si="22"/>
        <v>0</v>
      </c>
      <c r="K49" s="37">
        <f>IF($A49&gt;LastT,0,J49*Policy_Sched!$C49*Policy_Sched!$D49*C49)</f>
        <v>0</v>
      </c>
      <c r="L49" s="41">
        <f t="shared" si="23"/>
        <v>0</v>
      </c>
      <c r="M49" s="38">
        <f t="shared" si="24"/>
        <v>0</v>
      </c>
      <c r="N49" s="38">
        <f t="shared" si="25"/>
        <v>0</v>
      </c>
      <c r="O49" s="38">
        <f t="shared" si="26"/>
        <v>0</v>
      </c>
      <c r="P49" s="38">
        <f>Policy_Sched!$I49*(L49+I49)</f>
        <v>0</v>
      </c>
      <c r="Q49" s="42">
        <f t="shared" si="27"/>
        <v>0</v>
      </c>
      <c r="R49" s="38">
        <f t="shared" si="28"/>
        <v>0</v>
      </c>
      <c r="S49" s="38">
        <f t="shared" si="29"/>
        <v>0</v>
      </c>
      <c r="T49" s="38">
        <f>Policy_Sched!$J49*J49</f>
        <v>0</v>
      </c>
      <c r="U49" s="42">
        <f t="shared" si="30"/>
        <v>0</v>
      </c>
      <c r="V49" s="42">
        <f t="shared" si="31"/>
        <v>0</v>
      </c>
      <c r="W49" s="38">
        <f>IF($A49&gt;LastT,0,N49+W50/(1+Policy_Sched!$K49))</f>
        <v>0</v>
      </c>
      <c r="X49" s="38">
        <f>IF($A49&gt;LastT,0,(-Q49+X50)/(1+Policy_Sched!$K49))</f>
        <v>0</v>
      </c>
      <c r="Y49" s="38">
        <f>IF($A49&gt;LastT,0,-V49+Y50/(1+Policy_Sched!$K49))</f>
        <v>0</v>
      </c>
      <c r="Z49" s="42">
        <f t="shared" si="32"/>
        <v>0</v>
      </c>
      <c r="AA49" s="38">
        <f>IF($A49&gt;LastT,0,N49-V49-Q49/(1+Policy_Sched!$K49)+Z50/(1+Policy_Sched!$K49))</f>
        <v>0</v>
      </c>
    </row>
    <row r="50" spans="1:27" x14ac:dyDescent="0.2">
      <c r="A50" s="30">
        <f t="shared" si="33"/>
        <v>43</v>
      </c>
      <c r="B50" s="31">
        <f t="shared" si="34"/>
        <v>0</v>
      </c>
      <c r="C50" s="31">
        <f>IF($A50&gt;LastT,0,IF(AND($D$3&lt;&gt;0,$A50&gt;=T0,Policy_Sched!$B50&lt;LastAge),1+$D$3*$E$3,1))</f>
        <v>0</v>
      </c>
      <c r="D50" s="36">
        <f>IF($A50&gt;LastT,0,IF($C$3="up",MIN(Policy_Sched!$E50*(1+IF($A50&gt;=T0,$E$3,0)),$F$3),IF($C$3="down",MAX(Policy_Sched!$E50*(1-IF($A50&gt;=T0,$E$3,0)),Policy_Sched!$E50-$F$3),Policy_Sched!$E50)))</f>
        <v>0</v>
      </c>
      <c r="E50" s="37">
        <f t="shared" si="35"/>
        <v>0</v>
      </c>
      <c r="F50" s="37">
        <f t="shared" si="18"/>
        <v>0</v>
      </c>
      <c r="G50" s="37">
        <f t="shared" si="19"/>
        <v>0</v>
      </c>
      <c r="H50" s="37">
        <f t="shared" si="20"/>
        <v>0</v>
      </c>
      <c r="I50" s="37">
        <f t="shared" si="21"/>
        <v>0</v>
      </c>
      <c r="J50" s="37">
        <f t="shared" si="22"/>
        <v>0</v>
      </c>
      <c r="K50" s="37">
        <f>IF($A50&gt;LastT,0,J50*Policy_Sched!$C50*Policy_Sched!$D50*C50)</f>
        <v>0</v>
      </c>
      <c r="L50" s="41">
        <f t="shared" si="23"/>
        <v>0</v>
      </c>
      <c r="M50" s="38">
        <f t="shared" si="24"/>
        <v>0</v>
      </c>
      <c r="N50" s="38">
        <f t="shared" si="25"/>
        <v>0</v>
      </c>
      <c r="O50" s="38">
        <f t="shared" si="26"/>
        <v>0</v>
      </c>
      <c r="P50" s="38">
        <f>Policy_Sched!$I50*(L50+I50)</f>
        <v>0</v>
      </c>
      <c r="Q50" s="42">
        <f t="shared" si="27"/>
        <v>0</v>
      </c>
      <c r="R50" s="38">
        <f t="shared" si="28"/>
        <v>0</v>
      </c>
      <c r="S50" s="38">
        <f t="shared" si="29"/>
        <v>0</v>
      </c>
      <c r="T50" s="38">
        <f>Policy_Sched!$J50*J50</f>
        <v>0</v>
      </c>
      <c r="U50" s="42">
        <f t="shared" si="30"/>
        <v>0</v>
      </c>
      <c r="V50" s="42">
        <f t="shared" si="31"/>
        <v>0</v>
      </c>
      <c r="W50" s="38">
        <f>IF($A50&gt;LastT,0,N50+W51/(1+Policy_Sched!$K50))</f>
        <v>0</v>
      </c>
      <c r="X50" s="38">
        <f>IF($A50&gt;LastT,0,(-Q50+X51)/(1+Policy_Sched!$K50))</f>
        <v>0</v>
      </c>
      <c r="Y50" s="38">
        <f>IF($A50&gt;LastT,0,-V50+Y51/(1+Policy_Sched!$K50))</f>
        <v>0</v>
      </c>
      <c r="Z50" s="42">
        <f t="shared" si="32"/>
        <v>0</v>
      </c>
      <c r="AA50" s="38">
        <f>IF($A50&gt;LastT,0,N50-V50-Q50/(1+Policy_Sched!$K50)+Z51/(1+Policy_Sched!$K50))</f>
        <v>0</v>
      </c>
    </row>
    <row r="51" spans="1:27" x14ac:dyDescent="0.2">
      <c r="A51" s="30">
        <f t="shared" si="33"/>
        <v>44</v>
      </c>
      <c r="B51" s="31">
        <f t="shared" si="34"/>
        <v>0</v>
      </c>
      <c r="C51" s="31">
        <f>IF($A51&gt;LastT,0,IF(AND($D$3&lt;&gt;0,$A51&gt;=T0,Policy_Sched!$B51&lt;LastAge),1+$D$3*$E$3,1))</f>
        <v>0</v>
      </c>
      <c r="D51" s="36">
        <f>IF($A51&gt;LastT,0,IF($C$3="up",MIN(Policy_Sched!$E51*(1+IF($A51&gt;=T0,$E$3,0)),$F$3),IF($C$3="down",MAX(Policy_Sched!$E51*(1-IF($A51&gt;=T0,$E$3,0)),Policy_Sched!$E51-$F$3),Policy_Sched!$E51)))</f>
        <v>0</v>
      </c>
      <c r="E51" s="37">
        <f t="shared" si="35"/>
        <v>0</v>
      </c>
      <c r="F51" s="37">
        <f t="shared" si="18"/>
        <v>0</v>
      </c>
      <c r="G51" s="37">
        <f t="shared" si="19"/>
        <v>0</v>
      </c>
      <c r="H51" s="37">
        <f t="shared" si="20"/>
        <v>0</v>
      </c>
      <c r="I51" s="37">
        <f t="shared" si="21"/>
        <v>0</v>
      </c>
      <c r="J51" s="37">
        <f t="shared" si="22"/>
        <v>0</v>
      </c>
      <c r="K51" s="37">
        <f>IF($A51&gt;LastT,0,J51*Policy_Sched!$C51*Policy_Sched!$D51*C51)</f>
        <v>0</v>
      </c>
      <c r="L51" s="41">
        <f t="shared" si="23"/>
        <v>0</v>
      </c>
      <c r="M51" s="38">
        <f t="shared" si="24"/>
        <v>0</v>
      </c>
      <c r="N51" s="38">
        <f t="shared" si="25"/>
        <v>0</v>
      </c>
      <c r="O51" s="38">
        <f t="shared" si="26"/>
        <v>0</v>
      </c>
      <c r="P51" s="38">
        <f>Policy_Sched!$I51*(L51+I51)</f>
        <v>0</v>
      </c>
      <c r="Q51" s="42">
        <f t="shared" si="27"/>
        <v>0</v>
      </c>
      <c r="R51" s="38">
        <f t="shared" si="28"/>
        <v>0</v>
      </c>
      <c r="S51" s="38">
        <f t="shared" si="29"/>
        <v>0</v>
      </c>
      <c r="T51" s="38">
        <f>Policy_Sched!$J51*J51</f>
        <v>0</v>
      </c>
      <c r="U51" s="42">
        <f t="shared" si="30"/>
        <v>0</v>
      </c>
      <c r="V51" s="42">
        <f t="shared" si="31"/>
        <v>0</v>
      </c>
      <c r="W51" s="38">
        <f>IF($A51&gt;LastT,0,N51+W52/(1+Policy_Sched!$K51))</f>
        <v>0</v>
      </c>
      <c r="X51" s="38">
        <f>IF($A51&gt;LastT,0,(-Q51+X52)/(1+Policy_Sched!$K51))</f>
        <v>0</v>
      </c>
      <c r="Y51" s="38">
        <f>IF($A51&gt;LastT,0,-V51+Y52/(1+Policy_Sched!$K51))</f>
        <v>0</v>
      </c>
      <c r="Z51" s="42">
        <f t="shared" si="32"/>
        <v>0</v>
      </c>
      <c r="AA51" s="38">
        <f>IF($A51&gt;LastT,0,N51-V51-Q51/(1+Policy_Sched!$K51)+Z52/(1+Policy_Sched!$K51))</f>
        <v>0</v>
      </c>
    </row>
    <row r="52" spans="1:27" x14ac:dyDescent="0.2">
      <c r="A52" s="30">
        <f t="shared" si="33"/>
        <v>45</v>
      </c>
      <c r="B52" s="31">
        <f t="shared" si="34"/>
        <v>0</v>
      </c>
      <c r="C52" s="31">
        <f>IF($A52&gt;LastT,0,IF(AND($D$3&lt;&gt;0,$A52&gt;=T0,Policy_Sched!$B52&lt;LastAge),1+$D$3*$E$3,1))</f>
        <v>0</v>
      </c>
      <c r="D52" s="36">
        <f>IF($A52&gt;LastT,0,IF($C$3="up",MIN(Policy_Sched!$E52*(1+IF($A52&gt;=T0,$E$3,0)),$F$3),IF($C$3="down",MAX(Policy_Sched!$E52*(1-IF($A52&gt;=T0,$E$3,0)),Policy_Sched!$E52-$F$3),Policy_Sched!$E52)))</f>
        <v>0</v>
      </c>
      <c r="E52" s="37">
        <f t="shared" si="35"/>
        <v>0</v>
      </c>
      <c r="F52" s="37">
        <f t="shared" si="18"/>
        <v>0</v>
      </c>
      <c r="G52" s="37">
        <f t="shared" si="19"/>
        <v>0</v>
      </c>
      <c r="H52" s="37">
        <f t="shared" si="20"/>
        <v>0</v>
      </c>
      <c r="I52" s="37">
        <f t="shared" si="21"/>
        <v>0</v>
      </c>
      <c r="J52" s="37">
        <f t="shared" si="22"/>
        <v>0</v>
      </c>
      <c r="K52" s="37">
        <f>IF($A52&gt;LastT,0,J52*Policy_Sched!$C52*Policy_Sched!$D52*C52)</f>
        <v>0</v>
      </c>
      <c r="L52" s="41">
        <f t="shared" si="23"/>
        <v>0</v>
      </c>
      <c r="M52" s="38">
        <f t="shared" si="24"/>
        <v>0</v>
      </c>
      <c r="N52" s="38">
        <f t="shared" si="25"/>
        <v>0</v>
      </c>
      <c r="O52" s="38">
        <f t="shared" si="26"/>
        <v>0</v>
      </c>
      <c r="P52" s="38">
        <f>Policy_Sched!$I52*(L52+I52)</f>
        <v>0</v>
      </c>
      <c r="Q52" s="42">
        <f t="shared" si="27"/>
        <v>0</v>
      </c>
      <c r="R52" s="38">
        <f t="shared" si="28"/>
        <v>0</v>
      </c>
      <c r="S52" s="38">
        <f t="shared" si="29"/>
        <v>0</v>
      </c>
      <c r="T52" s="38">
        <f>Policy_Sched!$J52*J52</f>
        <v>0</v>
      </c>
      <c r="U52" s="42">
        <f t="shared" si="30"/>
        <v>0</v>
      </c>
      <c r="V52" s="42">
        <f t="shared" si="31"/>
        <v>0</v>
      </c>
      <c r="W52" s="38">
        <f>IF($A52&gt;LastT,0,N52+W53/(1+Policy_Sched!$K52))</f>
        <v>0</v>
      </c>
      <c r="X52" s="38">
        <f>IF($A52&gt;LastT,0,(-Q52+X53)/(1+Policy_Sched!$K52))</f>
        <v>0</v>
      </c>
      <c r="Y52" s="38">
        <f>IF($A52&gt;LastT,0,-V52+Y53/(1+Policy_Sched!$K52))</f>
        <v>0</v>
      </c>
      <c r="Z52" s="42">
        <f t="shared" si="32"/>
        <v>0</v>
      </c>
      <c r="AA52" s="38">
        <f>IF($A52&gt;LastT,0,N52-V52-Q52/(1+Policy_Sched!$K52)+Z53/(1+Policy_Sched!$K52))</f>
        <v>0</v>
      </c>
    </row>
    <row r="53" spans="1:27" x14ac:dyDescent="0.2">
      <c r="A53" s="30">
        <f t="shared" si="33"/>
        <v>46</v>
      </c>
      <c r="B53" s="31">
        <f t="shared" si="34"/>
        <v>0</v>
      </c>
      <c r="C53" s="31">
        <f>IF($A53&gt;LastT,0,IF(AND($D$3&lt;&gt;0,$A53&gt;=T0,Policy_Sched!$B53&lt;LastAge),1+$D$3*$E$3,1))</f>
        <v>0</v>
      </c>
      <c r="D53" s="36">
        <f>IF($A53&gt;LastT,0,IF($C$3="up",MIN(Policy_Sched!$E53*(1+IF($A53&gt;=T0,$E$3,0)),$F$3),IF($C$3="down",MAX(Policy_Sched!$E53*(1-IF($A53&gt;=T0,$E$3,0)),Policy_Sched!$E53-$F$3),Policy_Sched!$E53)))</f>
        <v>0</v>
      </c>
      <c r="E53" s="37">
        <f t="shared" si="35"/>
        <v>0</v>
      </c>
      <c r="F53" s="37">
        <f t="shared" si="18"/>
        <v>0</v>
      </c>
      <c r="G53" s="37">
        <f t="shared" si="19"/>
        <v>0</v>
      </c>
      <c r="H53" s="37">
        <f t="shared" si="20"/>
        <v>0</v>
      </c>
      <c r="I53" s="37">
        <f t="shared" si="21"/>
        <v>0</v>
      </c>
      <c r="J53" s="37">
        <f t="shared" si="22"/>
        <v>0</v>
      </c>
      <c r="K53" s="37">
        <f>IF($A53&gt;LastT,0,J53*Policy_Sched!$C53*Policy_Sched!$D53*C53)</f>
        <v>0</v>
      </c>
      <c r="L53" s="41">
        <f t="shared" si="23"/>
        <v>0</v>
      </c>
      <c r="M53" s="38">
        <f t="shared" si="24"/>
        <v>0</v>
      </c>
      <c r="N53" s="38">
        <f t="shared" si="25"/>
        <v>0</v>
      </c>
      <c r="O53" s="38">
        <f t="shared" si="26"/>
        <v>0</v>
      </c>
      <c r="P53" s="38">
        <f>Policy_Sched!$I53*(L53+I53)</f>
        <v>0</v>
      </c>
      <c r="Q53" s="42">
        <f t="shared" si="27"/>
        <v>0</v>
      </c>
      <c r="R53" s="38">
        <f t="shared" si="28"/>
        <v>0</v>
      </c>
      <c r="S53" s="38">
        <f t="shared" si="29"/>
        <v>0</v>
      </c>
      <c r="T53" s="38">
        <f>Policy_Sched!$J53*J53</f>
        <v>0</v>
      </c>
      <c r="U53" s="42">
        <f t="shared" si="30"/>
        <v>0</v>
      </c>
      <c r="V53" s="42">
        <f t="shared" si="31"/>
        <v>0</v>
      </c>
      <c r="W53" s="38">
        <f>IF($A53&gt;LastT,0,N53+W54/(1+Policy_Sched!$K53))</f>
        <v>0</v>
      </c>
      <c r="X53" s="38">
        <f>IF($A53&gt;LastT,0,(-Q53+X54)/(1+Policy_Sched!$K53))</f>
        <v>0</v>
      </c>
      <c r="Y53" s="38">
        <f>IF($A53&gt;LastT,0,-V53+Y54/(1+Policy_Sched!$K53))</f>
        <v>0</v>
      </c>
      <c r="Z53" s="42">
        <f t="shared" si="32"/>
        <v>0</v>
      </c>
      <c r="AA53" s="38">
        <f>IF($A53&gt;LastT,0,N53-V53-Q53/(1+Policy_Sched!$K53)+Z54/(1+Policy_Sched!$K53))</f>
        <v>0</v>
      </c>
    </row>
    <row r="54" spans="1:27" x14ac:dyDescent="0.2">
      <c r="A54" s="30">
        <f t="shared" si="33"/>
        <v>47</v>
      </c>
      <c r="B54" s="31">
        <f t="shared" si="34"/>
        <v>0</v>
      </c>
      <c r="C54" s="31">
        <f>IF($A54&gt;LastT,0,IF(AND($D$3&lt;&gt;0,$A54&gt;=T0,Policy_Sched!$B54&lt;LastAge),1+$D$3*$E$3,1))</f>
        <v>0</v>
      </c>
      <c r="D54" s="36">
        <f>IF($A54&gt;LastT,0,IF($C$3="up",MIN(Policy_Sched!$E54*(1+IF($A54&gt;=T0,$E$3,0)),$F$3),IF($C$3="down",MAX(Policy_Sched!$E54*(1-IF($A54&gt;=T0,$E$3,0)),Policy_Sched!$E54-$F$3),Policy_Sched!$E54)))</f>
        <v>0</v>
      </c>
      <c r="E54" s="37">
        <f t="shared" si="35"/>
        <v>0</v>
      </c>
      <c r="F54" s="37">
        <f t="shared" si="18"/>
        <v>0</v>
      </c>
      <c r="G54" s="37">
        <f t="shared" si="19"/>
        <v>0</v>
      </c>
      <c r="H54" s="37">
        <f t="shared" si="20"/>
        <v>0</v>
      </c>
      <c r="I54" s="37">
        <f t="shared" si="21"/>
        <v>0</v>
      </c>
      <c r="J54" s="37">
        <f t="shared" si="22"/>
        <v>0</v>
      </c>
      <c r="K54" s="37">
        <f>IF($A54&gt;LastT,0,J54*Policy_Sched!$C54*Policy_Sched!$D54*C54)</f>
        <v>0</v>
      </c>
      <c r="L54" s="41">
        <f t="shared" si="23"/>
        <v>0</v>
      </c>
      <c r="M54" s="38">
        <f t="shared" si="24"/>
        <v>0</v>
      </c>
      <c r="N54" s="38">
        <f t="shared" si="25"/>
        <v>0</v>
      </c>
      <c r="O54" s="38">
        <f t="shared" si="26"/>
        <v>0</v>
      </c>
      <c r="P54" s="38">
        <f>Policy_Sched!$I54*(L54+I54)</f>
        <v>0</v>
      </c>
      <c r="Q54" s="42">
        <f t="shared" si="27"/>
        <v>0</v>
      </c>
      <c r="R54" s="38">
        <f t="shared" si="28"/>
        <v>0</v>
      </c>
      <c r="S54" s="38">
        <f t="shared" si="29"/>
        <v>0</v>
      </c>
      <c r="T54" s="38">
        <f>Policy_Sched!$J54*J54</f>
        <v>0</v>
      </c>
      <c r="U54" s="42">
        <f t="shared" si="30"/>
        <v>0</v>
      </c>
      <c r="V54" s="42">
        <f t="shared" si="31"/>
        <v>0</v>
      </c>
      <c r="W54" s="38">
        <f>IF($A54&gt;LastT,0,N54+W55/(1+Policy_Sched!$K54))</f>
        <v>0</v>
      </c>
      <c r="X54" s="38">
        <f>IF($A54&gt;LastT,0,(-Q54+X55)/(1+Policy_Sched!$K54))</f>
        <v>0</v>
      </c>
      <c r="Y54" s="38">
        <f>IF($A54&gt;LastT,0,-V54+Y55/(1+Policy_Sched!$K54))</f>
        <v>0</v>
      </c>
      <c r="Z54" s="42">
        <f t="shared" si="32"/>
        <v>0</v>
      </c>
      <c r="AA54" s="38">
        <f>IF($A54&gt;LastT,0,N54-V54-Q54/(1+Policy_Sched!$K54)+Z55/(1+Policy_Sched!$K54))</f>
        <v>0</v>
      </c>
    </row>
    <row r="55" spans="1:27" x14ac:dyDescent="0.2">
      <c r="A55" s="30">
        <f t="shared" si="33"/>
        <v>48</v>
      </c>
      <c r="B55" s="31">
        <f t="shared" si="34"/>
        <v>0</v>
      </c>
      <c r="C55" s="31">
        <f>IF($A55&gt;LastT,0,IF(AND($D$3&lt;&gt;0,$A55&gt;=T0,Policy_Sched!$B55&lt;LastAge),1+$D$3*$E$3,1))</f>
        <v>0</v>
      </c>
      <c r="D55" s="36">
        <f>IF($A55&gt;LastT,0,IF($C$3="up",MIN(Policy_Sched!$E55*(1+IF($A55&gt;=T0,$E$3,0)),$F$3),IF($C$3="down",MAX(Policy_Sched!$E55*(1-IF($A55&gt;=T0,$E$3,0)),Policy_Sched!$E55-$F$3),Policy_Sched!$E55)))</f>
        <v>0</v>
      </c>
      <c r="E55" s="37">
        <f t="shared" si="35"/>
        <v>0</v>
      </c>
      <c r="F55" s="37">
        <f t="shared" si="18"/>
        <v>0</v>
      </c>
      <c r="G55" s="37">
        <f t="shared" si="19"/>
        <v>0</v>
      </c>
      <c r="H55" s="37">
        <f t="shared" si="20"/>
        <v>0</v>
      </c>
      <c r="I55" s="37">
        <f t="shared" si="21"/>
        <v>0</v>
      </c>
      <c r="J55" s="37">
        <f t="shared" si="22"/>
        <v>0</v>
      </c>
      <c r="K55" s="37">
        <f>IF($A55&gt;LastT,0,J55*Policy_Sched!$C55*Policy_Sched!$D55*C55)</f>
        <v>0</v>
      </c>
      <c r="L55" s="41">
        <f t="shared" si="23"/>
        <v>0</v>
      </c>
      <c r="M55" s="38">
        <f t="shared" si="24"/>
        <v>0</v>
      </c>
      <c r="N55" s="38">
        <f t="shared" si="25"/>
        <v>0</v>
      </c>
      <c r="O55" s="38">
        <f t="shared" si="26"/>
        <v>0</v>
      </c>
      <c r="P55" s="38">
        <f>Policy_Sched!$I55*(L55+I55)</f>
        <v>0</v>
      </c>
      <c r="Q55" s="42">
        <f t="shared" si="27"/>
        <v>0</v>
      </c>
      <c r="R55" s="38">
        <f t="shared" si="28"/>
        <v>0</v>
      </c>
      <c r="S55" s="38">
        <f t="shared" si="29"/>
        <v>0</v>
      </c>
      <c r="T55" s="38">
        <f>Policy_Sched!$J55*J55</f>
        <v>0</v>
      </c>
      <c r="U55" s="42">
        <f t="shared" si="30"/>
        <v>0</v>
      </c>
      <c r="V55" s="42">
        <f t="shared" si="31"/>
        <v>0</v>
      </c>
      <c r="W55" s="38">
        <f>IF($A55&gt;LastT,0,N55+W56/(1+Policy_Sched!$K55))</f>
        <v>0</v>
      </c>
      <c r="X55" s="38">
        <f>IF($A55&gt;LastT,0,(-Q55+X56)/(1+Policy_Sched!$K55))</f>
        <v>0</v>
      </c>
      <c r="Y55" s="38">
        <f>IF($A55&gt;LastT,0,-V55+Y56/(1+Policy_Sched!$K55))</f>
        <v>0</v>
      </c>
      <c r="Z55" s="42">
        <f t="shared" si="32"/>
        <v>0</v>
      </c>
      <c r="AA55" s="38">
        <f>IF($A55&gt;LastT,0,N55-V55-Q55/(1+Policy_Sched!$K55)+Z56/(1+Policy_Sched!$K55))</f>
        <v>0</v>
      </c>
    </row>
    <row r="56" spans="1:27" x14ac:dyDescent="0.2">
      <c r="A56" s="30">
        <f t="shared" si="33"/>
        <v>49</v>
      </c>
      <c r="B56" s="31">
        <f t="shared" si="34"/>
        <v>0</v>
      </c>
      <c r="C56" s="31">
        <f>IF($A56&gt;LastT,0,IF(AND($D$3&lt;&gt;0,$A56&gt;=T0,Policy_Sched!$B56&lt;LastAge),1+$D$3*$E$3,1))</f>
        <v>0</v>
      </c>
      <c r="D56" s="36">
        <f>IF($A56&gt;LastT,0,IF($C$3="up",MIN(Policy_Sched!$E56*(1+IF($A56&gt;=T0,$E$3,0)),$F$3),IF($C$3="down",MAX(Policy_Sched!$E56*(1-IF($A56&gt;=T0,$E$3,0)),Policy_Sched!$E56-$F$3),Policy_Sched!$E56)))</f>
        <v>0</v>
      </c>
      <c r="E56" s="37">
        <f t="shared" si="35"/>
        <v>0</v>
      </c>
      <c r="F56" s="37">
        <f t="shared" si="18"/>
        <v>0</v>
      </c>
      <c r="G56" s="37">
        <f t="shared" si="19"/>
        <v>0</v>
      </c>
      <c r="H56" s="37">
        <f t="shared" si="20"/>
        <v>0</v>
      </c>
      <c r="I56" s="37">
        <f t="shared" si="21"/>
        <v>0</v>
      </c>
      <c r="J56" s="37">
        <f t="shared" si="22"/>
        <v>0</v>
      </c>
      <c r="K56" s="37">
        <f>IF($A56&gt;LastT,0,J56*Policy_Sched!$C56*Policy_Sched!$D56*C56)</f>
        <v>0</v>
      </c>
      <c r="L56" s="41">
        <f t="shared" si="23"/>
        <v>0</v>
      </c>
      <c r="M56" s="38">
        <f t="shared" si="24"/>
        <v>0</v>
      </c>
      <c r="N56" s="38">
        <f t="shared" si="25"/>
        <v>0</v>
      </c>
      <c r="O56" s="38">
        <f t="shared" si="26"/>
        <v>0</v>
      </c>
      <c r="P56" s="38">
        <f>Policy_Sched!$I56*(L56+I56)</f>
        <v>0</v>
      </c>
      <c r="Q56" s="42">
        <f t="shared" si="27"/>
        <v>0</v>
      </c>
      <c r="R56" s="38">
        <f t="shared" si="28"/>
        <v>0</v>
      </c>
      <c r="S56" s="38">
        <f t="shared" si="29"/>
        <v>0</v>
      </c>
      <c r="T56" s="38">
        <f>Policy_Sched!$J56*J56</f>
        <v>0</v>
      </c>
      <c r="U56" s="42">
        <f t="shared" si="30"/>
        <v>0</v>
      </c>
      <c r="V56" s="42">
        <f t="shared" si="31"/>
        <v>0</v>
      </c>
      <c r="W56" s="38">
        <f>IF($A56&gt;LastT,0,N56+W57/(1+Policy_Sched!$K56))</f>
        <v>0</v>
      </c>
      <c r="X56" s="38">
        <f>IF($A56&gt;LastT,0,(-Q56+X57)/(1+Policy_Sched!$K56))</f>
        <v>0</v>
      </c>
      <c r="Y56" s="38">
        <f>IF($A56&gt;LastT,0,-V56+Y57/(1+Policy_Sched!$K56))</f>
        <v>0</v>
      </c>
      <c r="Z56" s="42">
        <f t="shared" si="32"/>
        <v>0</v>
      </c>
      <c r="AA56" s="38">
        <f>IF($A56&gt;LastT,0,N56-V56-Q56/(1+Policy_Sched!$K56)+Z57/(1+Policy_Sched!$K56))</f>
        <v>0</v>
      </c>
    </row>
    <row r="57" spans="1:27" x14ac:dyDescent="0.2">
      <c r="A57" s="30">
        <f t="shared" si="33"/>
        <v>50</v>
      </c>
      <c r="B57" s="31">
        <f t="shared" si="34"/>
        <v>0</v>
      </c>
      <c r="C57" s="31">
        <f>IF($A57&gt;LastT,0,IF(AND($D$3&lt;&gt;0,$A57&gt;=T0,Policy_Sched!$B57&lt;LastAge),1+$D$3*$E$3,1))</f>
        <v>0</v>
      </c>
      <c r="D57" s="36">
        <f>IF($A57&gt;LastT,0,IF($C$3="up",MIN(Policy_Sched!$E57*(1+IF($A57&gt;=T0,$E$3,0)),$F$3),IF($C$3="down",MAX(Policy_Sched!$E57*(1-IF($A57&gt;=T0,$E$3,0)),Policy_Sched!$E57-$F$3),Policy_Sched!$E57)))</f>
        <v>0</v>
      </c>
      <c r="E57" s="37">
        <f t="shared" si="35"/>
        <v>0</v>
      </c>
      <c r="F57" s="37">
        <f t="shared" si="18"/>
        <v>0</v>
      </c>
      <c r="G57" s="37">
        <f t="shared" si="19"/>
        <v>0</v>
      </c>
      <c r="H57" s="37">
        <f t="shared" si="20"/>
        <v>0</v>
      </c>
      <c r="I57" s="37">
        <f t="shared" si="21"/>
        <v>0</v>
      </c>
      <c r="J57" s="37">
        <f t="shared" si="22"/>
        <v>0</v>
      </c>
      <c r="K57" s="37">
        <f>IF($A57&gt;LastT,0,J57*Policy_Sched!$C57*Policy_Sched!$D57*C57)</f>
        <v>0</v>
      </c>
      <c r="L57" s="41">
        <f t="shared" si="23"/>
        <v>0</v>
      </c>
      <c r="M57" s="38">
        <f t="shared" si="24"/>
        <v>0</v>
      </c>
      <c r="N57" s="38">
        <f t="shared" si="25"/>
        <v>0</v>
      </c>
      <c r="O57" s="38">
        <f t="shared" si="26"/>
        <v>0</v>
      </c>
      <c r="P57" s="38">
        <f>Policy_Sched!$I57*(L57+I57)</f>
        <v>0</v>
      </c>
      <c r="Q57" s="42">
        <f t="shared" si="27"/>
        <v>0</v>
      </c>
      <c r="R57" s="38">
        <f t="shared" si="28"/>
        <v>0</v>
      </c>
      <c r="S57" s="38">
        <f t="shared" si="29"/>
        <v>0</v>
      </c>
      <c r="T57" s="38">
        <f>Policy_Sched!$J57*J57</f>
        <v>0</v>
      </c>
      <c r="U57" s="42">
        <f t="shared" si="30"/>
        <v>0</v>
      </c>
      <c r="V57" s="42">
        <f t="shared" si="31"/>
        <v>0</v>
      </c>
      <c r="W57" s="38">
        <f>IF($A57&gt;LastT,0,N57+W58/(1+Policy_Sched!$K57))</f>
        <v>0</v>
      </c>
      <c r="X57" s="38">
        <f>IF($A57&gt;LastT,0,(-Q57+X58)/(1+Policy_Sched!$K57))</f>
        <v>0</v>
      </c>
      <c r="Y57" s="38">
        <f>IF($A57&gt;LastT,0,-V57+Y58/(1+Policy_Sched!$K57))</f>
        <v>0</v>
      </c>
      <c r="Z57" s="42">
        <f t="shared" si="32"/>
        <v>0</v>
      </c>
      <c r="AA57" s="38">
        <f>IF($A57&gt;LastT,0,N57-V57-Q57/(1+Policy_Sched!$K57)+Z58/(1+Policy_Sched!$K57))</f>
        <v>0</v>
      </c>
    </row>
    <row r="58" spans="1:27" x14ac:dyDescent="0.2">
      <c r="A58" s="30">
        <f t="shared" si="33"/>
        <v>51</v>
      </c>
      <c r="B58" s="31">
        <f t="shared" si="34"/>
        <v>0</v>
      </c>
      <c r="C58" s="31">
        <f>IF($A58&gt;LastT,0,IF(AND($D$3&lt;&gt;0,$A58&gt;=T0,Policy_Sched!$B58&lt;LastAge),1+$D$3*$E$3,1))</f>
        <v>0</v>
      </c>
      <c r="D58" s="36">
        <f>IF($A58&gt;LastT,0,IF($C$3="up",MIN(Policy_Sched!$E58*(1+IF($A58&gt;=T0,$E$3,0)),$F$3),IF($C$3="down",MAX(Policy_Sched!$E58*(1-IF($A58&gt;=T0,$E$3,0)),Policy_Sched!$E58-$F$3),Policy_Sched!$E58)))</f>
        <v>0</v>
      </c>
      <c r="E58" s="37">
        <f t="shared" si="35"/>
        <v>0</v>
      </c>
      <c r="F58" s="37">
        <f t="shared" si="18"/>
        <v>0</v>
      </c>
      <c r="G58" s="37">
        <f t="shared" si="19"/>
        <v>0</v>
      </c>
      <c r="H58" s="37">
        <f t="shared" si="20"/>
        <v>0</v>
      </c>
      <c r="I58" s="37">
        <f t="shared" si="21"/>
        <v>0</v>
      </c>
      <c r="J58" s="37">
        <f t="shared" si="22"/>
        <v>0</v>
      </c>
      <c r="K58" s="37">
        <f>IF($A58&gt;LastT,0,J58*Policy_Sched!$C58*Policy_Sched!$D58*C58)</f>
        <v>0</v>
      </c>
      <c r="L58" s="41">
        <f t="shared" si="23"/>
        <v>0</v>
      </c>
      <c r="M58" s="38">
        <f t="shared" si="24"/>
        <v>0</v>
      </c>
      <c r="N58" s="38">
        <f t="shared" si="25"/>
        <v>0</v>
      </c>
      <c r="O58" s="38">
        <f t="shared" si="26"/>
        <v>0</v>
      </c>
      <c r="P58" s="38">
        <f>Policy_Sched!$I58*(L58+I58)</f>
        <v>0</v>
      </c>
      <c r="Q58" s="42">
        <f t="shared" si="27"/>
        <v>0</v>
      </c>
      <c r="R58" s="38">
        <f t="shared" si="28"/>
        <v>0</v>
      </c>
      <c r="S58" s="38">
        <f t="shared" si="29"/>
        <v>0</v>
      </c>
      <c r="T58" s="38">
        <f>Policy_Sched!$J58*J58</f>
        <v>0</v>
      </c>
      <c r="U58" s="42">
        <f t="shared" si="30"/>
        <v>0</v>
      </c>
      <c r="V58" s="42">
        <f t="shared" si="31"/>
        <v>0</v>
      </c>
      <c r="W58" s="38">
        <f>IF($A58&gt;LastT,0,N58+W59/(1+Policy_Sched!$K58))</f>
        <v>0</v>
      </c>
      <c r="X58" s="38">
        <f>IF($A58&gt;LastT,0,(-Q58+X59)/(1+Policy_Sched!$K58))</f>
        <v>0</v>
      </c>
      <c r="Y58" s="38">
        <f>IF($A58&gt;LastT,0,-V58+Y59/(1+Policy_Sched!$K58))</f>
        <v>0</v>
      </c>
      <c r="Z58" s="42">
        <f t="shared" si="32"/>
        <v>0</v>
      </c>
      <c r="AA58" s="38">
        <f>IF($A58&gt;LastT,0,N58-V58-Q58/(1+Policy_Sched!$K58)+Z59/(1+Policy_Sched!$K58))</f>
        <v>0</v>
      </c>
    </row>
    <row r="59" spans="1:27" x14ac:dyDescent="0.2">
      <c r="A59" s="30">
        <f t="shared" si="33"/>
        <v>52</v>
      </c>
      <c r="B59" s="31">
        <f t="shared" si="34"/>
        <v>0</v>
      </c>
      <c r="C59" s="31">
        <f>IF($A59&gt;LastT,0,IF(AND($D$3&lt;&gt;0,$A59&gt;=T0,Policy_Sched!$B59&lt;LastAge),1+$D$3*$E$3,1))</f>
        <v>0</v>
      </c>
      <c r="D59" s="36">
        <f>IF($A59&gt;LastT,0,IF($C$3="up",MIN(Policy_Sched!$E59*(1+IF($A59&gt;=T0,$E$3,0)),$F$3),IF($C$3="down",MAX(Policy_Sched!$E59*(1-IF($A59&gt;=T0,$E$3,0)),Policy_Sched!$E59-$F$3),Policy_Sched!$E59)))</f>
        <v>0</v>
      </c>
      <c r="E59" s="37">
        <f t="shared" si="35"/>
        <v>0</v>
      </c>
      <c r="F59" s="37">
        <f t="shared" si="18"/>
        <v>0</v>
      </c>
      <c r="G59" s="37">
        <f t="shared" si="19"/>
        <v>0</v>
      </c>
      <c r="H59" s="37">
        <f t="shared" si="20"/>
        <v>0</v>
      </c>
      <c r="I59" s="37">
        <f t="shared" si="21"/>
        <v>0</v>
      </c>
      <c r="J59" s="37">
        <f t="shared" si="22"/>
        <v>0</v>
      </c>
      <c r="K59" s="37">
        <f>IF($A59&gt;LastT,0,J59*Policy_Sched!$C59*Policy_Sched!$D59*C59)</f>
        <v>0</v>
      </c>
      <c r="L59" s="41">
        <f t="shared" si="23"/>
        <v>0</v>
      </c>
      <c r="M59" s="38">
        <f t="shared" si="24"/>
        <v>0</v>
      </c>
      <c r="N59" s="38">
        <f t="shared" si="25"/>
        <v>0</v>
      </c>
      <c r="O59" s="38">
        <f t="shared" si="26"/>
        <v>0</v>
      </c>
      <c r="P59" s="38">
        <f>Policy_Sched!$I59*(L59+I59)</f>
        <v>0</v>
      </c>
      <c r="Q59" s="42">
        <f t="shared" si="27"/>
        <v>0</v>
      </c>
      <c r="R59" s="38">
        <f t="shared" si="28"/>
        <v>0</v>
      </c>
      <c r="S59" s="38">
        <f t="shared" si="29"/>
        <v>0</v>
      </c>
      <c r="T59" s="38">
        <f>Policy_Sched!$J59*J59</f>
        <v>0</v>
      </c>
      <c r="U59" s="42">
        <f t="shared" si="30"/>
        <v>0</v>
      </c>
      <c r="V59" s="42">
        <f t="shared" si="31"/>
        <v>0</v>
      </c>
      <c r="W59" s="38">
        <f>IF($A59&gt;LastT,0,N59+W60/(1+Policy_Sched!$K59))</f>
        <v>0</v>
      </c>
      <c r="X59" s="38">
        <f>IF($A59&gt;LastT,0,(-Q59+X60)/(1+Policy_Sched!$K59))</f>
        <v>0</v>
      </c>
      <c r="Y59" s="38">
        <f>IF($A59&gt;LastT,0,-V59+Y60/(1+Policy_Sched!$K59))</f>
        <v>0</v>
      </c>
      <c r="Z59" s="42">
        <f t="shared" si="32"/>
        <v>0</v>
      </c>
      <c r="AA59" s="38">
        <f>IF($A59&gt;LastT,0,N59-V59-Q59/(1+Policy_Sched!$K59)+Z60/(1+Policy_Sched!$K59))</f>
        <v>0</v>
      </c>
    </row>
    <row r="60" spans="1:27" x14ac:dyDescent="0.2">
      <c r="A60" s="30">
        <f t="shared" si="33"/>
        <v>53</v>
      </c>
      <c r="B60" s="31">
        <f t="shared" si="34"/>
        <v>0</v>
      </c>
      <c r="C60" s="31">
        <f>IF($A60&gt;LastT,0,IF(AND($D$3&lt;&gt;0,$A60&gt;=T0,Policy_Sched!$B60&lt;LastAge),1+$D$3*$E$3,1))</f>
        <v>0</v>
      </c>
      <c r="D60" s="36">
        <f>IF($A60&gt;LastT,0,IF($C$3="up",MIN(Policy_Sched!$E60*(1+IF($A60&gt;=T0,$E$3,0)),$F$3),IF($C$3="down",MAX(Policy_Sched!$E60*(1-IF($A60&gt;=T0,$E$3,0)),Policy_Sched!$E60-$F$3),Policy_Sched!$E60)))</f>
        <v>0</v>
      </c>
      <c r="E60" s="37">
        <f t="shared" si="35"/>
        <v>0</v>
      </c>
      <c r="F60" s="37">
        <f t="shared" si="18"/>
        <v>0</v>
      </c>
      <c r="G60" s="37">
        <f t="shared" si="19"/>
        <v>0</v>
      </c>
      <c r="H60" s="37">
        <f t="shared" si="20"/>
        <v>0</v>
      </c>
      <c r="I60" s="37">
        <f t="shared" si="21"/>
        <v>0</v>
      </c>
      <c r="J60" s="37">
        <f t="shared" si="22"/>
        <v>0</v>
      </c>
      <c r="K60" s="37">
        <f>IF($A60&gt;LastT,0,J60*Policy_Sched!$C60*Policy_Sched!$D60*C60)</f>
        <v>0</v>
      </c>
      <c r="L60" s="41">
        <f t="shared" si="23"/>
        <v>0</v>
      </c>
      <c r="M60" s="38">
        <f t="shared" si="24"/>
        <v>0</v>
      </c>
      <c r="N60" s="38">
        <f t="shared" si="25"/>
        <v>0</v>
      </c>
      <c r="O60" s="38">
        <f t="shared" si="26"/>
        <v>0</v>
      </c>
      <c r="P60" s="38">
        <f>Policy_Sched!$I60*(L60+I60)</f>
        <v>0</v>
      </c>
      <c r="Q60" s="42">
        <f t="shared" si="27"/>
        <v>0</v>
      </c>
      <c r="R60" s="38">
        <f t="shared" si="28"/>
        <v>0</v>
      </c>
      <c r="S60" s="38">
        <f t="shared" si="29"/>
        <v>0</v>
      </c>
      <c r="T60" s="38">
        <f>Policy_Sched!$J60*J60</f>
        <v>0</v>
      </c>
      <c r="U60" s="42">
        <f t="shared" si="30"/>
        <v>0</v>
      </c>
      <c r="V60" s="42">
        <f t="shared" si="31"/>
        <v>0</v>
      </c>
      <c r="W60" s="38">
        <f>IF($A60&gt;LastT,0,N60+W61/(1+Policy_Sched!$K60))</f>
        <v>0</v>
      </c>
      <c r="X60" s="38">
        <f>IF($A60&gt;LastT,0,(-Q60+X61)/(1+Policy_Sched!$K60))</f>
        <v>0</v>
      </c>
      <c r="Y60" s="38">
        <f>IF($A60&gt;LastT,0,-V60+Y61/(1+Policy_Sched!$K60))</f>
        <v>0</v>
      </c>
      <c r="Z60" s="42">
        <f t="shared" si="32"/>
        <v>0</v>
      </c>
      <c r="AA60" s="38">
        <f>IF($A60&gt;LastT,0,N60-V60-Q60/(1+Policy_Sched!$K60)+Z61/(1+Policy_Sched!$K60))</f>
        <v>0</v>
      </c>
    </row>
    <row r="61" spans="1:27" x14ac:dyDescent="0.2">
      <c r="A61" s="30">
        <f t="shared" si="33"/>
        <v>54</v>
      </c>
      <c r="B61" s="31">
        <f t="shared" si="34"/>
        <v>0</v>
      </c>
      <c r="C61" s="31">
        <f>IF($A61&gt;LastT,0,IF(AND($D$3&lt;&gt;0,$A61&gt;=T0,Policy_Sched!$B61&lt;LastAge),1+$D$3*$E$3,1))</f>
        <v>0</v>
      </c>
      <c r="D61" s="36">
        <f>IF($A61&gt;LastT,0,IF($C$3="up",MIN(Policy_Sched!$E61*(1+IF($A61&gt;=T0,$E$3,0)),$F$3),IF($C$3="down",MAX(Policy_Sched!$E61*(1-IF($A61&gt;=T0,$E$3,0)),Policy_Sched!$E61-$F$3),Policy_Sched!$E61)))</f>
        <v>0</v>
      </c>
      <c r="E61" s="37">
        <f t="shared" si="35"/>
        <v>0</v>
      </c>
      <c r="F61" s="37">
        <f t="shared" si="18"/>
        <v>0</v>
      </c>
      <c r="G61" s="37">
        <f t="shared" si="19"/>
        <v>0</v>
      </c>
      <c r="H61" s="37">
        <f t="shared" si="20"/>
        <v>0</v>
      </c>
      <c r="I61" s="37">
        <f t="shared" si="21"/>
        <v>0</v>
      </c>
      <c r="J61" s="37">
        <f t="shared" si="22"/>
        <v>0</v>
      </c>
      <c r="K61" s="37">
        <f>IF($A61&gt;LastT,0,J61*Policy_Sched!$C61*Policy_Sched!$D61*C61)</f>
        <v>0</v>
      </c>
      <c r="L61" s="41">
        <f t="shared" si="23"/>
        <v>0</v>
      </c>
      <c r="M61" s="38">
        <f t="shared" si="24"/>
        <v>0</v>
      </c>
      <c r="N61" s="38">
        <f t="shared" si="25"/>
        <v>0</v>
      </c>
      <c r="O61" s="38">
        <f t="shared" si="26"/>
        <v>0</v>
      </c>
      <c r="P61" s="38">
        <f>Policy_Sched!$I61*(L61+I61)</f>
        <v>0</v>
      </c>
      <c r="Q61" s="42">
        <f t="shared" si="27"/>
        <v>0</v>
      </c>
      <c r="R61" s="38">
        <f t="shared" si="28"/>
        <v>0</v>
      </c>
      <c r="S61" s="38">
        <f t="shared" si="29"/>
        <v>0</v>
      </c>
      <c r="T61" s="38">
        <f>Policy_Sched!$J61*J61</f>
        <v>0</v>
      </c>
      <c r="U61" s="42">
        <f t="shared" si="30"/>
        <v>0</v>
      </c>
      <c r="V61" s="42">
        <f t="shared" si="31"/>
        <v>0</v>
      </c>
      <c r="W61" s="38">
        <f>IF($A61&gt;LastT,0,N61+W62/(1+Policy_Sched!$K61))</f>
        <v>0</v>
      </c>
      <c r="X61" s="38">
        <f>IF($A61&gt;LastT,0,(-Q61+X62)/(1+Policy_Sched!$K61))</f>
        <v>0</v>
      </c>
      <c r="Y61" s="38">
        <f>IF($A61&gt;LastT,0,-V61+Y62/(1+Policy_Sched!$K61))</f>
        <v>0</v>
      </c>
      <c r="Z61" s="42">
        <f t="shared" si="32"/>
        <v>0</v>
      </c>
      <c r="AA61" s="38">
        <f>IF($A61&gt;LastT,0,N61-V61-Q61/(1+Policy_Sched!$K61)+Z62/(1+Policy_Sched!$K61))</f>
        <v>0</v>
      </c>
    </row>
    <row r="62" spans="1:27" x14ac:dyDescent="0.2">
      <c r="A62" s="30">
        <f t="shared" si="33"/>
        <v>55</v>
      </c>
      <c r="B62" s="31">
        <f t="shared" si="34"/>
        <v>0</v>
      </c>
      <c r="C62" s="31">
        <f>IF($A62&gt;LastT,0,IF(AND($D$3&lt;&gt;0,$A62&gt;=T0,Policy_Sched!$B62&lt;LastAge),1+$D$3*$E$3,1))</f>
        <v>0</v>
      </c>
      <c r="D62" s="36">
        <f>IF($A62&gt;LastT,0,IF($C$3="up",MIN(Policy_Sched!$E62*(1+IF($A62&gt;=T0,$E$3,0)),$F$3),IF($C$3="down",MAX(Policy_Sched!$E62*(1-IF($A62&gt;=T0,$E$3,0)),Policy_Sched!$E62-$F$3),Policy_Sched!$E62)))</f>
        <v>0</v>
      </c>
      <c r="E62" s="37">
        <f t="shared" si="35"/>
        <v>0</v>
      </c>
      <c r="F62" s="37">
        <f t="shared" si="18"/>
        <v>0</v>
      </c>
      <c r="G62" s="37">
        <f t="shared" si="19"/>
        <v>0</v>
      </c>
      <c r="H62" s="37">
        <f t="shared" si="20"/>
        <v>0</v>
      </c>
      <c r="I62" s="37">
        <f t="shared" si="21"/>
        <v>0</v>
      </c>
      <c r="J62" s="37">
        <f t="shared" si="22"/>
        <v>0</v>
      </c>
      <c r="K62" s="37">
        <f>IF($A62&gt;LastT,0,J62*Policy_Sched!$C62*Policy_Sched!$D62*C62)</f>
        <v>0</v>
      </c>
      <c r="L62" s="41">
        <f t="shared" si="23"/>
        <v>0</v>
      </c>
      <c r="M62" s="38">
        <f t="shared" si="24"/>
        <v>0</v>
      </c>
      <c r="N62" s="38">
        <f t="shared" si="25"/>
        <v>0</v>
      </c>
      <c r="O62" s="38">
        <f t="shared" si="26"/>
        <v>0</v>
      </c>
      <c r="P62" s="38">
        <f>Policy_Sched!$I62*(L62+I62)</f>
        <v>0</v>
      </c>
      <c r="Q62" s="42">
        <f t="shared" si="27"/>
        <v>0</v>
      </c>
      <c r="R62" s="38">
        <f t="shared" si="28"/>
        <v>0</v>
      </c>
      <c r="S62" s="38">
        <f t="shared" si="29"/>
        <v>0</v>
      </c>
      <c r="T62" s="38">
        <f>Policy_Sched!$J62*J62</f>
        <v>0</v>
      </c>
      <c r="U62" s="42">
        <f t="shared" si="30"/>
        <v>0</v>
      </c>
      <c r="V62" s="42">
        <f t="shared" si="31"/>
        <v>0</v>
      </c>
      <c r="W62" s="38">
        <f>IF($A62&gt;LastT,0,N62+W63/(1+Policy_Sched!$K62))</f>
        <v>0</v>
      </c>
      <c r="X62" s="38">
        <f>IF($A62&gt;LastT,0,(-Q62+X63)/(1+Policy_Sched!$K62))</f>
        <v>0</v>
      </c>
      <c r="Y62" s="38">
        <f>IF($A62&gt;LastT,0,-V62+Y63/(1+Policy_Sched!$K62))</f>
        <v>0</v>
      </c>
      <c r="Z62" s="42">
        <f t="shared" si="32"/>
        <v>0</v>
      </c>
      <c r="AA62" s="38">
        <f>IF($A62&gt;LastT,0,N62-V62-Q62/(1+Policy_Sched!$K62)+Z63/(1+Policy_Sched!$K62))</f>
        <v>0</v>
      </c>
    </row>
    <row r="63" spans="1:27" x14ac:dyDescent="0.2">
      <c r="A63" s="30">
        <f t="shared" si="33"/>
        <v>56</v>
      </c>
      <c r="B63" s="31">
        <f t="shared" si="34"/>
        <v>0</v>
      </c>
      <c r="C63" s="31">
        <f>IF($A63&gt;LastT,0,IF(AND($D$3&lt;&gt;0,$A63&gt;=T0,Policy_Sched!$B63&lt;LastAge),1+$D$3*$E$3,1))</f>
        <v>0</v>
      </c>
      <c r="D63" s="36">
        <f>IF($A63&gt;LastT,0,IF($C$3="up",MIN(Policy_Sched!$E63*(1+IF($A63&gt;=T0,$E$3,0)),$F$3),IF($C$3="down",MAX(Policy_Sched!$E63*(1-IF($A63&gt;=T0,$E$3,0)),Policy_Sched!$E63-$F$3),Policy_Sched!$E63)))</f>
        <v>0</v>
      </c>
      <c r="E63" s="37">
        <f t="shared" si="35"/>
        <v>0</v>
      </c>
      <c r="F63" s="37">
        <f t="shared" si="18"/>
        <v>0</v>
      </c>
      <c r="G63" s="37">
        <f t="shared" si="19"/>
        <v>0</v>
      </c>
      <c r="H63" s="37">
        <f t="shared" si="20"/>
        <v>0</v>
      </c>
      <c r="I63" s="37">
        <f t="shared" si="21"/>
        <v>0</v>
      </c>
      <c r="J63" s="37">
        <f t="shared" si="22"/>
        <v>0</v>
      </c>
      <c r="K63" s="37">
        <f>IF($A63&gt;LastT,0,J63*Policy_Sched!$C63*Policy_Sched!$D63*C63)</f>
        <v>0</v>
      </c>
      <c r="L63" s="41">
        <f t="shared" si="23"/>
        <v>0</v>
      </c>
      <c r="M63" s="38">
        <f t="shared" si="24"/>
        <v>0</v>
      </c>
      <c r="N63" s="38">
        <f t="shared" si="25"/>
        <v>0</v>
      </c>
      <c r="O63" s="38">
        <f t="shared" si="26"/>
        <v>0</v>
      </c>
      <c r="P63" s="38">
        <f>Policy_Sched!$I63*(L63+I63)</f>
        <v>0</v>
      </c>
      <c r="Q63" s="42">
        <f t="shared" si="27"/>
        <v>0</v>
      </c>
      <c r="R63" s="38">
        <f t="shared" si="28"/>
        <v>0</v>
      </c>
      <c r="S63" s="38">
        <f t="shared" si="29"/>
        <v>0</v>
      </c>
      <c r="T63" s="38">
        <f>Policy_Sched!$J63*J63</f>
        <v>0</v>
      </c>
      <c r="U63" s="42">
        <f t="shared" si="30"/>
        <v>0</v>
      </c>
      <c r="V63" s="42">
        <f t="shared" si="31"/>
        <v>0</v>
      </c>
      <c r="W63" s="38">
        <f>IF($A63&gt;LastT,0,N63+W64/(1+Policy_Sched!$K63))</f>
        <v>0</v>
      </c>
      <c r="X63" s="38">
        <f>IF($A63&gt;LastT,0,(-Q63+X64)/(1+Policy_Sched!$K63))</f>
        <v>0</v>
      </c>
      <c r="Y63" s="38">
        <f>IF($A63&gt;LastT,0,-V63+Y64/(1+Policy_Sched!$K63))</f>
        <v>0</v>
      </c>
      <c r="Z63" s="42">
        <f t="shared" si="32"/>
        <v>0</v>
      </c>
      <c r="AA63" s="38">
        <f>IF($A63&gt;LastT,0,N63-V63-Q63/(1+Policy_Sched!$K63)+Z64/(1+Policy_Sched!$K63))</f>
        <v>0</v>
      </c>
    </row>
    <row r="64" spans="1:27" x14ac:dyDescent="0.2">
      <c r="A64" s="30">
        <f t="shared" si="33"/>
        <v>57</v>
      </c>
      <c r="B64" s="31">
        <f t="shared" si="34"/>
        <v>0</v>
      </c>
      <c r="C64" s="31">
        <f>IF($A64&gt;LastT,0,IF(AND($D$3&lt;&gt;0,$A64&gt;=T0,Policy_Sched!$B64&lt;LastAge),1+$D$3*$E$3,1))</f>
        <v>0</v>
      </c>
      <c r="D64" s="36">
        <f>IF($A64&gt;LastT,0,IF($C$3="up",MIN(Policy_Sched!$E64*(1+IF($A64&gt;=T0,$E$3,0)),$F$3),IF($C$3="down",MAX(Policy_Sched!$E64*(1-IF($A64&gt;=T0,$E$3,0)),Policy_Sched!$E64-$F$3),Policy_Sched!$E64)))</f>
        <v>0</v>
      </c>
      <c r="E64" s="37">
        <f t="shared" si="35"/>
        <v>0</v>
      </c>
      <c r="F64" s="37">
        <f t="shared" si="18"/>
        <v>0</v>
      </c>
      <c r="G64" s="37">
        <f t="shared" si="19"/>
        <v>0</v>
      </c>
      <c r="H64" s="37">
        <f t="shared" si="20"/>
        <v>0</v>
      </c>
      <c r="I64" s="37">
        <f t="shared" si="21"/>
        <v>0</v>
      </c>
      <c r="J64" s="37">
        <f t="shared" si="22"/>
        <v>0</v>
      </c>
      <c r="K64" s="37">
        <f>IF($A64&gt;LastT,0,J64*Policy_Sched!$C64*Policy_Sched!$D64*C64)</f>
        <v>0</v>
      </c>
      <c r="L64" s="41">
        <f t="shared" si="23"/>
        <v>0</v>
      </c>
      <c r="M64" s="38">
        <f t="shared" si="24"/>
        <v>0</v>
      </c>
      <c r="N64" s="38">
        <f t="shared" si="25"/>
        <v>0</v>
      </c>
      <c r="O64" s="38">
        <f t="shared" si="26"/>
        <v>0</v>
      </c>
      <c r="P64" s="38">
        <f>Policy_Sched!$I64*(L64+I64)</f>
        <v>0</v>
      </c>
      <c r="Q64" s="42">
        <f t="shared" si="27"/>
        <v>0</v>
      </c>
      <c r="R64" s="38">
        <f t="shared" si="28"/>
        <v>0</v>
      </c>
      <c r="S64" s="38">
        <f t="shared" si="29"/>
        <v>0</v>
      </c>
      <c r="T64" s="38">
        <f>Policy_Sched!$J64*J64</f>
        <v>0</v>
      </c>
      <c r="U64" s="42">
        <f t="shared" si="30"/>
        <v>0</v>
      </c>
      <c r="V64" s="42">
        <f t="shared" si="31"/>
        <v>0</v>
      </c>
      <c r="W64" s="38">
        <f>IF($A64&gt;LastT,0,N64+W65/(1+Policy_Sched!$K64))</f>
        <v>0</v>
      </c>
      <c r="X64" s="38">
        <f>IF($A64&gt;LastT,0,(-Q64+X65)/(1+Policy_Sched!$K64))</f>
        <v>0</v>
      </c>
      <c r="Y64" s="38">
        <f>IF($A64&gt;LastT,0,-V64+Y65/(1+Policy_Sched!$K64))</f>
        <v>0</v>
      </c>
      <c r="Z64" s="42">
        <f t="shared" si="32"/>
        <v>0</v>
      </c>
      <c r="AA64" s="38">
        <f>IF($A64&gt;LastT,0,N64-V64-Q64/(1+Policy_Sched!$K64)+Z65/(1+Policy_Sched!$K64))</f>
        <v>0</v>
      </c>
    </row>
    <row r="65" spans="1:27" x14ac:dyDescent="0.2">
      <c r="A65" s="30">
        <f t="shared" si="33"/>
        <v>58</v>
      </c>
      <c r="B65" s="31">
        <f t="shared" si="34"/>
        <v>0</v>
      </c>
      <c r="C65" s="31">
        <f>IF($A65&gt;LastT,0,IF(AND($D$3&lt;&gt;0,$A65&gt;=T0,Policy_Sched!$B65&lt;LastAge),1+$D$3*$E$3,1))</f>
        <v>0</v>
      </c>
      <c r="D65" s="36">
        <f>IF($A65&gt;LastT,0,IF($C$3="up",MIN(Policy_Sched!$E65*(1+IF($A65&gt;=T0,$E$3,0)),$F$3),IF($C$3="down",MAX(Policy_Sched!$E65*(1-IF($A65&gt;=T0,$E$3,0)),Policy_Sched!$E65-$F$3),Policy_Sched!$E65)))</f>
        <v>0</v>
      </c>
      <c r="E65" s="37">
        <f t="shared" si="35"/>
        <v>0</v>
      </c>
      <c r="F65" s="37">
        <f t="shared" si="18"/>
        <v>0</v>
      </c>
      <c r="G65" s="37">
        <f t="shared" si="19"/>
        <v>0</v>
      </c>
      <c r="H65" s="37">
        <f t="shared" si="20"/>
        <v>0</v>
      </c>
      <c r="I65" s="37">
        <f t="shared" si="21"/>
        <v>0</v>
      </c>
      <c r="J65" s="37">
        <f t="shared" si="22"/>
        <v>0</v>
      </c>
      <c r="K65" s="37">
        <f>IF($A65&gt;LastT,0,J65*Policy_Sched!$C65*Policy_Sched!$D65*C65)</f>
        <v>0</v>
      </c>
      <c r="L65" s="41">
        <f t="shared" si="23"/>
        <v>0</v>
      </c>
      <c r="M65" s="38">
        <f t="shared" si="24"/>
        <v>0</v>
      </c>
      <c r="N65" s="38">
        <f t="shared" si="25"/>
        <v>0</v>
      </c>
      <c r="O65" s="38">
        <f t="shared" si="26"/>
        <v>0</v>
      </c>
      <c r="P65" s="38">
        <f>Policy_Sched!$I65*(L65+I65)</f>
        <v>0</v>
      </c>
      <c r="Q65" s="42">
        <f t="shared" si="27"/>
        <v>0</v>
      </c>
      <c r="R65" s="38">
        <f t="shared" si="28"/>
        <v>0</v>
      </c>
      <c r="S65" s="38">
        <f t="shared" si="29"/>
        <v>0</v>
      </c>
      <c r="T65" s="38">
        <f>Policy_Sched!$J65*J65</f>
        <v>0</v>
      </c>
      <c r="U65" s="42">
        <f t="shared" si="30"/>
        <v>0</v>
      </c>
      <c r="V65" s="42">
        <f t="shared" si="31"/>
        <v>0</v>
      </c>
      <c r="W65" s="38">
        <f>IF($A65&gt;LastT,0,N65+W66/(1+Policy_Sched!$K65))</f>
        <v>0</v>
      </c>
      <c r="X65" s="38">
        <f>IF($A65&gt;LastT,0,(-Q65+X66)/(1+Policy_Sched!$K65))</f>
        <v>0</v>
      </c>
      <c r="Y65" s="38">
        <f>IF($A65&gt;LastT,0,-V65+Y66/(1+Policy_Sched!$K65))</f>
        <v>0</v>
      </c>
      <c r="Z65" s="42">
        <f t="shared" si="32"/>
        <v>0</v>
      </c>
      <c r="AA65" s="38">
        <f>IF($A65&gt;LastT,0,N65-V65-Q65/(1+Policy_Sched!$K65)+Z66/(1+Policy_Sched!$K65))</f>
        <v>0</v>
      </c>
    </row>
    <row r="66" spans="1:27" x14ac:dyDescent="0.2">
      <c r="A66" s="30">
        <f t="shared" si="33"/>
        <v>59</v>
      </c>
      <c r="B66" s="31">
        <f t="shared" si="34"/>
        <v>0</v>
      </c>
      <c r="C66" s="31">
        <f>IF($A66&gt;LastT,0,IF(AND($D$3&lt;&gt;0,$A66&gt;=T0,Policy_Sched!$B66&lt;LastAge),1+$D$3*$E$3,1))</f>
        <v>0</v>
      </c>
      <c r="D66" s="36">
        <f>IF($A66&gt;LastT,0,IF($C$3="up",MIN(Policy_Sched!$E66*(1+IF($A66&gt;=T0,$E$3,0)),$F$3),IF($C$3="down",MAX(Policy_Sched!$E66*(1-IF($A66&gt;=T0,$E$3,0)),Policy_Sched!$E66-$F$3),Policy_Sched!$E66)))</f>
        <v>0</v>
      </c>
      <c r="E66" s="37">
        <f t="shared" si="35"/>
        <v>0</v>
      </c>
      <c r="F66" s="37">
        <f t="shared" si="18"/>
        <v>0</v>
      </c>
      <c r="G66" s="37">
        <f t="shared" si="19"/>
        <v>0</v>
      </c>
      <c r="H66" s="37">
        <f t="shared" si="20"/>
        <v>0</v>
      </c>
      <c r="I66" s="37">
        <f t="shared" si="21"/>
        <v>0</v>
      </c>
      <c r="J66" s="37">
        <f t="shared" si="22"/>
        <v>0</v>
      </c>
      <c r="K66" s="37">
        <f>IF($A66&gt;LastT,0,J66*Policy_Sched!$C66*Policy_Sched!$D66*C66)</f>
        <v>0</v>
      </c>
      <c r="L66" s="41">
        <f t="shared" si="23"/>
        <v>0</v>
      </c>
      <c r="M66" s="38">
        <f t="shared" si="24"/>
        <v>0</v>
      </c>
      <c r="N66" s="38">
        <f t="shared" si="25"/>
        <v>0</v>
      </c>
      <c r="O66" s="38">
        <f t="shared" si="26"/>
        <v>0</v>
      </c>
      <c r="P66" s="38">
        <f>Policy_Sched!$I66*(L66+I66)</f>
        <v>0</v>
      </c>
      <c r="Q66" s="42">
        <f t="shared" si="27"/>
        <v>0</v>
      </c>
      <c r="R66" s="38">
        <f t="shared" si="28"/>
        <v>0</v>
      </c>
      <c r="S66" s="38">
        <f t="shared" si="29"/>
        <v>0</v>
      </c>
      <c r="T66" s="38">
        <f>Policy_Sched!$J66*J66</f>
        <v>0</v>
      </c>
      <c r="U66" s="42">
        <f t="shared" si="30"/>
        <v>0</v>
      </c>
      <c r="V66" s="42">
        <f t="shared" si="31"/>
        <v>0</v>
      </c>
      <c r="W66" s="38">
        <f>IF($A66&gt;LastT,0,N66+W67/(1+Policy_Sched!$K66))</f>
        <v>0</v>
      </c>
      <c r="X66" s="38">
        <f>IF($A66&gt;LastT,0,(-Q66+X67)/(1+Policy_Sched!$K66))</f>
        <v>0</v>
      </c>
      <c r="Y66" s="38">
        <f>IF($A66&gt;LastT,0,-V66+Y67/(1+Policy_Sched!$K66))</f>
        <v>0</v>
      </c>
      <c r="Z66" s="42">
        <f t="shared" si="32"/>
        <v>0</v>
      </c>
      <c r="AA66" s="38">
        <f>IF($A66&gt;LastT,0,N66-V66-Q66/(1+Policy_Sched!$K66)+Z67/(1+Policy_Sched!$K66))</f>
        <v>0</v>
      </c>
    </row>
    <row r="67" spans="1:27" x14ac:dyDescent="0.2">
      <c r="A67" s="30">
        <f t="shared" si="33"/>
        <v>60</v>
      </c>
      <c r="B67" s="31">
        <f t="shared" si="34"/>
        <v>0</v>
      </c>
      <c r="C67" s="31">
        <f>IF($A67&gt;LastT,0,IF(AND($D$3&lt;&gt;0,$A67&gt;=T0,Policy_Sched!$B67&lt;LastAge),1+$D$3*$E$3,1))</f>
        <v>0</v>
      </c>
      <c r="D67" s="36">
        <f>IF($A67&gt;LastT,0,IF($C$3="up",MIN(Policy_Sched!$E67*(1+IF($A67&gt;=T0,$E$3,0)),$F$3),IF($C$3="down",MAX(Policy_Sched!$E67*(1-IF($A67&gt;=T0,$E$3,0)),Policy_Sched!$E67-$F$3),Policy_Sched!$E67)))</f>
        <v>0</v>
      </c>
      <c r="E67" s="37">
        <f t="shared" si="35"/>
        <v>0</v>
      </c>
      <c r="F67" s="37">
        <f t="shared" si="18"/>
        <v>0</v>
      </c>
      <c r="G67" s="37">
        <f t="shared" si="19"/>
        <v>0</v>
      </c>
      <c r="H67" s="37">
        <f t="shared" si="20"/>
        <v>0</v>
      </c>
      <c r="I67" s="37">
        <f t="shared" si="21"/>
        <v>0</v>
      </c>
      <c r="J67" s="37">
        <f t="shared" si="22"/>
        <v>0</v>
      </c>
      <c r="K67" s="37">
        <f>IF($A67&gt;LastT,0,J67*Policy_Sched!$C67*Policy_Sched!$D67*C67)</f>
        <v>0</v>
      </c>
      <c r="L67" s="41">
        <f t="shared" si="23"/>
        <v>0</v>
      </c>
      <c r="M67" s="38">
        <f t="shared" si="24"/>
        <v>0</v>
      </c>
      <c r="N67" s="38">
        <f t="shared" si="25"/>
        <v>0</v>
      </c>
      <c r="O67" s="38">
        <f t="shared" si="26"/>
        <v>0</v>
      </c>
      <c r="P67" s="38">
        <f>Policy_Sched!$I67*(L67+I67)</f>
        <v>0</v>
      </c>
      <c r="Q67" s="42">
        <f t="shared" si="27"/>
        <v>0</v>
      </c>
      <c r="R67" s="38">
        <f t="shared" si="28"/>
        <v>0</v>
      </c>
      <c r="S67" s="38">
        <f t="shared" si="29"/>
        <v>0</v>
      </c>
      <c r="T67" s="38">
        <f>Policy_Sched!$J67*J67</f>
        <v>0</v>
      </c>
      <c r="U67" s="42">
        <f t="shared" si="30"/>
        <v>0</v>
      </c>
      <c r="V67" s="42">
        <f t="shared" si="31"/>
        <v>0</v>
      </c>
      <c r="W67" s="38">
        <f>IF($A67&gt;LastT,0,N67+W68/(1+Policy_Sched!$K67))</f>
        <v>0</v>
      </c>
      <c r="X67" s="38">
        <f>IF($A67&gt;LastT,0,(-Q67+X68)/(1+Policy_Sched!$K67))</f>
        <v>0</v>
      </c>
      <c r="Y67" s="38">
        <f>IF($A67&gt;LastT,0,-V67+Y68/(1+Policy_Sched!$K67))</f>
        <v>0</v>
      </c>
      <c r="Z67" s="42">
        <f t="shared" si="32"/>
        <v>0</v>
      </c>
      <c r="AA67" s="38">
        <f>IF($A67&gt;LastT,0,N67-V67-Q67/(1+Policy_Sched!$K67)+Z68/(1+Policy_Sched!$K67))</f>
        <v>0</v>
      </c>
    </row>
    <row r="68" spans="1:27" x14ac:dyDescent="0.2">
      <c r="A68" s="30">
        <f t="shared" si="33"/>
        <v>61</v>
      </c>
      <c r="B68" s="31">
        <f t="shared" si="34"/>
        <v>0</v>
      </c>
      <c r="C68" s="31">
        <f>IF($A68&gt;LastT,0,IF(AND($D$3&lt;&gt;0,$A68&gt;=T0,Policy_Sched!$B68&lt;LastAge),1+$D$3*$E$3,1))</f>
        <v>0</v>
      </c>
      <c r="D68" s="36">
        <f>IF($A68&gt;LastT,0,IF($C$3="up",MIN(Policy_Sched!$E68*(1+IF($A68&gt;=T0,$E$3,0)),$F$3),IF($C$3="down",MAX(Policy_Sched!$E68*(1-IF($A68&gt;=T0,$E$3,0)),Policy_Sched!$E68-$F$3),Policy_Sched!$E68)))</f>
        <v>0</v>
      </c>
      <c r="E68" s="37">
        <f t="shared" si="35"/>
        <v>0</v>
      </c>
      <c r="F68" s="37">
        <f t="shared" si="18"/>
        <v>0</v>
      </c>
      <c r="G68" s="37">
        <f t="shared" si="19"/>
        <v>0</v>
      </c>
      <c r="H68" s="37">
        <f t="shared" si="20"/>
        <v>0</v>
      </c>
      <c r="I68" s="37">
        <f t="shared" si="21"/>
        <v>0</v>
      </c>
      <c r="J68" s="37">
        <f t="shared" si="22"/>
        <v>0</v>
      </c>
      <c r="K68" s="37">
        <f>IF($A68&gt;LastT,0,J68*Policy_Sched!$C68*Policy_Sched!$D68*C68)</f>
        <v>0</v>
      </c>
      <c r="L68" s="41">
        <f t="shared" si="23"/>
        <v>0</v>
      </c>
      <c r="M68" s="38">
        <f t="shared" si="24"/>
        <v>0</v>
      </c>
      <c r="N68" s="38">
        <f t="shared" si="25"/>
        <v>0</v>
      </c>
      <c r="O68" s="38">
        <f t="shared" si="26"/>
        <v>0</v>
      </c>
      <c r="P68" s="38">
        <f>Policy_Sched!$I68*(L68+I68)</f>
        <v>0</v>
      </c>
      <c r="Q68" s="42">
        <f t="shared" si="27"/>
        <v>0</v>
      </c>
      <c r="R68" s="38">
        <f t="shared" si="28"/>
        <v>0</v>
      </c>
      <c r="S68" s="38">
        <f t="shared" si="29"/>
        <v>0</v>
      </c>
      <c r="T68" s="38">
        <f>Policy_Sched!$J68*J68</f>
        <v>0</v>
      </c>
      <c r="U68" s="42">
        <f t="shared" si="30"/>
        <v>0</v>
      </c>
      <c r="V68" s="42">
        <f t="shared" si="31"/>
        <v>0</v>
      </c>
      <c r="W68" s="38">
        <f>IF($A68&gt;LastT,0,N68+W69/(1+Policy_Sched!$K68))</f>
        <v>0</v>
      </c>
      <c r="X68" s="38">
        <f>IF($A68&gt;LastT,0,(-Q68+X69)/(1+Policy_Sched!$K68))</f>
        <v>0</v>
      </c>
      <c r="Y68" s="38">
        <f>IF($A68&gt;LastT,0,-V68+Y69/(1+Policy_Sched!$K68))</f>
        <v>0</v>
      </c>
      <c r="Z68" s="42">
        <f t="shared" si="32"/>
        <v>0</v>
      </c>
      <c r="AA68" s="38">
        <f>IF($A68&gt;LastT,0,N68-V68-Q68/(1+Policy_Sched!$K68)+Z69/(1+Policy_Sched!$K68))</f>
        <v>0</v>
      </c>
    </row>
    <row r="69" spans="1:27" x14ac:dyDescent="0.2">
      <c r="A69" s="30">
        <f t="shared" si="33"/>
        <v>62</v>
      </c>
      <c r="B69" s="31">
        <f t="shared" si="34"/>
        <v>0</v>
      </c>
      <c r="C69" s="31">
        <f>IF($A69&gt;LastT,0,IF(AND($D$3&lt;&gt;0,$A69&gt;=T0,Policy_Sched!$B69&lt;LastAge),1+$D$3*$E$3,1))</f>
        <v>0</v>
      </c>
      <c r="D69" s="36">
        <f>IF($A69&gt;LastT,0,IF($C$3="up",MIN(Policy_Sched!$E69*(1+IF($A69&gt;=T0,$E$3,0)),$F$3),IF($C$3="down",MAX(Policy_Sched!$E69*(1-IF($A69&gt;=T0,$E$3,0)),Policy_Sched!$E69-$F$3),Policy_Sched!$E69)))</f>
        <v>0</v>
      </c>
      <c r="E69" s="37">
        <f t="shared" si="35"/>
        <v>0</v>
      </c>
      <c r="F69" s="37">
        <f t="shared" si="18"/>
        <v>0</v>
      </c>
      <c r="G69" s="37">
        <f t="shared" si="19"/>
        <v>0</v>
      </c>
      <c r="H69" s="37">
        <f t="shared" si="20"/>
        <v>0</v>
      </c>
      <c r="I69" s="37">
        <f t="shared" si="21"/>
        <v>0</v>
      </c>
      <c r="J69" s="37">
        <f t="shared" si="22"/>
        <v>0</v>
      </c>
      <c r="K69" s="37">
        <f>IF($A69&gt;LastT,0,J69*Policy_Sched!$C69*Policy_Sched!$D69*C69)</f>
        <v>0</v>
      </c>
      <c r="L69" s="41">
        <f t="shared" si="23"/>
        <v>0</v>
      </c>
      <c r="M69" s="38">
        <f t="shared" si="24"/>
        <v>0</v>
      </c>
      <c r="N69" s="38">
        <f t="shared" si="25"/>
        <v>0</v>
      </c>
      <c r="O69" s="38">
        <f t="shared" si="26"/>
        <v>0</v>
      </c>
      <c r="P69" s="38">
        <f>Policy_Sched!$I69*(L69+I69)</f>
        <v>0</v>
      </c>
      <c r="Q69" s="42">
        <f t="shared" si="27"/>
        <v>0</v>
      </c>
      <c r="R69" s="38">
        <f t="shared" si="28"/>
        <v>0</v>
      </c>
      <c r="S69" s="38">
        <f t="shared" si="29"/>
        <v>0</v>
      </c>
      <c r="T69" s="38">
        <f>Policy_Sched!$J69*J69</f>
        <v>0</v>
      </c>
      <c r="U69" s="42">
        <f t="shared" si="30"/>
        <v>0</v>
      </c>
      <c r="V69" s="42">
        <f t="shared" si="31"/>
        <v>0</v>
      </c>
      <c r="W69" s="38">
        <f>IF($A69&gt;LastT,0,N69+W70/(1+Policy_Sched!$K69))</f>
        <v>0</v>
      </c>
      <c r="X69" s="38">
        <f>IF($A69&gt;LastT,0,(-Q69+X70)/(1+Policy_Sched!$K69))</f>
        <v>0</v>
      </c>
      <c r="Y69" s="38">
        <f>IF($A69&gt;LastT,0,-V69+Y70/(1+Policy_Sched!$K69))</f>
        <v>0</v>
      </c>
      <c r="Z69" s="42">
        <f t="shared" si="32"/>
        <v>0</v>
      </c>
      <c r="AA69" s="38">
        <f>IF($A69&gt;LastT,0,N69-V69-Q69/(1+Policy_Sched!$K69)+Z70/(1+Policy_Sched!$K69))</f>
        <v>0</v>
      </c>
    </row>
    <row r="70" spans="1:27" x14ac:dyDescent="0.2">
      <c r="A70" s="30">
        <f t="shared" si="33"/>
        <v>63</v>
      </c>
      <c r="B70" s="31">
        <f t="shared" si="34"/>
        <v>0</v>
      </c>
      <c r="C70" s="31">
        <f>IF($A70&gt;LastT,0,IF(AND($D$3&lt;&gt;0,$A70&gt;=T0,Policy_Sched!$B70&lt;LastAge),1+$D$3*$E$3,1))</f>
        <v>0</v>
      </c>
      <c r="D70" s="36">
        <f>IF($A70&gt;LastT,0,IF($C$3="up",MIN(Policy_Sched!$E70*(1+IF($A70&gt;=T0,$E$3,0)),$F$3),IF($C$3="down",MAX(Policy_Sched!$E70*(1-IF($A70&gt;=T0,$E$3,0)),Policy_Sched!$E70-$F$3),Policy_Sched!$E70)))</f>
        <v>0</v>
      </c>
      <c r="E70" s="37">
        <f t="shared" si="35"/>
        <v>0</v>
      </c>
      <c r="F70" s="37">
        <f t="shared" si="18"/>
        <v>0</v>
      </c>
      <c r="G70" s="37">
        <f t="shared" si="19"/>
        <v>0</v>
      </c>
      <c r="H70" s="37">
        <f t="shared" si="20"/>
        <v>0</v>
      </c>
      <c r="I70" s="37">
        <f t="shared" si="21"/>
        <v>0</v>
      </c>
      <c r="J70" s="37">
        <f t="shared" si="22"/>
        <v>0</v>
      </c>
      <c r="K70" s="37">
        <f>IF($A70&gt;LastT,0,J70*Policy_Sched!$C70*Policy_Sched!$D70*C70)</f>
        <v>0</v>
      </c>
      <c r="L70" s="41">
        <f t="shared" si="23"/>
        <v>0</v>
      </c>
      <c r="M70" s="38">
        <f t="shared" si="24"/>
        <v>0</v>
      </c>
      <c r="N70" s="38">
        <f t="shared" si="25"/>
        <v>0</v>
      </c>
      <c r="O70" s="38">
        <f t="shared" si="26"/>
        <v>0</v>
      </c>
      <c r="P70" s="38">
        <f>Policy_Sched!$I70*(L70+I70)</f>
        <v>0</v>
      </c>
      <c r="Q70" s="42">
        <f t="shared" si="27"/>
        <v>0</v>
      </c>
      <c r="R70" s="38">
        <f t="shared" si="28"/>
        <v>0</v>
      </c>
      <c r="S70" s="38">
        <f t="shared" si="29"/>
        <v>0</v>
      </c>
      <c r="T70" s="38">
        <f>Policy_Sched!$J70*J70</f>
        <v>0</v>
      </c>
      <c r="U70" s="42">
        <f t="shared" si="30"/>
        <v>0</v>
      </c>
      <c r="V70" s="42">
        <f t="shared" si="31"/>
        <v>0</v>
      </c>
      <c r="W70" s="38">
        <f>IF($A70&gt;LastT,0,N70+W71/(1+Policy_Sched!$K70))</f>
        <v>0</v>
      </c>
      <c r="X70" s="38">
        <f>IF($A70&gt;LastT,0,(-Q70+X71)/(1+Policy_Sched!$K70))</f>
        <v>0</v>
      </c>
      <c r="Y70" s="38">
        <f>IF($A70&gt;LastT,0,-V70+Y71/(1+Policy_Sched!$K70))</f>
        <v>0</v>
      </c>
      <c r="Z70" s="42">
        <f t="shared" si="32"/>
        <v>0</v>
      </c>
      <c r="AA70" s="38">
        <f>IF($A70&gt;LastT,0,N70-V70-Q70/(1+Policy_Sched!$K70)+Z71/(1+Policy_Sched!$K70))</f>
        <v>0</v>
      </c>
    </row>
    <row r="71" spans="1:27" x14ac:dyDescent="0.2">
      <c r="A71" s="30">
        <f t="shared" si="33"/>
        <v>64</v>
      </c>
      <c r="B71" s="31">
        <f t="shared" si="34"/>
        <v>0</v>
      </c>
      <c r="C71" s="31">
        <f>IF($A71&gt;LastT,0,IF(AND($D$3&lt;&gt;0,$A71&gt;=T0,Policy_Sched!$B71&lt;LastAge),1+$D$3*$E$3,1))</f>
        <v>0</v>
      </c>
      <c r="D71" s="36">
        <f>IF($A71&gt;LastT,0,IF($C$3="up",MIN(Policy_Sched!$E71*(1+IF($A71&gt;=T0,$E$3,0)),$F$3),IF($C$3="down",MAX(Policy_Sched!$E71*(1-IF($A71&gt;=T0,$E$3,0)),Policy_Sched!$E71-$F$3),Policy_Sched!$E71)))</f>
        <v>0</v>
      </c>
      <c r="E71" s="37">
        <f t="shared" si="35"/>
        <v>0</v>
      </c>
      <c r="F71" s="37">
        <f t="shared" ref="F71:F102" si="36">IF($A71&gt;LastT,0,IF($A71=PolicyTerm,E71,0))</f>
        <v>0</v>
      </c>
      <c r="G71" s="37">
        <f t="shared" ref="G71:G102" si="37">IF($A71&gt;LastT,0,E71-F71)</f>
        <v>0</v>
      </c>
      <c r="H71" s="37">
        <f t="shared" ref="H71:H102" si="38">IF($A71=0,PolicyCount,0)</f>
        <v>0</v>
      </c>
      <c r="I71" s="37">
        <f t="shared" ref="I71:I102" si="39">IF($A71&gt;LastT,0,IF(AND($C$3="mass",$A71=T0),(G71+H71)*$E$3,0))</f>
        <v>0</v>
      </c>
      <c r="J71" s="37">
        <f t="shared" ref="J71:J102" si="40">IF($A71&gt;LastT,0,G71+H71-I71)</f>
        <v>0</v>
      </c>
      <c r="K71" s="37">
        <f>IF($A71&gt;LastT,0,J71*Policy_Sched!$C71*Policy_Sched!$D71*C71)</f>
        <v>0</v>
      </c>
      <c r="L71" s="41">
        <f t="shared" ref="L71:L102" si="41">J71*D71</f>
        <v>0</v>
      </c>
      <c r="M71" s="38">
        <f t="shared" ref="M71:M102" si="42">IF($A71&gt;LastT,0,(SizeAnnPrem*ExpsMaintAnnPrem+(SumAssured*ExpsMaintSA+ExpsMaintPol)*B71)*(1+IF($B$3="exps",$E$3,0)))</f>
        <v>0</v>
      </c>
      <c r="N71" s="38">
        <f t="shared" ref="N71:N102" si="43">SizePremium*J71</f>
        <v>0</v>
      </c>
      <c r="O71" s="38">
        <f t="shared" ref="O71:O102" si="44">SumAssured*K71</f>
        <v>0</v>
      </c>
      <c r="P71" s="38">
        <f>Policy_Sched!$I71*(L71+I71)</f>
        <v>0</v>
      </c>
      <c r="Q71" s="42">
        <f t="shared" ref="Q71:Q102" si="45">O71+P71</f>
        <v>0</v>
      </c>
      <c r="R71" s="38">
        <f t="shared" ref="R71:R102" si="46">IF($A71=0,SizeExpsAcq0*H71,0)</f>
        <v>0</v>
      </c>
      <c r="S71" s="38">
        <f t="shared" ref="S71:S102" si="47">IF($A71=0,SizeExpsCommInit0*J71,0)</f>
        <v>0</v>
      </c>
      <c r="T71" s="38">
        <f>Policy_Sched!$J71*J71</f>
        <v>0</v>
      </c>
      <c r="U71" s="42">
        <f t="shared" ref="U71:U102" si="48">M71*J71</f>
        <v>0</v>
      </c>
      <c r="V71" s="42">
        <f t="shared" ref="V71:V102" si="49">S71+T71+R71+U71</f>
        <v>0</v>
      </c>
      <c r="W71" s="38">
        <f>IF($A71&gt;LastT,0,N71+W72/(1+Policy_Sched!$K71))</f>
        <v>0</v>
      </c>
      <c r="X71" s="38">
        <f>IF($A71&gt;LastT,0,(-Q71+X72)/(1+Policy_Sched!$K71))</f>
        <v>0</v>
      </c>
      <c r="Y71" s="38">
        <f>IF($A71&gt;LastT,0,-V71+Y72/(1+Policy_Sched!$K71))</f>
        <v>0</v>
      </c>
      <c r="Z71" s="42">
        <f t="shared" ref="Z71:Z102" si="50">W71+Y71+X71</f>
        <v>0</v>
      </c>
      <c r="AA71" s="38">
        <f>IF($A71&gt;LastT,0,N71-V71-Q71/(1+Policy_Sched!$K71)+Z72/(1+Policy_Sched!$K71))</f>
        <v>0</v>
      </c>
    </row>
    <row r="72" spans="1:27" x14ac:dyDescent="0.2">
      <c r="A72" s="30">
        <f t="shared" ref="A72:A103" si="51">A71+1</f>
        <v>65</v>
      </c>
      <c r="B72" s="31">
        <f t="shared" ref="B72:B103" si="52">IF($A72&gt;LastT,0,IF($B$3="exps",B71*(1+InflRate+IF($A72&gt;=T0,$G$3,0)),B71/(1+InflRate)))</f>
        <v>0</v>
      </c>
      <c r="C72" s="31">
        <f>IF($A72&gt;LastT,0,IF(AND($D$3&lt;&gt;0,$A72&gt;=T0,Policy_Sched!$B72&lt;LastAge),1+$D$3*$E$3,1))</f>
        <v>0</v>
      </c>
      <c r="D72" s="36">
        <f>IF($A72&gt;LastT,0,IF($C$3="up",MIN(Policy_Sched!$E72*(1+IF($A72&gt;=T0,$E$3,0)),$F$3),IF($C$3="down",MAX(Policy_Sched!$E72*(1-IF($A72&gt;=T0,$E$3,0)),Policy_Sched!$E72-$F$3),Policy_Sched!$E72)))</f>
        <v>0</v>
      </c>
      <c r="E72" s="37">
        <f t="shared" ref="E72:E103" si="53">IF($A72&gt;LastT,0,J71-K71-L71)</f>
        <v>0</v>
      </c>
      <c r="F72" s="37">
        <f t="shared" si="36"/>
        <v>0</v>
      </c>
      <c r="G72" s="37">
        <f t="shared" si="37"/>
        <v>0</v>
      </c>
      <c r="H72" s="37">
        <f t="shared" si="38"/>
        <v>0</v>
      </c>
      <c r="I72" s="37">
        <f t="shared" si="39"/>
        <v>0</v>
      </c>
      <c r="J72" s="37">
        <f t="shared" si="40"/>
        <v>0</v>
      </c>
      <c r="K72" s="37">
        <f>IF($A72&gt;LastT,0,J72*Policy_Sched!$C72*Policy_Sched!$D72*C72)</f>
        <v>0</v>
      </c>
      <c r="L72" s="41">
        <f t="shared" si="41"/>
        <v>0</v>
      </c>
      <c r="M72" s="38">
        <f t="shared" si="42"/>
        <v>0</v>
      </c>
      <c r="N72" s="38">
        <f t="shared" si="43"/>
        <v>0</v>
      </c>
      <c r="O72" s="38">
        <f t="shared" si="44"/>
        <v>0</v>
      </c>
      <c r="P72" s="38">
        <f>Policy_Sched!$I72*(L72+I72)</f>
        <v>0</v>
      </c>
      <c r="Q72" s="42">
        <f t="shared" si="45"/>
        <v>0</v>
      </c>
      <c r="R72" s="38">
        <f t="shared" si="46"/>
        <v>0</v>
      </c>
      <c r="S72" s="38">
        <f t="shared" si="47"/>
        <v>0</v>
      </c>
      <c r="T72" s="38">
        <f>Policy_Sched!$J72*J72</f>
        <v>0</v>
      </c>
      <c r="U72" s="42">
        <f t="shared" si="48"/>
        <v>0</v>
      </c>
      <c r="V72" s="42">
        <f t="shared" si="49"/>
        <v>0</v>
      </c>
      <c r="W72" s="38">
        <f>IF($A72&gt;LastT,0,N72+W73/(1+Policy_Sched!$K72))</f>
        <v>0</v>
      </c>
      <c r="X72" s="38">
        <f>IF($A72&gt;LastT,0,(-Q72+X73)/(1+Policy_Sched!$K72))</f>
        <v>0</v>
      </c>
      <c r="Y72" s="38">
        <f>IF($A72&gt;LastT,0,-V72+Y73/(1+Policy_Sched!$K72))</f>
        <v>0</v>
      </c>
      <c r="Z72" s="42">
        <f t="shared" si="50"/>
        <v>0</v>
      </c>
      <c r="AA72" s="38">
        <f>IF($A72&gt;LastT,0,N72-V72-Q72/(1+Policy_Sched!$K72)+Z73/(1+Policy_Sched!$K72))</f>
        <v>0</v>
      </c>
    </row>
    <row r="73" spans="1:27" x14ac:dyDescent="0.2">
      <c r="A73" s="30">
        <f t="shared" si="51"/>
        <v>66</v>
      </c>
      <c r="B73" s="31">
        <f t="shared" si="52"/>
        <v>0</v>
      </c>
      <c r="C73" s="31">
        <f>IF($A73&gt;LastT,0,IF(AND($D$3&lt;&gt;0,$A73&gt;=T0,Policy_Sched!$B73&lt;LastAge),1+$D$3*$E$3,1))</f>
        <v>0</v>
      </c>
      <c r="D73" s="36">
        <f>IF($A73&gt;LastT,0,IF($C$3="up",MIN(Policy_Sched!$E73*(1+IF($A73&gt;=T0,$E$3,0)),$F$3),IF($C$3="down",MAX(Policy_Sched!$E73*(1-IF($A73&gt;=T0,$E$3,0)),Policy_Sched!$E73-$F$3),Policy_Sched!$E73)))</f>
        <v>0</v>
      </c>
      <c r="E73" s="37">
        <f t="shared" si="53"/>
        <v>0</v>
      </c>
      <c r="F73" s="37">
        <f t="shared" si="36"/>
        <v>0</v>
      </c>
      <c r="G73" s="37">
        <f t="shared" si="37"/>
        <v>0</v>
      </c>
      <c r="H73" s="37">
        <f t="shared" si="38"/>
        <v>0</v>
      </c>
      <c r="I73" s="37">
        <f t="shared" si="39"/>
        <v>0</v>
      </c>
      <c r="J73" s="37">
        <f t="shared" si="40"/>
        <v>0</v>
      </c>
      <c r="K73" s="37">
        <f>IF($A73&gt;LastT,0,J73*Policy_Sched!$C73*Policy_Sched!$D73*C73)</f>
        <v>0</v>
      </c>
      <c r="L73" s="41">
        <f t="shared" si="41"/>
        <v>0</v>
      </c>
      <c r="M73" s="38">
        <f t="shared" si="42"/>
        <v>0</v>
      </c>
      <c r="N73" s="38">
        <f t="shared" si="43"/>
        <v>0</v>
      </c>
      <c r="O73" s="38">
        <f t="shared" si="44"/>
        <v>0</v>
      </c>
      <c r="P73" s="38">
        <f>Policy_Sched!$I73*(L73+I73)</f>
        <v>0</v>
      </c>
      <c r="Q73" s="42">
        <f t="shared" si="45"/>
        <v>0</v>
      </c>
      <c r="R73" s="38">
        <f t="shared" si="46"/>
        <v>0</v>
      </c>
      <c r="S73" s="38">
        <f t="shared" si="47"/>
        <v>0</v>
      </c>
      <c r="T73" s="38">
        <f>Policy_Sched!$J73*J73</f>
        <v>0</v>
      </c>
      <c r="U73" s="42">
        <f t="shared" si="48"/>
        <v>0</v>
      </c>
      <c r="V73" s="42">
        <f t="shared" si="49"/>
        <v>0</v>
      </c>
      <c r="W73" s="38">
        <f>IF($A73&gt;LastT,0,N73+W74/(1+Policy_Sched!$K73))</f>
        <v>0</v>
      </c>
      <c r="X73" s="38">
        <f>IF($A73&gt;LastT,0,(-Q73+X74)/(1+Policy_Sched!$K73))</f>
        <v>0</v>
      </c>
      <c r="Y73" s="38">
        <f>IF($A73&gt;LastT,0,-V73+Y74/(1+Policy_Sched!$K73))</f>
        <v>0</v>
      </c>
      <c r="Z73" s="42">
        <f t="shared" si="50"/>
        <v>0</v>
      </c>
      <c r="AA73" s="38">
        <f>IF($A73&gt;LastT,0,N73-V73-Q73/(1+Policy_Sched!$K73)+Z74/(1+Policy_Sched!$K73))</f>
        <v>0</v>
      </c>
    </row>
    <row r="74" spans="1:27" x14ac:dyDescent="0.2">
      <c r="A74" s="30">
        <f t="shared" si="51"/>
        <v>67</v>
      </c>
      <c r="B74" s="31">
        <f t="shared" si="52"/>
        <v>0</v>
      </c>
      <c r="C74" s="31">
        <f>IF($A74&gt;LastT,0,IF(AND($D$3&lt;&gt;0,$A74&gt;=T0,Policy_Sched!$B74&lt;LastAge),1+$D$3*$E$3,1))</f>
        <v>0</v>
      </c>
      <c r="D74" s="36">
        <f>IF($A74&gt;LastT,0,IF($C$3="up",MIN(Policy_Sched!$E74*(1+IF($A74&gt;=T0,$E$3,0)),$F$3),IF($C$3="down",MAX(Policy_Sched!$E74*(1-IF($A74&gt;=T0,$E$3,0)),Policy_Sched!$E74-$F$3),Policy_Sched!$E74)))</f>
        <v>0</v>
      </c>
      <c r="E74" s="37">
        <f t="shared" si="53"/>
        <v>0</v>
      </c>
      <c r="F74" s="37">
        <f t="shared" si="36"/>
        <v>0</v>
      </c>
      <c r="G74" s="37">
        <f t="shared" si="37"/>
        <v>0</v>
      </c>
      <c r="H74" s="37">
        <f t="shared" si="38"/>
        <v>0</v>
      </c>
      <c r="I74" s="37">
        <f t="shared" si="39"/>
        <v>0</v>
      </c>
      <c r="J74" s="37">
        <f t="shared" si="40"/>
        <v>0</v>
      </c>
      <c r="K74" s="37">
        <f>IF($A74&gt;LastT,0,J74*Policy_Sched!$C74*Policy_Sched!$D74*C74)</f>
        <v>0</v>
      </c>
      <c r="L74" s="41">
        <f t="shared" si="41"/>
        <v>0</v>
      </c>
      <c r="M74" s="38">
        <f t="shared" si="42"/>
        <v>0</v>
      </c>
      <c r="N74" s="38">
        <f t="shared" si="43"/>
        <v>0</v>
      </c>
      <c r="O74" s="38">
        <f t="shared" si="44"/>
        <v>0</v>
      </c>
      <c r="P74" s="38">
        <f>Policy_Sched!$I74*(L74+I74)</f>
        <v>0</v>
      </c>
      <c r="Q74" s="42">
        <f t="shared" si="45"/>
        <v>0</v>
      </c>
      <c r="R74" s="38">
        <f t="shared" si="46"/>
        <v>0</v>
      </c>
      <c r="S74" s="38">
        <f t="shared" si="47"/>
        <v>0</v>
      </c>
      <c r="T74" s="38">
        <f>Policy_Sched!$J74*J74</f>
        <v>0</v>
      </c>
      <c r="U74" s="42">
        <f t="shared" si="48"/>
        <v>0</v>
      </c>
      <c r="V74" s="42">
        <f t="shared" si="49"/>
        <v>0</v>
      </c>
      <c r="W74" s="38">
        <f>IF($A74&gt;LastT,0,N74+W75/(1+Policy_Sched!$K74))</f>
        <v>0</v>
      </c>
      <c r="X74" s="38">
        <f>IF($A74&gt;LastT,0,(-Q74+X75)/(1+Policy_Sched!$K74))</f>
        <v>0</v>
      </c>
      <c r="Y74" s="38">
        <f>IF($A74&gt;LastT,0,-V74+Y75/(1+Policy_Sched!$K74))</f>
        <v>0</v>
      </c>
      <c r="Z74" s="42">
        <f t="shared" si="50"/>
        <v>0</v>
      </c>
      <c r="AA74" s="38">
        <f>IF($A74&gt;LastT,0,N74-V74-Q74/(1+Policy_Sched!$K74)+Z75/(1+Policy_Sched!$K74))</f>
        <v>0</v>
      </c>
    </row>
    <row r="75" spans="1:27" x14ac:dyDescent="0.2">
      <c r="A75" s="30">
        <f t="shared" si="51"/>
        <v>68</v>
      </c>
      <c r="B75" s="31">
        <f t="shared" si="52"/>
        <v>0</v>
      </c>
      <c r="C75" s="31">
        <f>IF($A75&gt;LastT,0,IF(AND($D$3&lt;&gt;0,$A75&gt;=T0,Policy_Sched!$B75&lt;LastAge),1+$D$3*$E$3,1))</f>
        <v>0</v>
      </c>
      <c r="D75" s="36">
        <f>IF($A75&gt;LastT,0,IF($C$3="up",MIN(Policy_Sched!$E75*(1+IF($A75&gt;=T0,$E$3,0)),$F$3),IF($C$3="down",MAX(Policy_Sched!$E75*(1-IF($A75&gt;=T0,$E$3,0)),Policy_Sched!$E75-$F$3),Policy_Sched!$E75)))</f>
        <v>0</v>
      </c>
      <c r="E75" s="37">
        <f t="shared" si="53"/>
        <v>0</v>
      </c>
      <c r="F75" s="37">
        <f t="shared" si="36"/>
        <v>0</v>
      </c>
      <c r="G75" s="37">
        <f t="shared" si="37"/>
        <v>0</v>
      </c>
      <c r="H75" s="37">
        <f t="shared" si="38"/>
        <v>0</v>
      </c>
      <c r="I75" s="37">
        <f t="shared" si="39"/>
        <v>0</v>
      </c>
      <c r="J75" s="37">
        <f t="shared" si="40"/>
        <v>0</v>
      </c>
      <c r="K75" s="37">
        <f>IF($A75&gt;LastT,0,J75*Policy_Sched!$C75*Policy_Sched!$D75*C75)</f>
        <v>0</v>
      </c>
      <c r="L75" s="41">
        <f t="shared" si="41"/>
        <v>0</v>
      </c>
      <c r="M75" s="38">
        <f t="shared" si="42"/>
        <v>0</v>
      </c>
      <c r="N75" s="38">
        <f t="shared" si="43"/>
        <v>0</v>
      </c>
      <c r="O75" s="38">
        <f t="shared" si="44"/>
        <v>0</v>
      </c>
      <c r="P75" s="38">
        <f>Policy_Sched!$I75*(L75+I75)</f>
        <v>0</v>
      </c>
      <c r="Q75" s="42">
        <f t="shared" si="45"/>
        <v>0</v>
      </c>
      <c r="R75" s="38">
        <f t="shared" si="46"/>
        <v>0</v>
      </c>
      <c r="S75" s="38">
        <f t="shared" si="47"/>
        <v>0</v>
      </c>
      <c r="T75" s="38">
        <f>Policy_Sched!$J75*J75</f>
        <v>0</v>
      </c>
      <c r="U75" s="42">
        <f t="shared" si="48"/>
        <v>0</v>
      </c>
      <c r="V75" s="42">
        <f t="shared" si="49"/>
        <v>0</v>
      </c>
      <c r="W75" s="38">
        <f>IF($A75&gt;LastT,0,N75+W76/(1+Policy_Sched!$K75))</f>
        <v>0</v>
      </c>
      <c r="X75" s="38">
        <f>IF($A75&gt;LastT,0,(-Q75+X76)/(1+Policy_Sched!$K75))</f>
        <v>0</v>
      </c>
      <c r="Y75" s="38">
        <f>IF($A75&gt;LastT,0,-V75+Y76/(1+Policy_Sched!$K75))</f>
        <v>0</v>
      </c>
      <c r="Z75" s="42">
        <f t="shared" si="50"/>
        <v>0</v>
      </c>
      <c r="AA75" s="38">
        <f>IF($A75&gt;LastT,0,N75-V75-Q75/(1+Policy_Sched!$K75)+Z76/(1+Policy_Sched!$K75))</f>
        <v>0</v>
      </c>
    </row>
    <row r="76" spans="1:27" x14ac:dyDescent="0.2">
      <c r="A76" s="30">
        <f t="shared" si="51"/>
        <v>69</v>
      </c>
      <c r="B76" s="31">
        <f t="shared" si="52"/>
        <v>0</v>
      </c>
      <c r="C76" s="31">
        <f>IF($A76&gt;LastT,0,IF(AND($D$3&lt;&gt;0,$A76&gt;=T0,Policy_Sched!$B76&lt;LastAge),1+$D$3*$E$3,1))</f>
        <v>0</v>
      </c>
      <c r="D76" s="36">
        <f>IF($A76&gt;LastT,0,IF($C$3="up",MIN(Policy_Sched!$E76*(1+IF($A76&gt;=T0,$E$3,0)),$F$3),IF($C$3="down",MAX(Policy_Sched!$E76*(1-IF($A76&gt;=T0,$E$3,0)),Policy_Sched!$E76-$F$3),Policy_Sched!$E76)))</f>
        <v>0</v>
      </c>
      <c r="E76" s="37">
        <f t="shared" si="53"/>
        <v>0</v>
      </c>
      <c r="F76" s="37">
        <f t="shared" si="36"/>
        <v>0</v>
      </c>
      <c r="G76" s="37">
        <f t="shared" si="37"/>
        <v>0</v>
      </c>
      <c r="H76" s="37">
        <f t="shared" si="38"/>
        <v>0</v>
      </c>
      <c r="I76" s="37">
        <f t="shared" si="39"/>
        <v>0</v>
      </c>
      <c r="J76" s="37">
        <f t="shared" si="40"/>
        <v>0</v>
      </c>
      <c r="K76" s="37">
        <f>IF($A76&gt;LastT,0,J76*Policy_Sched!$C76*Policy_Sched!$D76*C76)</f>
        <v>0</v>
      </c>
      <c r="L76" s="41">
        <f t="shared" si="41"/>
        <v>0</v>
      </c>
      <c r="M76" s="38">
        <f t="shared" si="42"/>
        <v>0</v>
      </c>
      <c r="N76" s="38">
        <f t="shared" si="43"/>
        <v>0</v>
      </c>
      <c r="O76" s="38">
        <f t="shared" si="44"/>
        <v>0</v>
      </c>
      <c r="P76" s="38">
        <f>Policy_Sched!$I76*(L76+I76)</f>
        <v>0</v>
      </c>
      <c r="Q76" s="42">
        <f t="shared" si="45"/>
        <v>0</v>
      </c>
      <c r="R76" s="38">
        <f t="shared" si="46"/>
        <v>0</v>
      </c>
      <c r="S76" s="38">
        <f t="shared" si="47"/>
        <v>0</v>
      </c>
      <c r="T76" s="38">
        <f>Policy_Sched!$J76*J76</f>
        <v>0</v>
      </c>
      <c r="U76" s="42">
        <f t="shared" si="48"/>
        <v>0</v>
      </c>
      <c r="V76" s="42">
        <f t="shared" si="49"/>
        <v>0</v>
      </c>
      <c r="W76" s="38">
        <f>IF($A76&gt;LastT,0,N76+W77/(1+Policy_Sched!$K76))</f>
        <v>0</v>
      </c>
      <c r="X76" s="38">
        <f>IF($A76&gt;LastT,0,(-Q76+X77)/(1+Policy_Sched!$K76))</f>
        <v>0</v>
      </c>
      <c r="Y76" s="38">
        <f>IF($A76&gt;LastT,0,-V76+Y77/(1+Policy_Sched!$K76))</f>
        <v>0</v>
      </c>
      <c r="Z76" s="42">
        <f t="shared" si="50"/>
        <v>0</v>
      </c>
      <c r="AA76" s="38">
        <f>IF($A76&gt;LastT,0,N76-V76-Q76/(1+Policy_Sched!$K76)+Z77/(1+Policy_Sched!$K76))</f>
        <v>0</v>
      </c>
    </row>
    <row r="77" spans="1:27" x14ac:dyDescent="0.2">
      <c r="A77" s="30">
        <f t="shared" si="51"/>
        <v>70</v>
      </c>
      <c r="B77" s="31">
        <f t="shared" si="52"/>
        <v>0</v>
      </c>
      <c r="C77" s="31">
        <f>IF($A77&gt;LastT,0,IF(AND($D$3&lt;&gt;0,$A77&gt;=T0,Policy_Sched!$B77&lt;LastAge),1+$D$3*$E$3,1))</f>
        <v>0</v>
      </c>
      <c r="D77" s="36">
        <f>IF($A77&gt;LastT,0,IF($C$3="up",MIN(Policy_Sched!$E77*(1+IF($A77&gt;=T0,$E$3,0)),$F$3),IF($C$3="down",MAX(Policy_Sched!$E77*(1-IF($A77&gt;=T0,$E$3,0)),Policy_Sched!$E77-$F$3),Policy_Sched!$E77)))</f>
        <v>0</v>
      </c>
      <c r="E77" s="37">
        <f t="shared" si="53"/>
        <v>0</v>
      </c>
      <c r="F77" s="37">
        <f t="shared" si="36"/>
        <v>0</v>
      </c>
      <c r="G77" s="37">
        <f t="shared" si="37"/>
        <v>0</v>
      </c>
      <c r="H77" s="37">
        <f t="shared" si="38"/>
        <v>0</v>
      </c>
      <c r="I77" s="37">
        <f t="shared" si="39"/>
        <v>0</v>
      </c>
      <c r="J77" s="37">
        <f t="shared" si="40"/>
        <v>0</v>
      </c>
      <c r="K77" s="37">
        <f>IF($A77&gt;LastT,0,J77*Policy_Sched!$C77*Policy_Sched!$D77*C77)</f>
        <v>0</v>
      </c>
      <c r="L77" s="41">
        <f t="shared" si="41"/>
        <v>0</v>
      </c>
      <c r="M77" s="38">
        <f t="shared" si="42"/>
        <v>0</v>
      </c>
      <c r="N77" s="38">
        <f t="shared" si="43"/>
        <v>0</v>
      </c>
      <c r="O77" s="38">
        <f t="shared" si="44"/>
        <v>0</v>
      </c>
      <c r="P77" s="38">
        <f>Policy_Sched!$I77*(L77+I77)</f>
        <v>0</v>
      </c>
      <c r="Q77" s="42">
        <f t="shared" si="45"/>
        <v>0</v>
      </c>
      <c r="R77" s="38">
        <f t="shared" si="46"/>
        <v>0</v>
      </c>
      <c r="S77" s="38">
        <f t="shared" si="47"/>
        <v>0</v>
      </c>
      <c r="T77" s="38">
        <f>Policy_Sched!$J77*J77</f>
        <v>0</v>
      </c>
      <c r="U77" s="42">
        <f t="shared" si="48"/>
        <v>0</v>
      </c>
      <c r="V77" s="42">
        <f t="shared" si="49"/>
        <v>0</v>
      </c>
      <c r="W77" s="38">
        <f>IF($A77&gt;LastT,0,N77+W78/(1+Policy_Sched!$K77))</f>
        <v>0</v>
      </c>
      <c r="X77" s="38">
        <f>IF($A77&gt;LastT,0,(-Q77+X78)/(1+Policy_Sched!$K77))</f>
        <v>0</v>
      </c>
      <c r="Y77" s="38">
        <f>IF($A77&gt;LastT,0,-V77+Y78/(1+Policy_Sched!$K77))</f>
        <v>0</v>
      </c>
      <c r="Z77" s="42">
        <f t="shared" si="50"/>
        <v>0</v>
      </c>
      <c r="AA77" s="38">
        <f>IF($A77&gt;LastT,0,N77-V77-Q77/(1+Policy_Sched!$K77)+Z78/(1+Policy_Sched!$K77))</f>
        <v>0</v>
      </c>
    </row>
    <row r="78" spans="1:27" x14ac:dyDescent="0.2">
      <c r="A78" s="30">
        <f t="shared" si="51"/>
        <v>71</v>
      </c>
      <c r="B78" s="31">
        <f t="shared" si="52"/>
        <v>0</v>
      </c>
      <c r="C78" s="31">
        <f>IF($A78&gt;LastT,0,IF(AND($D$3&lt;&gt;0,$A78&gt;=T0,Policy_Sched!$B78&lt;LastAge),1+$D$3*$E$3,1))</f>
        <v>0</v>
      </c>
      <c r="D78" s="36">
        <f>IF($A78&gt;LastT,0,IF($C$3="up",MIN(Policy_Sched!$E78*(1+IF($A78&gt;=T0,$E$3,0)),$F$3),IF($C$3="down",MAX(Policy_Sched!$E78*(1-IF($A78&gt;=T0,$E$3,0)),Policy_Sched!$E78-$F$3),Policy_Sched!$E78)))</f>
        <v>0</v>
      </c>
      <c r="E78" s="37">
        <f t="shared" si="53"/>
        <v>0</v>
      </c>
      <c r="F78" s="37">
        <f t="shared" si="36"/>
        <v>0</v>
      </c>
      <c r="G78" s="37">
        <f t="shared" si="37"/>
        <v>0</v>
      </c>
      <c r="H78" s="37">
        <f t="shared" si="38"/>
        <v>0</v>
      </c>
      <c r="I78" s="37">
        <f t="shared" si="39"/>
        <v>0</v>
      </c>
      <c r="J78" s="37">
        <f t="shared" si="40"/>
        <v>0</v>
      </c>
      <c r="K78" s="37">
        <f>IF($A78&gt;LastT,0,J78*Policy_Sched!$C78*Policy_Sched!$D78*C78)</f>
        <v>0</v>
      </c>
      <c r="L78" s="41">
        <f t="shared" si="41"/>
        <v>0</v>
      </c>
      <c r="M78" s="38">
        <f t="shared" si="42"/>
        <v>0</v>
      </c>
      <c r="N78" s="38">
        <f t="shared" si="43"/>
        <v>0</v>
      </c>
      <c r="O78" s="38">
        <f t="shared" si="44"/>
        <v>0</v>
      </c>
      <c r="P78" s="38">
        <f>Policy_Sched!$I78*(L78+I78)</f>
        <v>0</v>
      </c>
      <c r="Q78" s="42">
        <f t="shared" si="45"/>
        <v>0</v>
      </c>
      <c r="R78" s="38">
        <f t="shared" si="46"/>
        <v>0</v>
      </c>
      <c r="S78" s="38">
        <f t="shared" si="47"/>
        <v>0</v>
      </c>
      <c r="T78" s="38">
        <f>Policy_Sched!$J78*J78</f>
        <v>0</v>
      </c>
      <c r="U78" s="42">
        <f t="shared" si="48"/>
        <v>0</v>
      </c>
      <c r="V78" s="42">
        <f t="shared" si="49"/>
        <v>0</v>
      </c>
      <c r="W78" s="38">
        <f>IF($A78&gt;LastT,0,N78+W79/(1+Policy_Sched!$K78))</f>
        <v>0</v>
      </c>
      <c r="X78" s="38">
        <f>IF($A78&gt;LastT,0,(-Q78+X79)/(1+Policy_Sched!$K78))</f>
        <v>0</v>
      </c>
      <c r="Y78" s="38">
        <f>IF($A78&gt;LastT,0,-V78+Y79/(1+Policy_Sched!$K78))</f>
        <v>0</v>
      </c>
      <c r="Z78" s="42">
        <f t="shared" si="50"/>
        <v>0</v>
      </c>
      <c r="AA78" s="38">
        <f>IF($A78&gt;LastT,0,N78-V78-Q78/(1+Policy_Sched!$K78)+Z79/(1+Policy_Sched!$K78))</f>
        <v>0</v>
      </c>
    </row>
    <row r="79" spans="1:27" x14ac:dyDescent="0.2">
      <c r="A79" s="30">
        <f t="shared" si="51"/>
        <v>72</v>
      </c>
      <c r="B79" s="31">
        <f t="shared" si="52"/>
        <v>0</v>
      </c>
      <c r="C79" s="31">
        <f>IF($A79&gt;LastT,0,IF(AND($D$3&lt;&gt;0,$A79&gt;=T0,Policy_Sched!$B79&lt;LastAge),1+$D$3*$E$3,1))</f>
        <v>0</v>
      </c>
      <c r="D79" s="36">
        <f>IF($A79&gt;LastT,0,IF($C$3="up",MIN(Policy_Sched!$E79*(1+IF($A79&gt;=T0,$E$3,0)),$F$3),IF($C$3="down",MAX(Policy_Sched!$E79*(1-IF($A79&gt;=T0,$E$3,0)),Policy_Sched!$E79-$F$3),Policy_Sched!$E79)))</f>
        <v>0</v>
      </c>
      <c r="E79" s="37">
        <f t="shared" si="53"/>
        <v>0</v>
      </c>
      <c r="F79" s="37">
        <f t="shared" si="36"/>
        <v>0</v>
      </c>
      <c r="G79" s="37">
        <f t="shared" si="37"/>
        <v>0</v>
      </c>
      <c r="H79" s="37">
        <f t="shared" si="38"/>
        <v>0</v>
      </c>
      <c r="I79" s="37">
        <f t="shared" si="39"/>
        <v>0</v>
      </c>
      <c r="J79" s="37">
        <f t="shared" si="40"/>
        <v>0</v>
      </c>
      <c r="K79" s="37">
        <f>IF($A79&gt;LastT,0,J79*Policy_Sched!$C79*Policy_Sched!$D79*C79)</f>
        <v>0</v>
      </c>
      <c r="L79" s="41">
        <f t="shared" si="41"/>
        <v>0</v>
      </c>
      <c r="M79" s="38">
        <f t="shared" si="42"/>
        <v>0</v>
      </c>
      <c r="N79" s="38">
        <f t="shared" si="43"/>
        <v>0</v>
      </c>
      <c r="O79" s="38">
        <f t="shared" si="44"/>
        <v>0</v>
      </c>
      <c r="P79" s="38">
        <f>Policy_Sched!$I79*(L79+I79)</f>
        <v>0</v>
      </c>
      <c r="Q79" s="42">
        <f t="shared" si="45"/>
        <v>0</v>
      </c>
      <c r="R79" s="38">
        <f t="shared" si="46"/>
        <v>0</v>
      </c>
      <c r="S79" s="38">
        <f t="shared" si="47"/>
        <v>0</v>
      </c>
      <c r="T79" s="38">
        <f>Policy_Sched!$J79*J79</f>
        <v>0</v>
      </c>
      <c r="U79" s="42">
        <f t="shared" si="48"/>
        <v>0</v>
      </c>
      <c r="V79" s="42">
        <f t="shared" si="49"/>
        <v>0</v>
      </c>
      <c r="W79" s="38">
        <f>IF($A79&gt;LastT,0,N79+W80/(1+Policy_Sched!$K79))</f>
        <v>0</v>
      </c>
      <c r="X79" s="38">
        <f>IF($A79&gt;LastT,0,(-Q79+X80)/(1+Policy_Sched!$K79))</f>
        <v>0</v>
      </c>
      <c r="Y79" s="38">
        <f>IF($A79&gt;LastT,0,-V79+Y80/(1+Policy_Sched!$K79))</f>
        <v>0</v>
      </c>
      <c r="Z79" s="42">
        <f t="shared" si="50"/>
        <v>0</v>
      </c>
      <c r="AA79" s="38">
        <f>IF($A79&gt;LastT,0,N79-V79-Q79/(1+Policy_Sched!$K79)+Z80/(1+Policy_Sched!$K79))</f>
        <v>0</v>
      </c>
    </row>
    <row r="80" spans="1:27" x14ac:dyDescent="0.2">
      <c r="A80" s="30">
        <f t="shared" si="51"/>
        <v>73</v>
      </c>
      <c r="B80" s="31">
        <f t="shared" si="52"/>
        <v>0</v>
      </c>
      <c r="C80" s="31">
        <f>IF($A80&gt;LastT,0,IF(AND($D$3&lt;&gt;0,$A80&gt;=T0,Policy_Sched!$B80&lt;LastAge),1+$D$3*$E$3,1))</f>
        <v>0</v>
      </c>
      <c r="D80" s="36">
        <f>IF($A80&gt;LastT,0,IF($C$3="up",MIN(Policy_Sched!$E80*(1+IF($A80&gt;=T0,$E$3,0)),$F$3),IF($C$3="down",MAX(Policy_Sched!$E80*(1-IF($A80&gt;=T0,$E$3,0)),Policy_Sched!$E80-$F$3),Policy_Sched!$E80)))</f>
        <v>0</v>
      </c>
      <c r="E80" s="37">
        <f t="shared" si="53"/>
        <v>0</v>
      </c>
      <c r="F80" s="37">
        <f t="shared" si="36"/>
        <v>0</v>
      </c>
      <c r="G80" s="37">
        <f t="shared" si="37"/>
        <v>0</v>
      </c>
      <c r="H80" s="37">
        <f t="shared" si="38"/>
        <v>0</v>
      </c>
      <c r="I80" s="37">
        <f t="shared" si="39"/>
        <v>0</v>
      </c>
      <c r="J80" s="37">
        <f t="shared" si="40"/>
        <v>0</v>
      </c>
      <c r="K80" s="37">
        <f>IF($A80&gt;LastT,0,J80*Policy_Sched!$C80*Policy_Sched!$D80*C80)</f>
        <v>0</v>
      </c>
      <c r="L80" s="41">
        <f t="shared" si="41"/>
        <v>0</v>
      </c>
      <c r="M80" s="38">
        <f t="shared" si="42"/>
        <v>0</v>
      </c>
      <c r="N80" s="38">
        <f t="shared" si="43"/>
        <v>0</v>
      </c>
      <c r="O80" s="38">
        <f t="shared" si="44"/>
        <v>0</v>
      </c>
      <c r="P80" s="38">
        <f>Policy_Sched!$I80*(L80+I80)</f>
        <v>0</v>
      </c>
      <c r="Q80" s="42">
        <f t="shared" si="45"/>
        <v>0</v>
      </c>
      <c r="R80" s="38">
        <f t="shared" si="46"/>
        <v>0</v>
      </c>
      <c r="S80" s="38">
        <f t="shared" si="47"/>
        <v>0</v>
      </c>
      <c r="T80" s="38">
        <f>Policy_Sched!$J80*J80</f>
        <v>0</v>
      </c>
      <c r="U80" s="42">
        <f t="shared" si="48"/>
        <v>0</v>
      </c>
      <c r="V80" s="42">
        <f t="shared" si="49"/>
        <v>0</v>
      </c>
      <c r="W80" s="38">
        <f>IF($A80&gt;LastT,0,N80+W81/(1+Policy_Sched!$K80))</f>
        <v>0</v>
      </c>
      <c r="X80" s="38">
        <f>IF($A80&gt;LastT,0,(-Q80+X81)/(1+Policy_Sched!$K80))</f>
        <v>0</v>
      </c>
      <c r="Y80" s="38">
        <f>IF($A80&gt;LastT,0,-V80+Y81/(1+Policy_Sched!$K80))</f>
        <v>0</v>
      </c>
      <c r="Z80" s="42">
        <f t="shared" si="50"/>
        <v>0</v>
      </c>
      <c r="AA80" s="38">
        <f>IF($A80&gt;LastT,0,N80-V80-Q80/(1+Policy_Sched!$K80)+Z81/(1+Policy_Sched!$K80))</f>
        <v>0</v>
      </c>
    </row>
    <row r="81" spans="1:27" x14ac:dyDescent="0.2">
      <c r="A81" s="30">
        <f t="shared" si="51"/>
        <v>74</v>
      </c>
      <c r="B81" s="31">
        <f t="shared" si="52"/>
        <v>0</v>
      </c>
      <c r="C81" s="31">
        <f>IF($A81&gt;LastT,0,IF(AND($D$3&lt;&gt;0,$A81&gt;=T0,Policy_Sched!$B81&lt;LastAge),1+$D$3*$E$3,1))</f>
        <v>0</v>
      </c>
      <c r="D81" s="36">
        <f>IF($A81&gt;LastT,0,IF($C$3="up",MIN(Policy_Sched!$E81*(1+IF($A81&gt;=T0,$E$3,0)),$F$3),IF($C$3="down",MAX(Policy_Sched!$E81*(1-IF($A81&gt;=T0,$E$3,0)),Policy_Sched!$E81-$F$3),Policy_Sched!$E81)))</f>
        <v>0</v>
      </c>
      <c r="E81" s="37">
        <f t="shared" si="53"/>
        <v>0</v>
      </c>
      <c r="F81" s="37">
        <f t="shared" si="36"/>
        <v>0</v>
      </c>
      <c r="G81" s="37">
        <f t="shared" si="37"/>
        <v>0</v>
      </c>
      <c r="H81" s="37">
        <f t="shared" si="38"/>
        <v>0</v>
      </c>
      <c r="I81" s="37">
        <f t="shared" si="39"/>
        <v>0</v>
      </c>
      <c r="J81" s="37">
        <f t="shared" si="40"/>
        <v>0</v>
      </c>
      <c r="K81" s="37">
        <f>IF($A81&gt;LastT,0,J81*Policy_Sched!$C81*Policy_Sched!$D81*C81)</f>
        <v>0</v>
      </c>
      <c r="L81" s="41">
        <f t="shared" si="41"/>
        <v>0</v>
      </c>
      <c r="M81" s="38">
        <f t="shared" si="42"/>
        <v>0</v>
      </c>
      <c r="N81" s="38">
        <f t="shared" si="43"/>
        <v>0</v>
      </c>
      <c r="O81" s="38">
        <f t="shared" si="44"/>
        <v>0</v>
      </c>
      <c r="P81" s="38">
        <f>Policy_Sched!$I81*(L81+I81)</f>
        <v>0</v>
      </c>
      <c r="Q81" s="42">
        <f t="shared" si="45"/>
        <v>0</v>
      </c>
      <c r="R81" s="38">
        <f t="shared" si="46"/>
        <v>0</v>
      </c>
      <c r="S81" s="38">
        <f t="shared" si="47"/>
        <v>0</v>
      </c>
      <c r="T81" s="38">
        <f>Policy_Sched!$J81*J81</f>
        <v>0</v>
      </c>
      <c r="U81" s="42">
        <f t="shared" si="48"/>
        <v>0</v>
      </c>
      <c r="V81" s="42">
        <f t="shared" si="49"/>
        <v>0</v>
      </c>
      <c r="W81" s="38">
        <f>IF($A81&gt;LastT,0,N81+W82/(1+Policy_Sched!$K81))</f>
        <v>0</v>
      </c>
      <c r="X81" s="38">
        <f>IF($A81&gt;LastT,0,(-Q81+X82)/(1+Policy_Sched!$K81))</f>
        <v>0</v>
      </c>
      <c r="Y81" s="38">
        <f>IF($A81&gt;LastT,0,-V81+Y82/(1+Policy_Sched!$K81))</f>
        <v>0</v>
      </c>
      <c r="Z81" s="42">
        <f t="shared" si="50"/>
        <v>0</v>
      </c>
      <c r="AA81" s="38">
        <f>IF($A81&gt;LastT,0,N81-V81-Q81/(1+Policy_Sched!$K81)+Z82/(1+Policy_Sched!$K81))</f>
        <v>0</v>
      </c>
    </row>
    <row r="82" spans="1:27" x14ac:dyDescent="0.2">
      <c r="A82" s="30">
        <f t="shared" si="51"/>
        <v>75</v>
      </c>
      <c r="B82" s="31">
        <f t="shared" si="52"/>
        <v>0</v>
      </c>
      <c r="C82" s="31">
        <f>IF($A82&gt;LastT,0,IF(AND($D$3&lt;&gt;0,$A82&gt;=T0,Policy_Sched!$B82&lt;LastAge),1+$D$3*$E$3,1))</f>
        <v>0</v>
      </c>
      <c r="D82" s="36">
        <f>IF($A82&gt;LastT,0,IF($C$3="up",MIN(Policy_Sched!$E82*(1+IF($A82&gt;=T0,$E$3,0)),$F$3),IF($C$3="down",MAX(Policy_Sched!$E82*(1-IF($A82&gt;=T0,$E$3,0)),Policy_Sched!$E82-$F$3),Policy_Sched!$E82)))</f>
        <v>0</v>
      </c>
      <c r="E82" s="37">
        <f t="shared" si="53"/>
        <v>0</v>
      </c>
      <c r="F82" s="37">
        <f t="shared" si="36"/>
        <v>0</v>
      </c>
      <c r="G82" s="37">
        <f t="shared" si="37"/>
        <v>0</v>
      </c>
      <c r="H82" s="37">
        <f t="shared" si="38"/>
        <v>0</v>
      </c>
      <c r="I82" s="37">
        <f t="shared" si="39"/>
        <v>0</v>
      </c>
      <c r="J82" s="37">
        <f t="shared" si="40"/>
        <v>0</v>
      </c>
      <c r="K82" s="37">
        <f>IF($A82&gt;LastT,0,J82*Policy_Sched!$C82*Policy_Sched!$D82*C82)</f>
        <v>0</v>
      </c>
      <c r="L82" s="41">
        <f t="shared" si="41"/>
        <v>0</v>
      </c>
      <c r="M82" s="38">
        <f t="shared" si="42"/>
        <v>0</v>
      </c>
      <c r="N82" s="38">
        <f t="shared" si="43"/>
        <v>0</v>
      </c>
      <c r="O82" s="38">
        <f t="shared" si="44"/>
        <v>0</v>
      </c>
      <c r="P82" s="38">
        <f>Policy_Sched!$I82*(L82+I82)</f>
        <v>0</v>
      </c>
      <c r="Q82" s="42">
        <f t="shared" si="45"/>
        <v>0</v>
      </c>
      <c r="R82" s="38">
        <f t="shared" si="46"/>
        <v>0</v>
      </c>
      <c r="S82" s="38">
        <f t="shared" si="47"/>
        <v>0</v>
      </c>
      <c r="T82" s="38">
        <f>Policy_Sched!$J82*J82</f>
        <v>0</v>
      </c>
      <c r="U82" s="42">
        <f t="shared" si="48"/>
        <v>0</v>
      </c>
      <c r="V82" s="42">
        <f t="shared" si="49"/>
        <v>0</v>
      </c>
      <c r="W82" s="38">
        <f>IF($A82&gt;LastT,0,N82+W83/(1+Policy_Sched!$K82))</f>
        <v>0</v>
      </c>
      <c r="X82" s="38">
        <f>IF($A82&gt;LastT,0,(-Q82+X83)/(1+Policy_Sched!$K82))</f>
        <v>0</v>
      </c>
      <c r="Y82" s="38">
        <f>IF($A82&gt;LastT,0,-V82+Y83/(1+Policy_Sched!$K82))</f>
        <v>0</v>
      </c>
      <c r="Z82" s="42">
        <f t="shared" si="50"/>
        <v>0</v>
      </c>
      <c r="AA82" s="38">
        <f>IF($A82&gt;LastT,0,N82-V82-Q82/(1+Policy_Sched!$K82)+Z83/(1+Policy_Sched!$K82))</f>
        <v>0</v>
      </c>
    </row>
    <row r="83" spans="1:27" x14ac:dyDescent="0.2">
      <c r="A83" s="30">
        <f t="shared" si="51"/>
        <v>76</v>
      </c>
      <c r="B83" s="31">
        <f t="shared" si="52"/>
        <v>0</v>
      </c>
      <c r="C83" s="31">
        <f>IF($A83&gt;LastT,0,IF(AND($D$3&lt;&gt;0,$A83&gt;=T0,Policy_Sched!$B83&lt;LastAge),1+$D$3*$E$3,1))</f>
        <v>0</v>
      </c>
      <c r="D83" s="36">
        <f>IF($A83&gt;LastT,0,IF($C$3="up",MIN(Policy_Sched!$E83*(1+IF($A83&gt;=T0,$E$3,0)),$F$3),IF($C$3="down",MAX(Policy_Sched!$E83*(1-IF($A83&gt;=T0,$E$3,0)),Policy_Sched!$E83-$F$3),Policy_Sched!$E83)))</f>
        <v>0</v>
      </c>
      <c r="E83" s="37">
        <f t="shared" si="53"/>
        <v>0</v>
      </c>
      <c r="F83" s="37">
        <f t="shared" si="36"/>
        <v>0</v>
      </c>
      <c r="G83" s="37">
        <f t="shared" si="37"/>
        <v>0</v>
      </c>
      <c r="H83" s="37">
        <f t="shared" si="38"/>
        <v>0</v>
      </c>
      <c r="I83" s="37">
        <f t="shared" si="39"/>
        <v>0</v>
      </c>
      <c r="J83" s="37">
        <f t="shared" si="40"/>
        <v>0</v>
      </c>
      <c r="K83" s="37">
        <f>IF($A83&gt;LastT,0,J83*Policy_Sched!$C83*Policy_Sched!$D83*C83)</f>
        <v>0</v>
      </c>
      <c r="L83" s="41">
        <f t="shared" si="41"/>
        <v>0</v>
      </c>
      <c r="M83" s="38">
        <f t="shared" si="42"/>
        <v>0</v>
      </c>
      <c r="N83" s="38">
        <f t="shared" si="43"/>
        <v>0</v>
      </c>
      <c r="O83" s="38">
        <f t="shared" si="44"/>
        <v>0</v>
      </c>
      <c r="P83" s="38">
        <f>Policy_Sched!$I83*(L83+I83)</f>
        <v>0</v>
      </c>
      <c r="Q83" s="42">
        <f t="shared" si="45"/>
        <v>0</v>
      </c>
      <c r="R83" s="38">
        <f t="shared" si="46"/>
        <v>0</v>
      </c>
      <c r="S83" s="38">
        <f t="shared" si="47"/>
        <v>0</v>
      </c>
      <c r="T83" s="38">
        <f>Policy_Sched!$J83*J83</f>
        <v>0</v>
      </c>
      <c r="U83" s="42">
        <f t="shared" si="48"/>
        <v>0</v>
      </c>
      <c r="V83" s="42">
        <f t="shared" si="49"/>
        <v>0</v>
      </c>
      <c r="W83" s="38">
        <f>IF($A83&gt;LastT,0,N83+W84/(1+Policy_Sched!$K83))</f>
        <v>0</v>
      </c>
      <c r="X83" s="38">
        <f>IF($A83&gt;LastT,0,(-Q83+X84)/(1+Policy_Sched!$K83))</f>
        <v>0</v>
      </c>
      <c r="Y83" s="38">
        <f>IF($A83&gt;LastT,0,-V83+Y84/(1+Policy_Sched!$K83))</f>
        <v>0</v>
      </c>
      <c r="Z83" s="42">
        <f t="shared" si="50"/>
        <v>0</v>
      </c>
      <c r="AA83" s="38">
        <f>IF($A83&gt;LastT,0,N83-V83-Q83/(1+Policy_Sched!$K83)+Z84/(1+Policy_Sched!$K83))</f>
        <v>0</v>
      </c>
    </row>
    <row r="84" spans="1:27" x14ac:dyDescent="0.2">
      <c r="A84" s="30">
        <f t="shared" si="51"/>
        <v>77</v>
      </c>
      <c r="B84" s="31">
        <f t="shared" si="52"/>
        <v>0</v>
      </c>
      <c r="C84" s="31">
        <f>IF($A84&gt;LastT,0,IF(AND($D$3&lt;&gt;0,$A84&gt;=T0,Policy_Sched!$B84&lt;LastAge),1+$D$3*$E$3,1))</f>
        <v>0</v>
      </c>
      <c r="D84" s="36">
        <f>IF($A84&gt;LastT,0,IF($C$3="up",MIN(Policy_Sched!$E84*(1+IF($A84&gt;=T0,$E$3,0)),$F$3),IF($C$3="down",MAX(Policy_Sched!$E84*(1-IF($A84&gt;=T0,$E$3,0)),Policy_Sched!$E84-$F$3),Policy_Sched!$E84)))</f>
        <v>0</v>
      </c>
      <c r="E84" s="37">
        <f t="shared" si="53"/>
        <v>0</v>
      </c>
      <c r="F84" s="37">
        <f t="shared" si="36"/>
        <v>0</v>
      </c>
      <c r="G84" s="37">
        <f t="shared" si="37"/>
        <v>0</v>
      </c>
      <c r="H84" s="37">
        <f t="shared" si="38"/>
        <v>0</v>
      </c>
      <c r="I84" s="37">
        <f t="shared" si="39"/>
        <v>0</v>
      </c>
      <c r="J84" s="37">
        <f t="shared" si="40"/>
        <v>0</v>
      </c>
      <c r="K84" s="37">
        <f>IF($A84&gt;LastT,0,J84*Policy_Sched!$C84*Policy_Sched!$D84*C84)</f>
        <v>0</v>
      </c>
      <c r="L84" s="41">
        <f t="shared" si="41"/>
        <v>0</v>
      </c>
      <c r="M84" s="38">
        <f t="shared" si="42"/>
        <v>0</v>
      </c>
      <c r="N84" s="38">
        <f t="shared" si="43"/>
        <v>0</v>
      </c>
      <c r="O84" s="38">
        <f t="shared" si="44"/>
        <v>0</v>
      </c>
      <c r="P84" s="38">
        <f>Policy_Sched!$I84*(L84+I84)</f>
        <v>0</v>
      </c>
      <c r="Q84" s="42">
        <f t="shared" si="45"/>
        <v>0</v>
      </c>
      <c r="R84" s="38">
        <f t="shared" si="46"/>
        <v>0</v>
      </c>
      <c r="S84" s="38">
        <f t="shared" si="47"/>
        <v>0</v>
      </c>
      <c r="T84" s="38">
        <f>Policy_Sched!$J84*J84</f>
        <v>0</v>
      </c>
      <c r="U84" s="42">
        <f t="shared" si="48"/>
        <v>0</v>
      </c>
      <c r="V84" s="42">
        <f t="shared" si="49"/>
        <v>0</v>
      </c>
      <c r="W84" s="38">
        <f>IF($A84&gt;LastT,0,N84+W85/(1+Policy_Sched!$K84))</f>
        <v>0</v>
      </c>
      <c r="X84" s="38">
        <f>IF($A84&gt;LastT,0,(-Q84+X85)/(1+Policy_Sched!$K84))</f>
        <v>0</v>
      </c>
      <c r="Y84" s="38">
        <f>IF($A84&gt;LastT,0,-V84+Y85/(1+Policy_Sched!$K84))</f>
        <v>0</v>
      </c>
      <c r="Z84" s="42">
        <f t="shared" si="50"/>
        <v>0</v>
      </c>
      <c r="AA84" s="38">
        <f>IF($A84&gt;LastT,0,N84-V84-Q84/(1+Policy_Sched!$K84)+Z85/(1+Policy_Sched!$K84))</f>
        <v>0</v>
      </c>
    </row>
    <row r="85" spans="1:27" x14ac:dyDescent="0.2">
      <c r="A85" s="30">
        <f t="shared" si="51"/>
        <v>78</v>
      </c>
      <c r="B85" s="31">
        <f t="shared" si="52"/>
        <v>0</v>
      </c>
      <c r="C85" s="31">
        <f>IF($A85&gt;LastT,0,IF(AND($D$3&lt;&gt;0,$A85&gt;=T0,Policy_Sched!$B85&lt;LastAge),1+$D$3*$E$3,1))</f>
        <v>0</v>
      </c>
      <c r="D85" s="36">
        <f>IF($A85&gt;LastT,0,IF($C$3="up",MIN(Policy_Sched!$E85*(1+IF($A85&gt;=T0,$E$3,0)),$F$3),IF($C$3="down",MAX(Policy_Sched!$E85*(1-IF($A85&gt;=T0,$E$3,0)),Policy_Sched!$E85-$F$3),Policy_Sched!$E85)))</f>
        <v>0</v>
      </c>
      <c r="E85" s="37">
        <f t="shared" si="53"/>
        <v>0</v>
      </c>
      <c r="F85" s="37">
        <f t="shared" si="36"/>
        <v>0</v>
      </c>
      <c r="G85" s="37">
        <f t="shared" si="37"/>
        <v>0</v>
      </c>
      <c r="H85" s="37">
        <f t="shared" si="38"/>
        <v>0</v>
      </c>
      <c r="I85" s="37">
        <f t="shared" si="39"/>
        <v>0</v>
      </c>
      <c r="J85" s="37">
        <f t="shared" si="40"/>
        <v>0</v>
      </c>
      <c r="K85" s="37">
        <f>IF($A85&gt;LastT,0,J85*Policy_Sched!$C85*Policy_Sched!$D85*C85)</f>
        <v>0</v>
      </c>
      <c r="L85" s="41">
        <f t="shared" si="41"/>
        <v>0</v>
      </c>
      <c r="M85" s="38">
        <f t="shared" si="42"/>
        <v>0</v>
      </c>
      <c r="N85" s="38">
        <f t="shared" si="43"/>
        <v>0</v>
      </c>
      <c r="O85" s="38">
        <f t="shared" si="44"/>
        <v>0</v>
      </c>
      <c r="P85" s="38">
        <f>Policy_Sched!$I85*(L85+I85)</f>
        <v>0</v>
      </c>
      <c r="Q85" s="42">
        <f t="shared" si="45"/>
        <v>0</v>
      </c>
      <c r="R85" s="38">
        <f t="shared" si="46"/>
        <v>0</v>
      </c>
      <c r="S85" s="38">
        <f t="shared" si="47"/>
        <v>0</v>
      </c>
      <c r="T85" s="38">
        <f>Policy_Sched!$J85*J85</f>
        <v>0</v>
      </c>
      <c r="U85" s="42">
        <f t="shared" si="48"/>
        <v>0</v>
      </c>
      <c r="V85" s="42">
        <f t="shared" si="49"/>
        <v>0</v>
      </c>
      <c r="W85" s="38">
        <f>IF($A85&gt;LastT,0,N85+W86/(1+Policy_Sched!$K85))</f>
        <v>0</v>
      </c>
      <c r="X85" s="38">
        <f>IF($A85&gt;LastT,0,(-Q85+X86)/(1+Policy_Sched!$K85))</f>
        <v>0</v>
      </c>
      <c r="Y85" s="38">
        <f>IF($A85&gt;LastT,0,-V85+Y86/(1+Policy_Sched!$K85))</f>
        <v>0</v>
      </c>
      <c r="Z85" s="42">
        <f t="shared" si="50"/>
        <v>0</v>
      </c>
      <c r="AA85" s="38">
        <f>IF($A85&gt;LastT,0,N85-V85-Q85/(1+Policy_Sched!$K85)+Z86/(1+Policy_Sched!$K85))</f>
        <v>0</v>
      </c>
    </row>
    <row r="86" spans="1:27" x14ac:dyDescent="0.2">
      <c r="A86" s="30">
        <f t="shared" si="51"/>
        <v>79</v>
      </c>
      <c r="B86" s="31">
        <f t="shared" si="52"/>
        <v>0</v>
      </c>
      <c r="C86" s="31">
        <f>IF($A86&gt;LastT,0,IF(AND($D$3&lt;&gt;0,$A86&gt;=T0,Policy_Sched!$B86&lt;LastAge),1+$D$3*$E$3,1))</f>
        <v>0</v>
      </c>
      <c r="D86" s="36">
        <f>IF($A86&gt;LastT,0,IF($C$3="up",MIN(Policy_Sched!$E86*(1+IF($A86&gt;=T0,$E$3,0)),$F$3),IF($C$3="down",MAX(Policy_Sched!$E86*(1-IF($A86&gt;=T0,$E$3,0)),Policy_Sched!$E86-$F$3),Policy_Sched!$E86)))</f>
        <v>0</v>
      </c>
      <c r="E86" s="37">
        <f t="shared" si="53"/>
        <v>0</v>
      </c>
      <c r="F86" s="37">
        <f t="shared" si="36"/>
        <v>0</v>
      </c>
      <c r="G86" s="37">
        <f t="shared" si="37"/>
        <v>0</v>
      </c>
      <c r="H86" s="37">
        <f t="shared" si="38"/>
        <v>0</v>
      </c>
      <c r="I86" s="37">
        <f t="shared" si="39"/>
        <v>0</v>
      </c>
      <c r="J86" s="37">
        <f t="shared" si="40"/>
        <v>0</v>
      </c>
      <c r="K86" s="37">
        <f>IF($A86&gt;LastT,0,J86*Policy_Sched!$C86*Policy_Sched!$D86*C86)</f>
        <v>0</v>
      </c>
      <c r="L86" s="41">
        <f t="shared" si="41"/>
        <v>0</v>
      </c>
      <c r="M86" s="38">
        <f t="shared" si="42"/>
        <v>0</v>
      </c>
      <c r="N86" s="38">
        <f t="shared" si="43"/>
        <v>0</v>
      </c>
      <c r="O86" s="38">
        <f t="shared" si="44"/>
        <v>0</v>
      </c>
      <c r="P86" s="38">
        <f>Policy_Sched!$I86*(L86+I86)</f>
        <v>0</v>
      </c>
      <c r="Q86" s="42">
        <f t="shared" si="45"/>
        <v>0</v>
      </c>
      <c r="R86" s="38">
        <f t="shared" si="46"/>
        <v>0</v>
      </c>
      <c r="S86" s="38">
        <f t="shared" si="47"/>
        <v>0</v>
      </c>
      <c r="T86" s="38">
        <f>Policy_Sched!$J86*J86</f>
        <v>0</v>
      </c>
      <c r="U86" s="42">
        <f t="shared" si="48"/>
        <v>0</v>
      </c>
      <c r="V86" s="42">
        <f t="shared" si="49"/>
        <v>0</v>
      </c>
      <c r="W86" s="38">
        <f>IF($A86&gt;LastT,0,N86+W87/(1+Policy_Sched!$K86))</f>
        <v>0</v>
      </c>
      <c r="X86" s="38">
        <f>IF($A86&gt;LastT,0,(-Q86+X87)/(1+Policy_Sched!$K86))</f>
        <v>0</v>
      </c>
      <c r="Y86" s="38">
        <f>IF($A86&gt;LastT,0,-V86+Y87/(1+Policy_Sched!$K86))</f>
        <v>0</v>
      </c>
      <c r="Z86" s="42">
        <f t="shared" si="50"/>
        <v>0</v>
      </c>
      <c r="AA86" s="38">
        <f>IF($A86&gt;LastT,0,N86-V86-Q86/(1+Policy_Sched!$K86)+Z87/(1+Policy_Sched!$K86))</f>
        <v>0</v>
      </c>
    </row>
    <row r="87" spans="1:27" x14ac:dyDescent="0.2">
      <c r="A87" s="30">
        <f t="shared" si="51"/>
        <v>80</v>
      </c>
      <c r="B87" s="31">
        <f t="shared" si="52"/>
        <v>0</v>
      </c>
      <c r="C87" s="31">
        <f>IF($A87&gt;LastT,0,IF(AND($D$3&lt;&gt;0,$A87&gt;=T0,Policy_Sched!$B87&lt;LastAge),1+$D$3*$E$3,1))</f>
        <v>0</v>
      </c>
      <c r="D87" s="36">
        <f>IF($A87&gt;LastT,0,IF($C$3="up",MIN(Policy_Sched!$E87*(1+IF($A87&gt;=T0,$E$3,0)),$F$3),IF($C$3="down",MAX(Policy_Sched!$E87*(1-IF($A87&gt;=T0,$E$3,0)),Policy_Sched!$E87-$F$3),Policy_Sched!$E87)))</f>
        <v>0</v>
      </c>
      <c r="E87" s="37">
        <f t="shared" si="53"/>
        <v>0</v>
      </c>
      <c r="F87" s="37">
        <f t="shared" si="36"/>
        <v>0</v>
      </c>
      <c r="G87" s="37">
        <f t="shared" si="37"/>
        <v>0</v>
      </c>
      <c r="H87" s="37">
        <f t="shared" si="38"/>
        <v>0</v>
      </c>
      <c r="I87" s="37">
        <f t="shared" si="39"/>
        <v>0</v>
      </c>
      <c r="J87" s="37">
        <f t="shared" si="40"/>
        <v>0</v>
      </c>
      <c r="K87" s="37">
        <f>IF($A87&gt;LastT,0,J87*Policy_Sched!$C87*Policy_Sched!$D87*C87)</f>
        <v>0</v>
      </c>
      <c r="L87" s="41">
        <f t="shared" si="41"/>
        <v>0</v>
      </c>
      <c r="M87" s="38">
        <f t="shared" si="42"/>
        <v>0</v>
      </c>
      <c r="N87" s="38">
        <f t="shared" si="43"/>
        <v>0</v>
      </c>
      <c r="O87" s="38">
        <f t="shared" si="44"/>
        <v>0</v>
      </c>
      <c r="P87" s="38">
        <f>Policy_Sched!$I87*(L87+I87)</f>
        <v>0</v>
      </c>
      <c r="Q87" s="42">
        <f t="shared" si="45"/>
        <v>0</v>
      </c>
      <c r="R87" s="38">
        <f t="shared" si="46"/>
        <v>0</v>
      </c>
      <c r="S87" s="38">
        <f t="shared" si="47"/>
        <v>0</v>
      </c>
      <c r="T87" s="38">
        <f>Policy_Sched!$J87*J87</f>
        <v>0</v>
      </c>
      <c r="U87" s="42">
        <f t="shared" si="48"/>
        <v>0</v>
      </c>
      <c r="V87" s="42">
        <f t="shared" si="49"/>
        <v>0</v>
      </c>
      <c r="W87" s="38">
        <f>IF($A87&gt;LastT,0,N87+W88/(1+Policy_Sched!$K87))</f>
        <v>0</v>
      </c>
      <c r="X87" s="38">
        <f>IF($A87&gt;LastT,0,(-Q87+X88)/(1+Policy_Sched!$K87))</f>
        <v>0</v>
      </c>
      <c r="Y87" s="38">
        <f>IF($A87&gt;LastT,0,-V87+Y88/(1+Policy_Sched!$K87))</f>
        <v>0</v>
      </c>
      <c r="Z87" s="42">
        <f t="shared" si="50"/>
        <v>0</v>
      </c>
      <c r="AA87" s="38">
        <f>IF($A87&gt;LastT,0,N87-V87-Q87/(1+Policy_Sched!$K87)+Z88/(1+Policy_Sched!$K87))</f>
        <v>0</v>
      </c>
    </row>
    <row r="88" spans="1:27" x14ac:dyDescent="0.2">
      <c r="A88" s="30">
        <f t="shared" si="51"/>
        <v>81</v>
      </c>
      <c r="B88" s="31">
        <f t="shared" si="52"/>
        <v>0</v>
      </c>
      <c r="C88" s="31">
        <f>IF($A88&gt;LastT,0,IF(AND($D$3&lt;&gt;0,$A88&gt;=T0,Policy_Sched!$B88&lt;LastAge),1+$D$3*$E$3,1))</f>
        <v>0</v>
      </c>
      <c r="D88" s="36">
        <f>IF($A88&gt;LastT,0,IF($C$3="up",MIN(Policy_Sched!$E88*(1+IF($A88&gt;=T0,$E$3,0)),$F$3),IF($C$3="down",MAX(Policy_Sched!$E88*(1-IF($A88&gt;=T0,$E$3,0)),Policy_Sched!$E88-$F$3),Policy_Sched!$E88)))</f>
        <v>0</v>
      </c>
      <c r="E88" s="37">
        <f t="shared" si="53"/>
        <v>0</v>
      </c>
      <c r="F88" s="37">
        <f t="shared" si="36"/>
        <v>0</v>
      </c>
      <c r="G88" s="37">
        <f t="shared" si="37"/>
        <v>0</v>
      </c>
      <c r="H88" s="37">
        <f t="shared" si="38"/>
        <v>0</v>
      </c>
      <c r="I88" s="37">
        <f t="shared" si="39"/>
        <v>0</v>
      </c>
      <c r="J88" s="37">
        <f t="shared" si="40"/>
        <v>0</v>
      </c>
      <c r="K88" s="37">
        <f>IF($A88&gt;LastT,0,J88*Policy_Sched!$C88*Policy_Sched!$D88*C88)</f>
        <v>0</v>
      </c>
      <c r="L88" s="41">
        <f t="shared" si="41"/>
        <v>0</v>
      </c>
      <c r="M88" s="38">
        <f t="shared" si="42"/>
        <v>0</v>
      </c>
      <c r="N88" s="38">
        <f t="shared" si="43"/>
        <v>0</v>
      </c>
      <c r="O88" s="38">
        <f t="shared" si="44"/>
        <v>0</v>
      </c>
      <c r="P88" s="38">
        <f>Policy_Sched!$I88*(L88+I88)</f>
        <v>0</v>
      </c>
      <c r="Q88" s="42">
        <f t="shared" si="45"/>
        <v>0</v>
      </c>
      <c r="R88" s="38">
        <f t="shared" si="46"/>
        <v>0</v>
      </c>
      <c r="S88" s="38">
        <f t="shared" si="47"/>
        <v>0</v>
      </c>
      <c r="T88" s="38">
        <f>Policy_Sched!$J88*J88</f>
        <v>0</v>
      </c>
      <c r="U88" s="42">
        <f t="shared" si="48"/>
        <v>0</v>
      </c>
      <c r="V88" s="42">
        <f t="shared" si="49"/>
        <v>0</v>
      </c>
      <c r="W88" s="38">
        <f>IF($A88&gt;LastT,0,N88+W89/(1+Policy_Sched!$K88))</f>
        <v>0</v>
      </c>
      <c r="X88" s="38">
        <f>IF($A88&gt;LastT,0,(-Q88+X89)/(1+Policy_Sched!$K88))</f>
        <v>0</v>
      </c>
      <c r="Y88" s="38">
        <f>IF($A88&gt;LastT,0,-V88+Y89/(1+Policy_Sched!$K88))</f>
        <v>0</v>
      </c>
      <c r="Z88" s="42">
        <f t="shared" si="50"/>
        <v>0</v>
      </c>
      <c r="AA88" s="38">
        <f>IF($A88&gt;LastT,0,N88-V88-Q88/(1+Policy_Sched!$K88)+Z89/(1+Policy_Sched!$K88))</f>
        <v>0</v>
      </c>
    </row>
    <row r="89" spans="1:27" x14ac:dyDescent="0.2">
      <c r="A89" s="30">
        <f t="shared" si="51"/>
        <v>82</v>
      </c>
      <c r="B89" s="31">
        <f t="shared" si="52"/>
        <v>0</v>
      </c>
      <c r="C89" s="31">
        <f>IF($A89&gt;LastT,0,IF(AND($D$3&lt;&gt;0,$A89&gt;=T0,Policy_Sched!$B89&lt;LastAge),1+$D$3*$E$3,1))</f>
        <v>0</v>
      </c>
      <c r="D89" s="36">
        <f>IF($A89&gt;LastT,0,IF($C$3="up",MIN(Policy_Sched!$E89*(1+IF($A89&gt;=T0,$E$3,0)),$F$3),IF($C$3="down",MAX(Policy_Sched!$E89*(1-IF($A89&gt;=T0,$E$3,0)),Policy_Sched!$E89-$F$3),Policy_Sched!$E89)))</f>
        <v>0</v>
      </c>
      <c r="E89" s="37">
        <f t="shared" si="53"/>
        <v>0</v>
      </c>
      <c r="F89" s="37">
        <f t="shared" si="36"/>
        <v>0</v>
      </c>
      <c r="G89" s="37">
        <f t="shared" si="37"/>
        <v>0</v>
      </c>
      <c r="H89" s="37">
        <f t="shared" si="38"/>
        <v>0</v>
      </c>
      <c r="I89" s="37">
        <f t="shared" si="39"/>
        <v>0</v>
      </c>
      <c r="J89" s="37">
        <f t="shared" si="40"/>
        <v>0</v>
      </c>
      <c r="K89" s="37">
        <f>IF($A89&gt;LastT,0,J89*Policy_Sched!$C89*Policy_Sched!$D89*C89)</f>
        <v>0</v>
      </c>
      <c r="L89" s="41">
        <f t="shared" si="41"/>
        <v>0</v>
      </c>
      <c r="M89" s="38">
        <f t="shared" si="42"/>
        <v>0</v>
      </c>
      <c r="N89" s="38">
        <f t="shared" si="43"/>
        <v>0</v>
      </c>
      <c r="O89" s="38">
        <f t="shared" si="44"/>
        <v>0</v>
      </c>
      <c r="P89" s="38">
        <f>Policy_Sched!$I89*(L89+I89)</f>
        <v>0</v>
      </c>
      <c r="Q89" s="42">
        <f t="shared" si="45"/>
        <v>0</v>
      </c>
      <c r="R89" s="38">
        <f t="shared" si="46"/>
        <v>0</v>
      </c>
      <c r="S89" s="38">
        <f t="shared" si="47"/>
        <v>0</v>
      </c>
      <c r="T89" s="38">
        <f>Policy_Sched!$J89*J89</f>
        <v>0</v>
      </c>
      <c r="U89" s="42">
        <f t="shared" si="48"/>
        <v>0</v>
      </c>
      <c r="V89" s="42">
        <f t="shared" si="49"/>
        <v>0</v>
      </c>
      <c r="W89" s="38">
        <f>IF($A89&gt;LastT,0,N89+W90/(1+Policy_Sched!$K89))</f>
        <v>0</v>
      </c>
      <c r="X89" s="38">
        <f>IF($A89&gt;LastT,0,(-Q89+X90)/(1+Policy_Sched!$K89))</f>
        <v>0</v>
      </c>
      <c r="Y89" s="38">
        <f>IF($A89&gt;LastT,0,-V89+Y90/(1+Policy_Sched!$K89))</f>
        <v>0</v>
      </c>
      <c r="Z89" s="42">
        <f t="shared" si="50"/>
        <v>0</v>
      </c>
      <c r="AA89" s="38">
        <f>IF($A89&gt;LastT,0,N89-V89-Q89/(1+Policy_Sched!$K89)+Z90/(1+Policy_Sched!$K89))</f>
        <v>0</v>
      </c>
    </row>
    <row r="90" spans="1:27" x14ac:dyDescent="0.2">
      <c r="A90" s="30">
        <f t="shared" si="51"/>
        <v>83</v>
      </c>
      <c r="B90" s="31">
        <f t="shared" si="52"/>
        <v>0</v>
      </c>
      <c r="C90" s="31">
        <f>IF($A90&gt;LastT,0,IF(AND($D$3&lt;&gt;0,$A90&gt;=T0,Policy_Sched!$B90&lt;LastAge),1+$D$3*$E$3,1))</f>
        <v>0</v>
      </c>
      <c r="D90" s="36">
        <f>IF($A90&gt;LastT,0,IF($C$3="up",MIN(Policy_Sched!$E90*(1+IF($A90&gt;=T0,$E$3,0)),$F$3),IF($C$3="down",MAX(Policy_Sched!$E90*(1-IF($A90&gt;=T0,$E$3,0)),Policy_Sched!$E90-$F$3),Policy_Sched!$E90)))</f>
        <v>0</v>
      </c>
      <c r="E90" s="37">
        <f t="shared" si="53"/>
        <v>0</v>
      </c>
      <c r="F90" s="37">
        <f t="shared" si="36"/>
        <v>0</v>
      </c>
      <c r="G90" s="37">
        <f t="shared" si="37"/>
        <v>0</v>
      </c>
      <c r="H90" s="37">
        <f t="shared" si="38"/>
        <v>0</v>
      </c>
      <c r="I90" s="37">
        <f t="shared" si="39"/>
        <v>0</v>
      </c>
      <c r="J90" s="37">
        <f t="shared" si="40"/>
        <v>0</v>
      </c>
      <c r="K90" s="37">
        <f>IF($A90&gt;LastT,0,J90*Policy_Sched!$C90*Policy_Sched!$D90*C90)</f>
        <v>0</v>
      </c>
      <c r="L90" s="41">
        <f t="shared" si="41"/>
        <v>0</v>
      </c>
      <c r="M90" s="38">
        <f t="shared" si="42"/>
        <v>0</v>
      </c>
      <c r="N90" s="38">
        <f t="shared" si="43"/>
        <v>0</v>
      </c>
      <c r="O90" s="38">
        <f t="shared" si="44"/>
        <v>0</v>
      </c>
      <c r="P90" s="38">
        <f>Policy_Sched!$I90*(L90+I90)</f>
        <v>0</v>
      </c>
      <c r="Q90" s="42">
        <f t="shared" si="45"/>
        <v>0</v>
      </c>
      <c r="R90" s="38">
        <f t="shared" si="46"/>
        <v>0</v>
      </c>
      <c r="S90" s="38">
        <f t="shared" si="47"/>
        <v>0</v>
      </c>
      <c r="T90" s="38">
        <f>Policy_Sched!$J90*J90</f>
        <v>0</v>
      </c>
      <c r="U90" s="42">
        <f t="shared" si="48"/>
        <v>0</v>
      </c>
      <c r="V90" s="42">
        <f t="shared" si="49"/>
        <v>0</v>
      </c>
      <c r="W90" s="38">
        <f>IF($A90&gt;LastT,0,N90+W91/(1+Policy_Sched!$K90))</f>
        <v>0</v>
      </c>
      <c r="X90" s="38">
        <f>IF($A90&gt;LastT,0,(-Q90+X91)/(1+Policy_Sched!$K90))</f>
        <v>0</v>
      </c>
      <c r="Y90" s="38">
        <f>IF($A90&gt;LastT,0,-V90+Y91/(1+Policy_Sched!$K90))</f>
        <v>0</v>
      </c>
      <c r="Z90" s="42">
        <f t="shared" si="50"/>
        <v>0</v>
      </c>
      <c r="AA90" s="38">
        <f>IF($A90&gt;LastT,0,N90-V90-Q90/(1+Policy_Sched!$K90)+Z91/(1+Policy_Sched!$K90))</f>
        <v>0</v>
      </c>
    </row>
    <row r="91" spans="1:27" x14ac:dyDescent="0.2">
      <c r="A91" s="30">
        <f t="shared" si="51"/>
        <v>84</v>
      </c>
      <c r="B91" s="31">
        <f t="shared" si="52"/>
        <v>0</v>
      </c>
      <c r="C91" s="31">
        <f>IF($A91&gt;LastT,0,IF(AND($D$3&lt;&gt;0,$A91&gt;=T0,Policy_Sched!$B91&lt;LastAge),1+$D$3*$E$3,1))</f>
        <v>0</v>
      </c>
      <c r="D91" s="36">
        <f>IF($A91&gt;LastT,0,IF($C$3="up",MIN(Policy_Sched!$E91*(1+IF($A91&gt;=T0,$E$3,0)),$F$3),IF($C$3="down",MAX(Policy_Sched!$E91*(1-IF($A91&gt;=T0,$E$3,0)),Policy_Sched!$E91-$F$3),Policy_Sched!$E91)))</f>
        <v>0</v>
      </c>
      <c r="E91" s="37">
        <f t="shared" si="53"/>
        <v>0</v>
      </c>
      <c r="F91" s="37">
        <f t="shared" si="36"/>
        <v>0</v>
      </c>
      <c r="G91" s="37">
        <f t="shared" si="37"/>
        <v>0</v>
      </c>
      <c r="H91" s="37">
        <f t="shared" si="38"/>
        <v>0</v>
      </c>
      <c r="I91" s="37">
        <f t="shared" si="39"/>
        <v>0</v>
      </c>
      <c r="J91" s="37">
        <f t="shared" si="40"/>
        <v>0</v>
      </c>
      <c r="K91" s="37">
        <f>IF($A91&gt;LastT,0,J91*Policy_Sched!$C91*Policy_Sched!$D91*C91)</f>
        <v>0</v>
      </c>
      <c r="L91" s="41">
        <f t="shared" si="41"/>
        <v>0</v>
      </c>
      <c r="M91" s="38">
        <f t="shared" si="42"/>
        <v>0</v>
      </c>
      <c r="N91" s="38">
        <f t="shared" si="43"/>
        <v>0</v>
      </c>
      <c r="O91" s="38">
        <f t="shared" si="44"/>
        <v>0</v>
      </c>
      <c r="P91" s="38">
        <f>Policy_Sched!$I91*(L91+I91)</f>
        <v>0</v>
      </c>
      <c r="Q91" s="42">
        <f t="shared" si="45"/>
        <v>0</v>
      </c>
      <c r="R91" s="38">
        <f t="shared" si="46"/>
        <v>0</v>
      </c>
      <c r="S91" s="38">
        <f t="shared" si="47"/>
        <v>0</v>
      </c>
      <c r="T91" s="38">
        <f>Policy_Sched!$J91*J91</f>
        <v>0</v>
      </c>
      <c r="U91" s="42">
        <f t="shared" si="48"/>
        <v>0</v>
      </c>
      <c r="V91" s="42">
        <f t="shared" si="49"/>
        <v>0</v>
      </c>
      <c r="W91" s="38">
        <f>IF($A91&gt;LastT,0,N91+W92/(1+Policy_Sched!$K91))</f>
        <v>0</v>
      </c>
      <c r="X91" s="38">
        <f>IF($A91&gt;LastT,0,(-Q91+X92)/(1+Policy_Sched!$K91))</f>
        <v>0</v>
      </c>
      <c r="Y91" s="38">
        <f>IF($A91&gt;LastT,0,-V91+Y92/(1+Policy_Sched!$K91))</f>
        <v>0</v>
      </c>
      <c r="Z91" s="42">
        <f t="shared" si="50"/>
        <v>0</v>
      </c>
      <c r="AA91" s="38">
        <f>IF($A91&gt;LastT,0,N91-V91-Q91/(1+Policy_Sched!$K91)+Z92/(1+Policy_Sched!$K91))</f>
        <v>0</v>
      </c>
    </row>
    <row r="92" spans="1:27" x14ac:dyDescent="0.2">
      <c r="A92" s="30">
        <f t="shared" si="51"/>
        <v>85</v>
      </c>
      <c r="B92" s="31">
        <f t="shared" si="52"/>
        <v>0</v>
      </c>
      <c r="C92" s="31">
        <f>IF($A92&gt;LastT,0,IF(AND($D$3&lt;&gt;0,$A92&gt;=T0,Policy_Sched!$B92&lt;LastAge),1+$D$3*$E$3,1))</f>
        <v>0</v>
      </c>
      <c r="D92" s="36">
        <f>IF($A92&gt;LastT,0,IF($C$3="up",MIN(Policy_Sched!$E92*(1+IF($A92&gt;=T0,$E$3,0)),$F$3),IF($C$3="down",MAX(Policy_Sched!$E92*(1-IF($A92&gt;=T0,$E$3,0)),Policy_Sched!$E92-$F$3),Policy_Sched!$E92)))</f>
        <v>0</v>
      </c>
      <c r="E92" s="37">
        <f t="shared" si="53"/>
        <v>0</v>
      </c>
      <c r="F92" s="37">
        <f t="shared" si="36"/>
        <v>0</v>
      </c>
      <c r="G92" s="37">
        <f t="shared" si="37"/>
        <v>0</v>
      </c>
      <c r="H92" s="37">
        <f t="shared" si="38"/>
        <v>0</v>
      </c>
      <c r="I92" s="37">
        <f t="shared" si="39"/>
        <v>0</v>
      </c>
      <c r="J92" s="37">
        <f t="shared" si="40"/>
        <v>0</v>
      </c>
      <c r="K92" s="37">
        <f>IF($A92&gt;LastT,0,J92*Policy_Sched!$C92*Policy_Sched!$D92*C92)</f>
        <v>0</v>
      </c>
      <c r="L92" s="41">
        <f t="shared" si="41"/>
        <v>0</v>
      </c>
      <c r="M92" s="38">
        <f t="shared" si="42"/>
        <v>0</v>
      </c>
      <c r="N92" s="38">
        <f t="shared" si="43"/>
        <v>0</v>
      </c>
      <c r="O92" s="38">
        <f t="shared" si="44"/>
        <v>0</v>
      </c>
      <c r="P92" s="38">
        <f>Policy_Sched!$I92*(L92+I92)</f>
        <v>0</v>
      </c>
      <c r="Q92" s="42">
        <f t="shared" si="45"/>
        <v>0</v>
      </c>
      <c r="R92" s="38">
        <f t="shared" si="46"/>
        <v>0</v>
      </c>
      <c r="S92" s="38">
        <f t="shared" si="47"/>
        <v>0</v>
      </c>
      <c r="T92" s="38">
        <f>Policy_Sched!$J92*J92</f>
        <v>0</v>
      </c>
      <c r="U92" s="42">
        <f t="shared" si="48"/>
        <v>0</v>
      </c>
      <c r="V92" s="42">
        <f t="shared" si="49"/>
        <v>0</v>
      </c>
      <c r="W92" s="38">
        <f>IF($A92&gt;LastT,0,N92+W93/(1+Policy_Sched!$K92))</f>
        <v>0</v>
      </c>
      <c r="X92" s="38">
        <f>IF($A92&gt;LastT,0,(-Q92+X93)/(1+Policy_Sched!$K92))</f>
        <v>0</v>
      </c>
      <c r="Y92" s="38">
        <f>IF($A92&gt;LastT,0,-V92+Y93/(1+Policy_Sched!$K92))</f>
        <v>0</v>
      </c>
      <c r="Z92" s="42">
        <f t="shared" si="50"/>
        <v>0</v>
      </c>
      <c r="AA92" s="38">
        <f>IF($A92&gt;LastT,0,N92-V92-Q92/(1+Policy_Sched!$K92)+Z93/(1+Policy_Sched!$K92))</f>
        <v>0</v>
      </c>
    </row>
    <row r="93" spans="1:27" x14ac:dyDescent="0.2">
      <c r="A93" s="30">
        <f t="shared" si="51"/>
        <v>86</v>
      </c>
      <c r="B93" s="31">
        <f t="shared" si="52"/>
        <v>0</v>
      </c>
      <c r="C93" s="31">
        <f>IF($A93&gt;LastT,0,IF(AND($D$3&lt;&gt;0,$A93&gt;=T0,Policy_Sched!$B93&lt;LastAge),1+$D$3*$E$3,1))</f>
        <v>0</v>
      </c>
      <c r="D93" s="36">
        <f>IF($A93&gt;LastT,0,IF($C$3="up",MIN(Policy_Sched!$E93*(1+IF($A93&gt;=T0,$E$3,0)),$F$3),IF($C$3="down",MAX(Policy_Sched!$E93*(1-IF($A93&gt;=T0,$E$3,0)),Policy_Sched!$E93-$F$3),Policy_Sched!$E93)))</f>
        <v>0</v>
      </c>
      <c r="E93" s="37">
        <f t="shared" si="53"/>
        <v>0</v>
      </c>
      <c r="F93" s="37">
        <f t="shared" si="36"/>
        <v>0</v>
      </c>
      <c r="G93" s="37">
        <f t="shared" si="37"/>
        <v>0</v>
      </c>
      <c r="H93" s="37">
        <f t="shared" si="38"/>
        <v>0</v>
      </c>
      <c r="I93" s="37">
        <f t="shared" si="39"/>
        <v>0</v>
      </c>
      <c r="J93" s="37">
        <f t="shared" si="40"/>
        <v>0</v>
      </c>
      <c r="K93" s="37">
        <f>IF($A93&gt;LastT,0,J93*Policy_Sched!$C93*Policy_Sched!$D93*C93)</f>
        <v>0</v>
      </c>
      <c r="L93" s="41">
        <f t="shared" si="41"/>
        <v>0</v>
      </c>
      <c r="M93" s="38">
        <f t="shared" si="42"/>
        <v>0</v>
      </c>
      <c r="N93" s="38">
        <f t="shared" si="43"/>
        <v>0</v>
      </c>
      <c r="O93" s="38">
        <f t="shared" si="44"/>
        <v>0</v>
      </c>
      <c r="P93" s="38">
        <f>Policy_Sched!$I93*(L93+I93)</f>
        <v>0</v>
      </c>
      <c r="Q93" s="42">
        <f t="shared" si="45"/>
        <v>0</v>
      </c>
      <c r="R93" s="38">
        <f t="shared" si="46"/>
        <v>0</v>
      </c>
      <c r="S93" s="38">
        <f t="shared" si="47"/>
        <v>0</v>
      </c>
      <c r="T93" s="38">
        <f>Policy_Sched!$J93*J93</f>
        <v>0</v>
      </c>
      <c r="U93" s="42">
        <f t="shared" si="48"/>
        <v>0</v>
      </c>
      <c r="V93" s="42">
        <f t="shared" si="49"/>
        <v>0</v>
      </c>
      <c r="W93" s="38">
        <f>IF($A93&gt;LastT,0,N93+W94/(1+Policy_Sched!$K93))</f>
        <v>0</v>
      </c>
      <c r="X93" s="38">
        <f>IF($A93&gt;LastT,0,(-Q93+X94)/(1+Policy_Sched!$K93))</f>
        <v>0</v>
      </c>
      <c r="Y93" s="38">
        <f>IF($A93&gt;LastT,0,-V93+Y94/(1+Policy_Sched!$K93))</f>
        <v>0</v>
      </c>
      <c r="Z93" s="42">
        <f t="shared" si="50"/>
        <v>0</v>
      </c>
      <c r="AA93" s="38">
        <f>IF($A93&gt;LastT,0,N93-V93-Q93/(1+Policy_Sched!$K93)+Z94/(1+Policy_Sched!$K93))</f>
        <v>0</v>
      </c>
    </row>
    <row r="94" spans="1:27" x14ac:dyDescent="0.2">
      <c r="A94" s="30">
        <f t="shared" si="51"/>
        <v>87</v>
      </c>
      <c r="B94" s="31">
        <f t="shared" si="52"/>
        <v>0</v>
      </c>
      <c r="C94" s="31">
        <f>IF($A94&gt;LastT,0,IF(AND($D$3&lt;&gt;0,$A94&gt;=T0,Policy_Sched!$B94&lt;LastAge),1+$D$3*$E$3,1))</f>
        <v>0</v>
      </c>
      <c r="D94" s="36">
        <f>IF($A94&gt;LastT,0,IF($C$3="up",MIN(Policy_Sched!$E94*(1+IF($A94&gt;=T0,$E$3,0)),$F$3),IF($C$3="down",MAX(Policy_Sched!$E94*(1-IF($A94&gt;=T0,$E$3,0)),Policy_Sched!$E94-$F$3),Policy_Sched!$E94)))</f>
        <v>0</v>
      </c>
      <c r="E94" s="37">
        <f t="shared" si="53"/>
        <v>0</v>
      </c>
      <c r="F94" s="37">
        <f t="shared" si="36"/>
        <v>0</v>
      </c>
      <c r="G94" s="37">
        <f t="shared" si="37"/>
        <v>0</v>
      </c>
      <c r="H94" s="37">
        <f t="shared" si="38"/>
        <v>0</v>
      </c>
      <c r="I94" s="37">
        <f t="shared" si="39"/>
        <v>0</v>
      </c>
      <c r="J94" s="37">
        <f t="shared" si="40"/>
        <v>0</v>
      </c>
      <c r="K94" s="37">
        <f>IF($A94&gt;LastT,0,J94*Policy_Sched!$C94*Policy_Sched!$D94*C94)</f>
        <v>0</v>
      </c>
      <c r="L94" s="41">
        <f t="shared" si="41"/>
        <v>0</v>
      </c>
      <c r="M94" s="38">
        <f t="shared" si="42"/>
        <v>0</v>
      </c>
      <c r="N94" s="38">
        <f t="shared" si="43"/>
        <v>0</v>
      </c>
      <c r="O94" s="38">
        <f t="shared" si="44"/>
        <v>0</v>
      </c>
      <c r="P94" s="38">
        <f>Policy_Sched!$I94*(L94+I94)</f>
        <v>0</v>
      </c>
      <c r="Q94" s="42">
        <f t="shared" si="45"/>
        <v>0</v>
      </c>
      <c r="R94" s="38">
        <f t="shared" si="46"/>
        <v>0</v>
      </c>
      <c r="S94" s="38">
        <f t="shared" si="47"/>
        <v>0</v>
      </c>
      <c r="T94" s="38">
        <f>Policy_Sched!$J94*J94</f>
        <v>0</v>
      </c>
      <c r="U94" s="42">
        <f t="shared" si="48"/>
        <v>0</v>
      </c>
      <c r="V94" s="42">
        <f t="shared" si="49"/>
        <v>0</v>
      </c>
      <c r="W94" s="38">
        <f>IF($A94&gt;LastT,0,N94+W95/(1+Policy_Sched!$K94))</f>
        <v>0</v>
      </c>
      <c r="X94" s="38">
        <f>IF($A94&gt;LastT,0,(-Q94+X95)/(1+Policy_Sched!$K94))</f>
        <v>0</v>
      </c>
      <c r="Y94" s="38">
        <f>IF($A94&gt;LastT,0,-V94+Y95/(1+Policy_Sched!$K94))</f>
        <v>0</v>
      </c>
      <c r="Z94" s="42">
        <f t="shared" si="50"/>
        <v>0</v>
      </c>
      <c r="AA94" s="38">
        <f>IF($A94&gt;LastT,0,N94-V94-Q94/(1+Policy_Sched!$K94)+Z95/(1+Policy_Sched!$K94))</f>
        <v>0</v>
      </c>
    </row>
    <row r="95" spans="1:27" x14ac:dyDescent="0.2">
      <c r="A95" s="30">
        <f t="shared" si="51"/>
        <v>88</v>
      </c>
      <c r="B95" s="31">
        <f t="shared" si="52"/>
        <v>0</v>
      </c>
      <c r="C95" s="31">
        <f>IF($A95&gt;LastT,0,IF(AND($D$3&lt;&gt;0,$A95&gt;=T0,Policy_Sched!$B95&lt;LastAge),1+$D$3*$E$3,1))</f>
        <v>0</v>
      </c>
      <c r="D95" s="36">
        <f>IF($A95&gt;LastT,0,IF($C$3="up",MIN(Policy_Sched!$E95*(1+IF($A95&gt;=T0,$E$3,0)),$F$3),IF($C$3="down",MAX(Policy_Sched!$E95*(1-IF($A95&gt;=T0,$E$3,0)),Policy_Sched!$E95-$F$3),Policy_Sched!$E95)))</f>
        <v>0</v>
      </c>
      <c r="E95" s="37">
        <f t="shared" si="53"/>
        <v>0</v>
      </c>
      <c r="F95" s="37">
        <f t="shared" si="36"/>
        <v>0</v>
      </c>
      <c r="G95" s="37">
        <f t="shared" si="37"/>
        <v>0</v>
      </c>
      <c r="H95" s="37">
        <f t="shared" si="38"/>
        <v>0</v>
      </c>
      <c r="I95" s="37">
        <f t="shared" si="39"/>
        <v>0</v>
      </c>
      <c r="J95" s="37">
        <f t="shared" si="40"/>
        <v>0</v>
      </c>
      <c r="K95" s="37">
        <f>IF($A95&gt;LastT,0,J95*Policy_Sched!$C95*Policy_Sched!$D95*C95)</f>
        <v>0</v>
      </c>
      <c r="L95" s="41">
        <f t="shared" si="41"/>
        <v>0</v>
      </c>
      <c r="M95" s="38">
        <f t="shared" si="42"/>
        <v>0</v>
      </c>
      <c r="N95" s="38">
        <f t="shared" si="43"/>
        <v>0</v>
      </c>
      <c r="O95" s="38">
        <f t="shared" si="44"/>
        <v>0</v>
      </c>
      <c r="P95" s="38">
        <f>Policy_Sched!$I95*(L95+I95)</f>
        <v>0</v>
      </c>
      <c r="Q95" s="42">
        <f t="shared" si="45"/>
        <v>0</v>
      </c>
      <c r="R95" s="38">
        <f t="shared" si="46"/>
        <v>0</v>
      </c>
      <c r="S95" s="38">
        <f t="shared" si="47"/>
        <v>0</v>
      </c>
      <c r="T95" s="38">
        <f>Policy_Sched!$J95*J95</f>
        <v>0</v>
      </c>
      <c r="U95" s="42">
        <f t="shared" si="48"/>
        <v>0</v>
      </c>
      <c r="V95" s="42">
        <f t="shared" si="49"/>
        <v>0</v>
      </c>
      <c r="W95" s="38">
        <f>IF($A95&gt;LastT,0,N95+W96/(1+Policy_Sched!$K95))</f>
        <v>0</v>
      </c>
      <c r="X95" s="38">
        <f>IF($A95&gt;LastT,0,(-Q95+X96)/(1+Policy_Sched!$K95))</f>
        <v>0</v>
      </c>
      <c r="Y95" s="38">
        <f>IF($A95&gt;LastT,0,-V95+Y96/(1+Policy_Sched!$K95))</f>
        <v>0</v>
      </c>
      <c r="Z95" s="42">
        <f t="shared" si="50"/>
        <v>0</v>
      </c>
      <c r="AA95" s="38">
        <f>IF($A95&gt;LastT,0,N95-V95-Q95/(1+Policy_Sched!$K95)+Z96/(1+Policy_Sched!$K95))</f>
        <v>0</v>
      </c>
    </row>
    <row r="96" spans="1:27" x14ac:dyDescent="0.2">
      <c r="A96" s="30">
        <f t="shared" si="51"/>
        <v>89</v>
      </c>
      <c r="B96" s="31">
        <f t="shared" si="52"/>
        <v>0</v>
      </c>
      <c r="C96" s="31">
        <f>IF($A96&gt;LastT,0,IF(AND($D$3&lt;&gt;0,$A96&gt;=T0,Policy_Sched!$B96&lt;LastAge),1+$D$3*$E$3,1))</f>
        <v>0</v>
      </c>
      <c r="D96" s="36">
        <f>IF($A96&gt;LastT,0,IF($C$3="up",MIN(Policy_Sched!$E96*(1+IF($A96&gt;=T0,$E$3,0)),$F$3),IF($C$3="down",MAX(Policy_Sched!$E96*(1-IF($A96&gt;=T0,$E$3,0)),Policy_Sched!$E96-$F$3),Policy_Sched!$E96)))</f>
        <v>0</v>
      </c>
      <c r="E96" s="37">
        <f t="shared" si="53"/>
        <v>0</v>
      </c>
      <c r="F96" s="37">
        <f t="shared" si="36"/>
        <v>0</v>
      </c>
      <c r="G96" s="37">
        <f t="shared" si="37"/>
        <v>0</v>
      </c>
      <c r="H96" s="37">
        <f t="shared" si="38"/>
        <v>0</v>
      </c>
      <c r="I96" s="37">
        <f t="shared" si="39"/>
        <v>0</v>
      </c>
      <c r="J96" s="37">
        <f t="shared" si="40"/>
        <v>0</v>
      </c>
      <c r="K96" s="37">
        <f>IF($A96&gt;LastT,0,J96*Policy_Sched!$C96*Policy_Sched!$D96*C96)</f>
        <v>0</v>
      </c>
      <c r="L96" s="41">
        <f t="shared" si="41"/>
        <v>0</v>
      </c>
      <c r="M96" s="38">
        <f t="shared" si="42"/>
        <v>0</v>
      </c>
      <c r="N96" s="38">
        <f t="shared" si="43"/>
        <v>0</v>
      </c>
      <c r="O96" s="38">
        <f t="shared" si="44"/>
        <v>0</v>
      </c>
      <c r="P96" s="38">
        <f>Policy_Sched!$I96*(L96+I96)</f>
        <v>0</v>
      </c>
      <c r="Q96" s="42">
        <f t="shared" si="45"/>
        <v>0</v>
      </c>
      <c r="R96" s="38">
        <f t="shared" si="46"/>
        <v>0</v>
      </c>
      <c r="S96" s="38">
        <f t="shared" si="47"/>
        <v>0</v>
      </c>
      <c r="T96" s="38">
        <f>Policy_Sched!$J96*J96</f>
        <v>0</v>
      </c>
      <c r="U96" s="42">
        <f t="shared" si="48"/>
        <v>0</v>
      </c>
      <c r="V96" s="42">
        <f t="shared" si="49"/>
        <v>0</v>
      </c>
      <c r="W96" s="38">
        <f>IF($A96&gt;LastT,0,N96+W97/(1+Policy_Sched!$K96))</f>
        <v>0</v>
      </c>
      <c r="X96" s="38">
        <f>IF($A96&gt;LastT,0,(-Q96+X97)/(1+Policy_Sched!$K96))</f>
        <v>0</v>
      </c>
      <c r="Y96" s="38">
        <f>IF($A96&gt;LastT,0,-V96+Y97/(1+Policy_Sched!$K96))</f>
        <v>0</v>
      </c>
      <c r="Z96" s="42">
        <f t="shared" si="50"/>
        <v>0</v>
      </c>
      <c r="AA96" s="38">
        <f>IF($A96&gt;LastT,0,N96-V96-Q96/(1+Policy_Sched!$K96)+Z97/(1+Policy_Sched!$K96))</f>
        <v>0</v>
      </c>
    </row>
    <row r="97" spans="1:27" x14ac:dyDescent="0.2">
      <c r="A97" s="30">
        <f t="shared" si="51"/>
        <v>90</v>
      </c>
      <c r="B97" s="31">
        <f t="shared" si="52"/>
        <v>0</v>
      </c>
      <c r="C97" s="31">
        <f>IF($A97&gt;LastT,0,IF(AND($D$3&lt;&gt;0,$A97&gt;=T0,Policy_Sched!$B97&lt;LastAge),1+$D$3*$E$3,1))</f>
        <v>0</v>
      </c>
      <c r="D97" s="36">
        <f>IF($A97&gt;LastT,0,IF($C$3="up",MIN(Policy_Sched!$E97*(1+IF($A97&gt;=T0,$E$3,0)),$F$3),IF($C$3="down",MAX(Policy_Sched!$E97*(1-IF($A97&gt;=T0,$E$3,0)),Policy_Sched!$E97-$F$3),Policy_Sched!$E97)))</f>
        <v>0</v>
      </c>
      <c r="E97" s="37">
        <f t="shared" si="53"/>
        <v>0</v>
      </c>
      <c r="F97" s="37">
        <f t="shared" si="36"/>
        <v>0</v>
      </c>
      <c r="G97" s="37">
        <f t="shared" si="37"/>
        <v>0</v>
      </c>
      <c r="H97" s="37">
        <f t="shared" si="38"/>
        <v>0</v>
      </c>
      <c r="I97" s="37">
        <f t="shared" si="39"/>
        <v>0</v>
      </c>
      <c r="J97" s="37">
        <f t="shared" si="40"/>
        <v>0</v>
      </c>
      <c r="K97" s="37">
        <f>IF($A97&gt;LastT,0,J97*Policy_Sched!$C97*Policy_Sched!$D97*C97)</f>
        <v>0</v>
      </c>
      <c r="L97" s="41">
        <f t="shared" si="41"/>
        <v>0</v>
      </c>
      <c r="M97" s="38">
        <f t="shared" si="42"/>
        <v>0</v>
      </c>
      <c r="N97" s="38">
        <f t="shared" si="43"/>
        <v>0</v>
      </c>
      <c r="O97" s="38">
        <f t="shared" si="44"/>
        <v>0</v>
      </c>
      <c r="P97" s="38">
        <f>Policy_Sched!$I97*(L97+I97)</f>
        <v>0</v>
      </c>
      <c r="Q97" s="42">
        <f t="shared" si="45"/>
        <v>0</v>
      </c>
      <c r="R97" s="38">
        <f t="shared" si="46"/>
        <v>0</v>
      </c>
      <c r="S97" s="38">
        <f t="shared" si="47"/>
        <v>0</v>
      </c>
      <c r="T97" s="38">
        <f>Policy_Sched!$J97*J97</f>
        <v>0</v>
      </c>
      <c r="U97" s="42">
        <f t="shared" si="48"/>
        <v>0</v>
      </c>
      <c r="V97" s="42">
        <f t="shared" si="49"/>
        <v>0</v>
      </c>
      <c r="W97" s="38">
        <f>IF($A97&gt;LastT,0,N97+W98/(1+Policy_Sched!$K97))</f>
        <v>0</v>
      </c>
      <c r="X97" s="38">
        <f>IF($A97&gt;LastT,0,(-Q97+X98)/(1+Policy_Sched!$K97))</f>
        <v>0</v>
      </c>
      <c r="Y97" s="38">
        <f>IF($A97&gt;LastT,0,-V97+Y98/(1+Policy_Sched!$K97))</f>
        <v>0</v>
      </c>
      <c r="Z97" s="42">
        <f t="shared" si="50"/>
        <v>0</v>
      </c>
      <c r="AA97" s="38">
        <f>IF($A97&gt;LastT,0,N97-V97-Q97/(1+Policy_Sched!$K97)+Z98/(1+Policy_Sched!$K97))</f>
        <v>0</v>
      </c>
    </row>
    <row r="98" spans="1:27" x14ac:dyDescent="0.2">
      <c r="A98" s="30">
        <f t="shared" si="51"/>
        <v>91</v>
      </c>
      <c r="B98" s="31">
        <f t="shared" si="52"/>
        <v>0</v>
      </c>
      <c r="C98" s="31">
        <f>IF($A98&gt;LastT,0,IF(AND($D$3&lt;&gt;0,$A98&gt;=T0,Policy_Sched!$B98&lt;LastAge),1+$D$3*$E$3,1))</f>
        <v>0</v>
      </c>
      <c r="D98" s="36">
        <f>IF($A98&gt;LastT,0,IF($C$3="up",MIN(Policy_Sched!$E98*(1+IF($A98&gt;=T0,$E$3,0)),$F$3),IF($C$3="down",MAX(Policy_Sched!$E98*(1-IF($A98&gt;=T0,$E$3,0)),Policy_Sched!$E98-$F$3),Policy_Sched!$E98)))</f>
        <v>0</v>
      </c>
      <c r="E98" s="37">
        <f t="shared" si="53"/>
        <v>0</v>
      </c>
      <c r="F98" s="37">
        <f t="shared" si="36"/>
        <v>0</v>
      </c>
      <c r="G98" s="37">
        <f t="shared" si="37"/>
        <v>0</v>
      </c>
      <c r="H98" s="37">
        <f t="shared" si="38"/>
        <v>0</v>
      </c>
      <c r="I98" s="37">
        <f t="shared" si="39"/>
        <v>0</v>
      </c>
      <c r="J98" s="37">
        <f t="shared" si="40"/>
        <v>0</v>
      </c>
      <c r="K98" s="37">
        <f>IF($A98&gt;LastT,0,J98*Policy_Sched!$C98*Policy_Sched!$D98*C98)</f>
        <v>0</v>
      </c>
      <c r="L98" s="41">
        <f t="shared" si="41"/>
        <v>0</v>
      </c>
      <c r="M98" s="38">
        <f t="shared" si="42"/>
        <v>0</v>
      </c>
      <c r="N98" s="38">
        <f t="shared" si="43"/>
        <v>0</v>
      </c>
      <c r="O98" s="38">
        <f t="shared" si="44"/>
        <v>0</v>
      </c>
      <c r="P98" s="38">
        <f>Policy_Sched!$I98*(L98+I98)</f>
        <v>0</v>
      </c>
      <c r="Q98" s="42">
        <f t="shared" si="45"/>
        <v>0</v>
      </c>
      <c r="R98" s="38">
        <f t="shared" si="46"/>
        <v>0</v>
      </c>
      <c r="S98" s="38">
        <f t="shared" si="47"/>
        <v>0</v>
      </c>
      <c r="T98" s="38">
        <f>Policy_Sched!$J98*J98</f>
        <v>0</v>
      </c>
      <c r="U98" s="42">
        <f t="shared" si="48"/>
        <v>0</v>
      </c>
      <c r="V98" s="42">
        <f t="shared" si="49"/>
        <v>0</v>
      </c>
      <c r="W98" s="38">
        <f>IF($A98&gt;LastT,0,N98+W99/(1+Policy_Sched!$K98))</f>
        <v>0</v>
      </c>
      <c r="X98" s="38">
        <f>IF($A98&gt;LastT,0,(-Q98+X99)/(1+Policy_Sched!$K98))</f>
        <v>0</v>
      </c>
      <c r="Y98" s="38">
        <f>IF($A98&gt;LastT,0,-V98+Y99/(1+Policy_Sched!$K98))</f>
        <v>0</v>
      </c>
      <c r="Z98" s="42">
        <f t="shared" si="50"/>
        <v>0</v>
      </c>
      <c r="AA98" s="38">
        <f>IF($A98&gt;LastT,0,N98-V98-Q98/(1+Policy_Sched!$K98)+Z99/(1+Policy_Sched!$K98))</f>
        <v>0</v>
      </c>
    </row>
    <row r="99" spans="1:27" x14ac:dyDescent="0.2">
      <c r="A99" s="30">
        <f t="shared" si="51"/>
        <v>92</v>
      </c>
      <c r="B99" s="31">
        <f t="shared" si="52"/>
        <v>0</v>
      </c>
      <c r="C99" s="31">
        <f>IF($A99&gt;LastT,0,IF(AND($D$3&lt;&gt;0,$A99&gt;=T0,Policy_Sched!$B99&lt;LastAge),1+$D$3*$E$3,1))</f>
        <v>0</v>
      </c>
      <c r="D99" s="36">
        <f>IF($A99&gt;LastT,0,IF($C$3="up",MIN(Policy_Sched!$E99*(1+IF($A99&gt;=T0,$E$3,0)),$F$3),IF($C$3="down",MAX(Policy_Sched!$E99*(1-IF($A99&gt;=T0,$E$3,0)),Policy_Sched!$E99-$F$3),Policy_Sched!$E99)))</f>
        <v>0</v>
      </c>
      <c r="E99" s="37">
        <f t="shared" si="53"/>
        <v>0</v>
      </c>
      <c r="F99" s="37">
        <f t="shared" si="36"/>
        <v>0</v>
      </c>
      <c r="G99" s="37">
        <f t="shared" si="37"/>
        <v>0</v>
      </c>
      <c r="H99" s="37">
        <f t="shared" si="38"/>
        <v>0</v>
      </c>
      <c r="I99" s="37">
        <f t="shared" si="39"/>
        <v>0</v>
      </c>
      <c r="J99" s="37">
        <f t="shared" si="40"/>
        <v>0</v>
      </c>
      <c r="K99" s="37">
        <f>IF($A99&gt;LastT,0,J99*Policy_Sched!$C99*Policy_Sched!$D99*C99)</f>
        <v>0</v>
      </c>
      <c r="L99" s="41">
        <f t="shared" si="41"/>
        <v>0</v>
      </c>
      <c r="M99" s="38">
        <f t="shared" si="42"/>
        <v>0</v>
      </c>
      <c r="N99" s="38">
        <f t="shared" si="43"/>
        <v>0</v>
      </c>
      <c r="O99" s="38">
        <f t="shared" si="44"/>
        <v>0</v>
      </c>
      <c r="P99" s="38">
        <f>Policy_Sched!$I99*(L99+I99)</f>
        <v>0</v>
      </c>
      <c r="Q99" s="42">
        <f t="shared" si="45"/>
        <v>0</v>
      </c>
      <c r="R99" s="38">
        <f t="shared" si="46"/>
        <v>0</v>
      </c>
      <c r="S99" s="38">
        <f t="shared" si="47"/>
        <v>0</v>
      </c>
      <c r="T99" s="38">
        <f>Policy_Sched!$J99*J99</f>
        <v>0</v>
      </c>
      <c r="U99" s="42">
        <f t="shared" si="48"/>
        <v>0</v>
      </c>
      <c r="V99" s="42">
        <f t="shared" si="49"/>
        <v>0</v>
      </c>
      <c r="W99" s="38">
        <f>IF($A99&gt;LastT,0,N99+W100/(1+Policy_Sched!$K99))</f>
        <v>0</v>
      </c>
      <c r="X99" s="38">
        <f>IF($A99&gt;LastT,0,(-Q99+X100)/(1+Policy_Sched!$K99))</f>
        <v>0</v>
      </c>
      <c r="Y99" s="38">
        <f>IF($A99&gt;LastT,0,-V99+Y100/(1+Policy_Sched!$K99))</f>
        <v>0</v>
      </c>
      <c r="Z99" s="42">
        <f t="shared" si="50"/>
        <v>0</v>
      </c>
      <c r="AA99" s="38">
        <f>IF($A99&gt;LastT,0,N99-V99-Q99/(1+Policy_Sched!$K99)+Z100/(1+Policy_Sched!$K99))</f>
        <v>0</v>
      </c>
    </row>
    <row r="100" spans="1:27" x14ac:dyDescent="0.2">
      <c r="A100" s="30">
        <f t="shared" si="51"/>
        <v>93</v>
      </c>
      <c r="B100" s="31">
        <f t="shared" si="52"/>
        <v>0</v>
      </c>
      <c r="C100" s="31">
        <f>IF($A100&gt;LastT,0,IF(AND($D$3&lt;&gt;0,$A100&gt;=T0,Policy_Sched!$B100&lt;LastAge),1+$D$3*$E$3,1))</f>
        <v>0</v>
      </c>
      <c r="D100" s="36">
        <f>IF($A100&gt;LastT,0,IF($C$3="up",MIN(Policy_Sched!$E100*(1+IF($A100&gt;=T0,$E$3,0)),$F$3),IF($C$3="down",MAX(Policy_Sched!$E100*(1-IF($A100&gt;=T0,$E$3,0)),Policy_Sched!$E100-$F$3),Policy_Sched!$E100)))</f>
        <v>0</v>
      </c>
      <c r="E100" s="37">
        <f t="shared" si="53"/>
        <v>0</v>
      </c>
      <c r="F100" s="37">
        <f t="shared" si="36"/>
        <v>0</v>
      </c>
      <c r="G100" s="37">
        <f t="shared" si="37"/>
        <v>0</v>
      </c>
      <c r="H100" s="37">
        <f t="shared" si="38"/>
        <v>0</v>
      </c>
      <c r="I100" s="37">
        <f t="shared" si="39"/>
        <v>0</v>
      </c>
      <c r="J100" s="37">
        <f t="shared" si="40"/>
        <v>0</v>
      </c>
      <c r="K100" s="37">
        <f>IF($A100&gt;LastT,0,J100*Policy_Sched!$C100*Policy_Sched!$D100*C100)</f>
        <v>0</v>
      </c>
      <c r="L100" s="41">
        <f t="shared" si="41"/>
        <v>0</v>
      </c>
      <c r="M100" s="38">
        <f t="shared" si="42"/>
        <v>0</v>
      </c>
      <c r="N100" s="38">
        <f t="shared" si="43"/>
        <v>0</v>
      </c>
      <c r="O100" s="38">
        <f t="shared" si="44"/>
        <v>0</v>
      </c>
      <c r="P100" s="38">
        <f>Policy_Sched!$I100*(L100+I100)</f>
        <v>0</v>
      </c>
      <c r="Q100" s="42">
        <f t="shared" si="45"/>
        <v>0</v>
      </c>
      <c r="R100" s="38">
        <f t="shared" si="46"/>
        <v>0</v>
      </c>
      <c r="S100" s="38">
        <f t="shared" si="47"/>
        <v>0</v>
      </c>
      <c r="T100" s="38">
        <f>Policy_Sched!$J100*J100</f>
        <v>0</v>
      </c>
      <c r="U100" s="42">
        <f t="shared" si="48"/>
        <v>0</v>
      </c>
      <c r="V100" s="42">
        <f t="shared" si="49"/>
        <v>0</v>
      </c>
      <c r="W100" s="38">
        <f>IF($A100&gt;LastT,0,N100+W101/(1+Policy_Sched!$K100))</f>
        <v>0</v>
      </c>
      <c r="X100" s="38">
        <f>IF($A100&gt;LastT,0,(-Q100+X101)/(1+Policy_Sched!$K100))</f>
        <v>0</v>
      </c>
      <c r="Y100" s="38">
        <f>IF($A100&gt;LastT,0,-V100+Y101/(1+Policy_Sched!$K100))</f>
        <v>0</v>
      </c>
      <c r="Z100" s="42">
        <f t="shared" si="50"/>
        <v>0</v>
      </c>
      <c r="AA100" s="38">
        <f>IF($A100&gt;LastT,0,N100-V100-Q100/(1+Policy_Sched!$K100)+Z101/(1+Policy_Sched!$K100))</f>
        <v>0</v>
      </c>
    </row>
    <row r="101" spans="1:27" x14ac:dyDescent="0.2">
      <c r="A101" s="30">
        <f t="shared" si="51"/>
        <v>94</v>
      </c>
      <c r="B101" s="31">
        <f t="shared" si="52"/>
        <v>0</v>
      </c>
      <c r="C101" s="31">
        <f>IF($A101&gt;LastT,0,IF(AND($D$3&lt;&gt;0,$A101&gt;=T0,Policy_Sched!$B101&lt;LastAge),1+$D$3*$E$3,1))</f>
        <v>0</v>
      </c>
      <c r="D101" s="36">
        <f>IF($A101&gt;LastT,0,IF($C$3="up",MIN(Policy_Sched!$E101*(1+IF($A101&gt;=T0,$E$3,0)),$F$3),IF($C$3="down",MAX(Policy_Sched!$E101*(1-IF($A101&gt;=T0,$E$3,0)),Policy_Sched!$E101-$F$3),Policy_Sched!$E101)))</f>
        <v>0</v>
      </c>
      <c r="E101" s="37">
        <f t="shared" si="53"/>
        <v>0</v>
      </c>
      <c r="F101" s="37">
        <f t="shared" si="36"/>
        <v>0</v>
      </c>
      <c r="G101" s="37">
        <f t="shared" si="37"/>
        <v>0</v>
      </c>
      <c r="H101" s="37">
        <f t="shared" si="38"/>
        <v>0</v>
      </c>
      <c r="I101" s="37">
        <f t="shared" si="39"/>
        <v>0</v>
      </c>
      <c r="J101" s="37">
        <f t="shared" si="40"/>
        <v>0</v>
      </c>
      <c r="K101" s="37">
        <f>IF($A101&gt;LastT,0,J101*Policy_Sched!$C101*Policy_Sched!$D101*C101)</f>
        <v>0</v>
      </c>
      <c r="L101" s="41">
        <f t="shared" si="41"/>
        <v>0</v>
      </c>
      <c r="M101" s="38">
        <f t="shared" si="42"/>
        <v>0</v>
      </c>
      <c r="N101" s="38">
        <f t="shared" si="43"/>
        <v>0</v>
      </c>
      <c r="O101" s="38">
        <f t="shared" si="44"/>
        <v>0</v>
      </c>
      <c r="P101" s="38">
        <f>Policy_Sched!$I101*(L101+I101)</f>
        <v>0</v>
      </c>
      <c r="Q101" s="42">
        <f t="shared" si="45"/>
        <v>0</v>
      </c>
      <c r="R101" s="38">
        <f t="shared" si="46"/>
        <v>0</v>
      </c>
      <c r="S101" s="38">
        <f t="shared" si="47"/>
        <v>0</v>
      </c>
      <c r="T101" s="38">
        <f>Policy_Sched!$J101*J101</f>
        <v>0</v>
      </c>
      <c r="U101" s="42">
        <f t="shared" si="48"/>
        <v>0</v>
      </c>
      <c r="V101" s="42">
        <f t="shared" si="49"/>
        <v>0</v>
      </c>
      <c r="W101" s="38">
        <f>IF($A101&gt;LastT,0,N101+W102/(1+Policy_Sched!$K101))</f>
        <v>0</v>
      </c>
      <c r="X101" s="38">
        <f>IF($A101&gt;LastT,0,(-Q101+X102)/(1+Policy_Sched!$K101))</f>
        <v>0</v>
      </c>
      <c r="Y101" s="38">
        <f>IF($A101&gt;LastT,0,-V101+Y102/(1+Policy_Sched!$K101))</f>
        <v>0</v>
      </c>
      <c r="Z101" s="42">
        <f t="shared" si="50"/>
        <v>0</v>
      </c>
      <c r="AA101" s="38">
        <f>IF($A101&gt;LastT,0,N101-V101-Q101/(1+Policy_Sched!$K101)+Z102/(1+Policy_Sched!$K101))</f>
        <v>0</v>
      </c>
    </row>
    <row r="102" spans="1:27" x14ac:dyDescent="0.2">
      <c r="A102" s="30">
        <f t="shared" si="51"/>
        <v>95</v>
      </c>
      <c r="B102" s="31">
        <f t="shared" si="52"/>
        <v>0</v>
      </c>
      <c r="C102" s="31">
        <f>IF($A102&gt;LastT,0,IF(AND($D$3&lt;&gt;0,$A102&gt;=T0,Policy_Sched!$B102&lt;LastAge),1+$D$3*$E$3,1))</f>
        <v>0</v>
      </c>
      <c r="D102" s="36">
        <f>IF($A102&gt;LastT,0,IF($C$3="up",MIN(Policy_Sched!$E102*(1+IF($A102&gt;=T0,$E$3,0)),$F$3),IF($C$3="down",MAX(Policy_Sched!$E102*(1-IF($A102&gt;=T0,$E$3,0)),Policy_Sched!$E102-$F$3),Policy_Sched!$E102)))</f>
        <v>0</v>
      </c>
      <c r="E102" s="37">
        <f t="shared" si="53"/>
        <v>0</v>
      </c>
      <c r="F102" s="37">
        <f t="shared" si="36"/>
        <v>0</v>
      </c>
      <c r="G102" s="37">
        <f t="shared" si="37"/>
        <v>0</v>
      </c>
      <c r="H102" s="37">
        <f t="shared" si="38"/>
        <v>0</v>
      </c>
      <c r="I102" s="37">
        <f t="shared" si="39"/>
        <v>0</v>
      </c>
      <c r="J102" s="37">
        <f t="shared" si="40"/>
        <v>0</v>
      </c>
      <c r="K102" s="37">
        <f>IF($A102&gt;LastT,0,J102*Policy_Sched!$C102*Policy_Sched!$D102*C102)</f>
        <v>0</v>
      </c>
      <c r="L102" s="41">
        <f t="shared" si="41"/>
        <v>0</v>
      </c>
      <c r="M102" s="38">
        <f t="shared" si="42"/>
        <v>0</v>
      </c>
      <c r="N102" s="38">
        <f t="shared" si="43"/>
        <v>0</v>
      </c>
      <c r="O102" s="38">
        <f t="shared" si="44"/>
        <v>0</v>
      </c>
      <c r="P102" s="38">
        <f>Policy_Sched!$I102*(L102+I102)</f>
        <v>0</v>
      </c>
      <c r="Q102" s="42">
        <f t="shared" si="45"/>
        <v>0</v>
      </c>
      <c r="R102" s="38">
        <f t="shared" si="46"/>
        <v>0</v>
      </c>
      <c r="S102" s="38">
        <f t="shared" si="47"/>
        <v>0</v>
      </c>
      <c r="T102" s="38">
        <f>Policy_Sched!$J102*J102</f>
        <v>0</v>
      </c>
      <c r="U102" s="42">
        <f t="shared" si="48"/>
        <v>0</v>
      </c>
      <c r="V102" s="42">
        <f t="shared" si="49"/>
        <v>0</v>
      </c>
      <c r="W102" s="38">
        <f>IF($A102&gt;LastT,0,N102+W103/(1+Policy_Sched!$K102))</f>
        <v>0</v>
      </c>
      <c r="X102" s="38">
        <f>IF($A102&gt;LastT,0,(-Q102+X103)/(1+Policy_Sched!$K102))</f>
        <v>0</v>
      </c>
      <c r="Y102" s="38">
        <f>IF($A102&gt;LastT,0,-V102+Y103/(1+Policy_Sched!$K102))</f>
        <v>0</v>
      </c>
      <c r="Z102" s="42">
        <f t="shared" si="50"/>
        <v>0</v>
      </c>
      <c r="AA102" s="38">
        <f>IF($A102&gt;LastT,0,N102-V102-Q102/(1+Policy_Sched!$K102)+Z103/(1+Policy_Sched!$K102))</f>
        <v>0</v>
      </c>
    </row>
    <row r="103" spans="1:27" x14ac:dyDescent="0.2">
      <c r="A103" s="30">
        <f t="shared" si="51"/>
        <v>96</v>
      </c>
      <c r="B103" s="31">
        <f t="shared" si="52"/>
        <v>0</v>
      </c>
      <c r="C103" s="31">
        <f>IF($A103&gt;LastT,0,IF(AND($D$3&lt;&gt;0,$A103&gt;=T0,Policy_Sched!$B103&lt;LastAge),1+$D$3*$E$3,1))</f>
        <v>0</v>
      </c>
      <c r="D103" s="36">
        <f>IF($A103&gt;LastT,0,IF($C$3="up",MIN(Policy_Sched!$E103*(1+IF($A103&gt;=T0,$E$3,0)),$F$3),IF($C$3="down",MAX(Policy_Sched!$E103*(1-IF($A103&gt;=T0,$E$3,0)),Policy_Sched!$E103-$F$3),Policy_Sched!$E103)))</f>
        <v>0</v>
      </c>
      <c r="E103" s="37">
        <f t="shared" si="53"/>
        <v>0</v>
      </c>
      <c r="F103" s="37">
        <f t="shared" ref="F103:F110" si="54">IF($A103&gt;LastT,0,IF($A103=PolicyTerm,E103,0))</f>
        <v>0</v>
      </c>
      <c r="G103" s="37">
        <f t="shared" ref="G103:G110" si="55">IF($A103&gt;LastT,0,E103-F103)</f>
        <v>0</v>
      </c>
      <c r="H103" s="37">
        <f t="shared" ref="H103:H110" si="56">IF($A103=0,PolicyCount,0)</f>
        <v>0</v>
      </c>
      <c r="I103" s="37">
        <f t="shared" ref="I103:I110" si="57">IF($A103&gt;LastT,0,IF(AND($C$3="mass",$A103=T0),(G103+H103)*$E$3,0))</f>
        <v>0</v>
      </c>
      <c r="J103" s="37">
        <f t="shared" ref="J103:J110" si="58">IF($A103&gt;LastT,0,G103+H103-I103)</f>
        <v>0</v>
      </c>
      <c r="K103" s="37">
        <f>IF($A103&gt;LastT,0,J103*Policy_Sched!$C103*Policy_Sched!$D103*C103)</f>
        <v>0</v>
      </c>
      <c r="L103" s="41">
        <f t="shared" ref="L103:L110" si="59">J103*D103</f>
        <v>0</v>
      </c>
      <c r="M103" s="38">
        <f t="shared" ref="M103:M110" si="60">IF($A103&gt;LastT,0,(SizeAnnPrem*ExpsMaintAnnPrem+(SumAssured*ExpsMaintSA+ExpsMaintPol)*B103)*(1+IF($B$3="exps",$E$3,0)))</f>
        <v>0</v>
      </c>
      <c r="N103" s="38">
        <f t="shared" ref="N103:N110" si="61">SizePremium*J103</f>
        <v>0</v>
      </c>
      <c r="O103" s="38">
        <f t="shared" ref="O103:O110" si="62">SumAssured*K103</f>
        <v>0</v>
      </c>
      <c r="P103" s="38">
        <f>Policy_Sched!$I103*(L103+I103)</f>
        <v>0</v>
      </c>
      <c r="Q103" s="42">
        <f t="shared" ref="Q103:Q110" si="63">O103+P103</f>
        <v>0</v>
      </c>
      <c r="R103" s="38">
        <f t="shared" ref="R103:R110" si="64">IF($A103=0,SizeExpsAcq0*H103,0)</f>
        <v>0</v>
      </c>
      <c r="S103" s="38">
        <f t="shared" ref="S103:S110" si="65">IF($A103=0,SizeExpsCommInit0*J103,0)</f>
        <v>0</v>
      </c>
      <c r="T103" s="38">
        <f>Policy_Sched!$J103*J103</f>
        <v>0</v>
      </c>
      <c r="U103" s="42">
        <f t="shared" ref="U103:U110" si="66">M103*J103</f>
        <v>0</v>
      </c>
      <c r="V103" s="42">
        <f t="shared" ref="V103:V110" si="67">S103+T103+R103+U103</f>
        <v>0</v>
      </c>
      <c r="W103" s="38">
        <f>IF($A103&gt;LastT,0,N103+W104/(1+Policy_Sched!$K103))</f>
        <v>0</v>
      </c>
      <c r="X103" s="38">
        <f>IF($A103&gt;LastT,0,(-Q103+X104)/(1+Policy_Sched!$K103))</f>
        <v>0</v>
      </c>
      <c r="Y103" s="38">
        <f>IF($A103&gt;LastT,0,-V103+Y104/(1+Policy_Sched!$K103))</f>
        <v>0</v>
      </c>
      <c r="Z103" s="42">
        <f t="shared" ref="Z103:Z110" si="68">W103+Y103+X103</f>
        <v>0</v>
      </c>
      <c r="AA103" s="38">
        <f>IF($A103&gt;LastT,0,N103-V103-Q103/(1+Policy_Sched!$K103)+Z104/(1+Policy_Sched!$K103))</f>
        <v>0</v>
      </c>
    </row>
    <row r="104" spans="1:27" x14ac:dyDescent="0.2">
      <c r="A104" s="30">
        <f t="shared" ref="A104:A110" si="69">A103+1</f>
        <v>97</v>
      </c>
      <c r="B104" s="31">
        <f t="shared" ref="B104:B110" si="70">IF($A104&gt;LastT,0,IF($B$3="exps",B103*(1+InflRate+IF($A104&gt;=T0,$G$3,0)),B103/(1+InflRate)))</f>
        <v>0</v>
      </c>
      <c r="C104" s="31">
        <f>IF($A104&gt;LastT,0,IF(AND($D$3&lt;&gt;0,$A104&gt;=T0,Policy_Sched!$B104&lt;LastAge),1+$D$3*$E$3,1))</f>
        <v>0</v>
      </c>
      <c r="D104" s="36">
        <f>IF($A104&gt;LastT,0,IF($C$3="up",MIN(Policy_Sched!$E104*(1+IF($A104&gt;=T0,$E$3,0)),$F$3),IF($C$3="down",MAX(Policy_Sched!$E104*(1-IF($A104&gt;=T0,$E$3,0)),Policy_Sched!$E104-$F$3),Policy_Sched!$E104)))</f>
        <v>0</v>
      </c>
      <c r="E104" s="37">
        <f t="shared" ref="E104:E110" si="71">IF($A104&gt;LastT,0,J103-K103-L103)</f>
        <v>0</v>
      </c>
      <c r="F104" s="37">
        <f t="shared" si="54"/>
        <v>0</v>
      </c>
      <c r="G104" s="37">
        <f t="shared" si="55"/>
        <v>0</v>
      </c>
      <c r="H104" s="37">
        <f t="shared" si="56"/>
        <v>0</v>
      </c>
      <c r="I104" s="37">
        <f t="shared" si="57"/>
        <v>0</v>
      </c>
      <c r="J104" s="37">
        <f t="shared" si="58"/>
        <v>0</v>
      </c>
      <c r="K104" s="37">
        <f>IF($A104&gt;LastT,0,J104*Policy_Sched!$C104*Policy_Sched!$D104*C104)</f>
        <v>0</v>
      </c>
      <c r="L104" s="41">
        <f t="shared" si="59"/>
        <v>0</v>
      </c>
      <c r="M104" s="38">
        <f t="shared" si="60"/>
        <v>0</v>
      </c>
      <c r="N104" s="38">
        <f t="shared" si="61"/>
        <v>0</v>
      </c>
      <c r="O104" s="38">
        <f t="shared" si="62"/>
        <v>0</v>
      </c>
      <c r="P104" s="38">
        <f>Policy_Sched!$I104*(L104+I104)</f>
        <v>0</v>
      </c>
      <c r="Q104" s="42">
        <f t="shared" si="63"/>
        <v>0</v>
      </c>
      <c r="R104" s="38">
        <f t="shared" si="64"/>
        <v>0</v>
      </c>
      <c r="S104" s="38">
        <f t="shared" si="65"/>
        <v>0</v>
      </c>
      <c r="T104" s="38">
        <f>Policy_Sched!$J104*J104</f>
        <v>0</v>
      </c>
      <c r="U104" s="42">
        <f t="shared" si="66"/>
        <v>0</v>
      </c>
      <c r="V104" s="42">
        <f t="shared" si="67"/>
        <v>0</v>
      </c>
      <c r="W104" s="38">
        <f>IF($A104&gt;LastT,0,N104+W105/(1+Policy_Sched!$K104))</f>
        <v>0</v>
      </c>
      <c r="X104" s="38">
        <f>IF($A104&gt;LastT,0,(-Q104+X105)/(1+Policy_Sched!$K104))</f>
        <v>0</v>
      </c>
      <c r="Y104" s="38">
        <f>IF($A104&gt;LastT,0,-V104+Y105/(1+Policy_Sched!$K104))</f>
        <v>0</v>
      </c>
      <c r="Z104" s="42">
        <f t="shared" si="68"/>
        <v>0</v>
      </c>
      <c r="AA104" s="38">
        <f>IF($A104&gt;LastT,0,N104-V104-Q104/(1+Policy_Sched!$K104)+Z105/(1+Policy_Sched!$K104))</f>
        <v>0</v>
      </c>
    </row>
    <row r="105" spans="1:27" x14ac:dyDescent="0.2">
      <c r="A105" s="30">
        <f t="shared" si="69"/>
        <v>98</v>
      </c>
      <c r="B105" s="31">
        <f t="shared" si="70"/>
        <v>0</v>
      </c>
      <c r="C105" s="31">
        <f>IF($A105&gt;LastT,0,IF(AND($D$3&lt;&gt;0,$A105&gt;=T0,Policy_Sched!$B105&lt;LastAge),1+$D$3*$E$3,1))</f>
        <v>0</v>
      </c>
      <c r="D105" s="36">
        <f>IF($A105&gt;LastT,0,IF($C$3="up",MIN(Policy_Sched!$E105*(1+IF($A105&gt;=T0,$E$3,0)),$F$3),IF($C$3="down",MAX(Policy_Sched!$E105*(1-IF($A105&gt;=T0,$E$3,0)),Policy_Sched!$E105-$F$3),Policy_Sched!$E105)))</f>
        <v>0</v>
      </c>
      <c r="E105" s="37">
        <f t="shared" si="71"/>
        <v>0</v>
      </c>
      <c r="F105" s="37">
        <f t="shared" si="54"/>
        <v>0</v>
      </c>
      <c r="G105" s="37">
        <f t="shared" si="55"/>
        <v>0</v>
      </c>
      <c r="H105" s="37">
        <f t="shared" si="56"/>
        <v>0</v>
      </c>
      <c r="I105" s="37">
        <f t="shared" si="57"/>
        <v>0</v>
      </c>
      <c r="J105" s="37">
        <f t="shared" si="58"/>
        <v>0</v>
      </c>
      <c r="K105" s="37">
        <f>IF($A105&gt;LastT,0,J105*Policy_Sched!$C105*Policy_Sched!$D105*C105)</f>
        <v>0</v>
      </c>
      <c r="L105" s="41">
        <f t="shared" si="59"/>
        <v>0</v>
      </c>
      <c r="M105" s="38">
        <f t="shared" si="60"/>
        <v>0</v>
      </c>
      <c r="N105" s="38">
        <f t="shared" si="61"/>
        <v>0</v>
      </c>
      <c r="O105" s="38">
        <f t="shared" si="62"/>
        <v>0</v>
      </c>
      <c r="P105" s="38">
        <f>Policy_Sched!$I105*(L105+I105)</f>
        <v>0</v>
      </c>
      <c r="Q105" s="42">
        <f t="shared" si="63"/>
        <v>0</v>
      </c>
      <c r="R105" s="38">
        <f t="shared" si="64"/>
        <v>0</v>
      </c>
      <c r="S105" s="38">
        <f t="shared" si="65"/>
        <v>0</v>
      </c>
      <c r="T105" s="38">
        <f>Policy_Sched!$J105*J105</f>
        <v>0</v>
      </c>
      <c r="U105" s="42">
        <f t="shared" si="66"/>
        <v>0</v>
      </c>
      <c r="V105" s="42">
        <f t="shared" si="67"/>
        <v>0</v>
      </c>
      <c r="W105" s="38">
        <f>IF($A105&gt;LastT,0,N105+W106/(1+Policy_Sched!$K105))</f>
        <v>0</v>
      </c>
      <c r="X105" s="38">
        <f>IF($A105&gt;LastT,0,(-Q105+X106)/(1+Policy_Sched!$K105))</f>
        <v>0</v>
      </c>
      <c r="Y105" s="38">
        <f>IF($A105&gt;LastT,0,-V105+Y106/(1+Policy_Sched!$K105))</f>
        <v>0</v>
      </c>
      <c r="Z105" s="42">
        <f t="shared" si="68"/>
        <v>0</v>
      </c>
      <c r="AA105" s="38">
        <f>IF($A105&gt;LastT,0,N105-V105-Q105/(1+Policy_Sched!$K105)+Z106/(1+Policy_Sched!$K105))</f>
        <v>0</v>
      </c>
    </row>
    <row r="106" spans="1:27" x14ac:dyDescent="0.2">
      <c r="A106" s="30">
        <f t="shared" si="69"/>
        <v>99</v>
      </c>
      <c r="B106" s="31">
        <f t="shared" si="70"/>
        <v>0</v>
      </c>
      <c r="C106" s="31">
        <f>IF($A106&gt;LastT,0,IF(AND($D$3&lt;&gt;0,$A106&gt;=T0,Policy_Sched!$B106&lt;LastAge),1+$D$3*$E$3,1))</f>
        <v>0</v>
      </c>
      <c r="D106" s="36">
        <f>IF($A106&gt;LastT,0,IF($C$3="up",MIN(Policy_Sched!$E106*(1+IF($A106&gt;=T0,$E$3,0)),$F$3),IF($C$3="down",MAX(Policy_Sched!$E106*(1-IF($A106&gt;=T0,$E$3,0)),Policy_Sched!$E106-$F$3),Policy_Sched!$E106)))</f>
        <v>0</v>
      </c>
      <c r="E106" s="37">
        <f t="shared" si="71"/>
        <v>0</v>
      </c>
      <c r="F106" s="37">
        <f t="shared" si="54"/>
        <v>0</v>
      </c>
      <c r="G106" s="37">
        <f t="shared" si="55"/>
        <v>0</v>
      </c>
      <c r="H106" s="37">
        <f t="shared" si="56"/>
        <v>0</v>
      </c>
      <c r="I106" s="37">
        <f t="shared" si="57"/>
        <v>0</v>
      </c>
      <c r="J106" s="37">
        <f t="shared" si="58"/>
        <v>0</v>
      </c>
      <c r="K106" s="37">
        <f>IF($A106&gt;LastT,0,J106*Policy_Sched!$C106*Policy_Sched!$D106*C106)</f>
        <v>0</v>
      </c>
      <c r="L106" s="41">
        <f t="shared" si="59"/>
        <v>0</v>
      </c>
      <c r="M106" s="38">
        <f t="shared" si="60"/>
        <v>0</v>
      </c>
      <c r="N106" s="38">
        <f t="shared" si="61"/>
        <v>0</v>
      </c>
      <c r="O106" s="38">
        <f t="shared" si="62"/>
        <v>0</v>
      </c>
      <c r="P106" s="38">
        <f>Policy_Sched!$I106*(L106+I106)</f>
        <v>0</v>
      </c>
      <c r="Q106" s="42">
        <f t="shared" si="63"/>
        <v>0</v>
      </c>
      <c r="R106" s="38">
        <f t="shared" si="64"/>
        <v>0</v>
      </c>
      <c r="S106" s="38">
        <f t="shared" si="65"/>
        <v>0</v>
      </c>
      <c r="T106" s="38">
        <f>Policy_Sched!$J106*J106</f>
        <v>0</v>
      </c>
      <c r="U106" s="42">
        <f t="shared" si="66"/>
        <v>0</v>
      </c>
      <c r="V106" s="42">
        <f t="shared" si="67"/>
        <v>0</v>
      </c>
      <c r="W106" s="38">
        <f>IF($A106&gt;LastT,0,N106+W107/(1+Policy_Sched!$K106))</f>
        <v>0</v>
      </c>
      <c r="X106" s="38">
        <f>IF($A106&gt;LastT,0,(-Q106+X107)/(1+Policy_Sched!$K106))</f>
        <v>0</v>
      </c>
      <c r="Y106" s="38">
        <f>IF($A106&gt;LastT,0,-V106+Y107/(1+Policy_Sched!$K106))</f>
        <v>0</v>
      </c>
      <c r="Z106" s="42">
        <f t="shared" si="68"/>
        <v>0</v>
      </c>
      <c r="AA106" s="38">
        <f>IF($A106&gt;LastT,0,N106-V106-Q106/(1+Policy_Sched!$K106)+Z107/(1+Policy_Sched!$K106))</f>
        <v>0</v>
      </c>
    </row>
    <row r="107" spans="1:27" x14ac:dyDescent="0.2">
      <c r="A107" s="30">
        <f t="shared" si="69"/>
        <v>100</v>
      </c>
      <c r="B107" s="31">
        <f t="shared" si="70"/>
        <v>0</v>
      </c>
      <c r="C107" s="31">
        <f>IF($A107&gt;LastT,0,IF(AND($D$3&lt;&gt;0,$A107&gt;=T0,Policy_Sched!$B107&lt;LastAge),1+$D$3*$E$3,1))</f>
        <v>0</v>
      </c>
      <c r="D107" s="36">
        <f>IF($A107&gt;LastT,0,IF($C$3="up",MIN(Policy_Sched!$E107*(1+IF($A107&gt;=T0,$E$3,0)),$F$3),IF($C$3="down",MAX(Policy_Sched!$E107*(1-IF($A107&gt;=T0,$E$3,0)),Policy_Sched!$E107-$F$3),Policy_Sched!$E107)))</f>
        <v>0</v>
      </c>
      <c r="E107" s="37">
        <f t="shared" si="71"/>
        <v>0</v>
      </c>
      <c r="F107" s="37">
        <f t="shared" si="54"/>
        <v>0</v>
      </c>
      <c r="G107" s="37">
        <f t="shared" si="55"/>
        <v>0</v>
      </c>
      <c r="H107" s="37">
        <f t="shared" si="56"/>
        <v>0</v>
      </c>
      <c r="I107" s="37">
        <f t="shared" si="57"/>
        <v>0</v>
      </c>
      <c r="J107" s="37">
        <f t="shared" si="58"/>
        <v>0</v>
      </c>
      <c r="K107" s="37">
        <f>IF($A107&gt;LastT,0,J107*Policy_Sched!$C107*Policy_Sched!$D107*C107)</f>
        <v>0</v>
      </c>
      <c r="L107" s="41">
        <f t="shared" si="59"/>
        <v>0</v>
      </c>
      <c r="M107" s="38">
        <f t="shared" si="60"/>
        <v>0</v>
      </c>
      <c r="N107" s="38">
        <f t="shared" si="61"/>
        <v>0</v>
      </c>
      <c r="O107" s="38">
        <f t="shared" si="62"/>
        <v>0</v>
      </c>
      <c r="P107" s="38">
        <f>Policy_Sched!$I107*(L107+I107)</f>
        <v>0</v>
      </c>
      <c r="Q107" s="42">
        <f t="shared" si="63"/>
        <v>0</v>
      </c>
      <c r="R107" s="38">
        <f t="shared" si="64"/>
        <v>0</v>
      </c>
      <c r="S107" s="38">
        <f t="shared" si="65"/>
        <v>0</v>
      </c>
      <c r="T107" s="38">
        <f>Policy_Sched!$J107*J107</f>
        <v>0</v>
      </c>
      <c r="U107" s="42">
        <f t="shared" si="66"/>
        <v>0</v>
      </c>
      <c r="V107" s="42">
        <f t="shared" si="67"/>
        <v>0</v>
      </c>
      <c r="W107" s="38">
        <f>IF($A107&gt;LastT,0,N107+W108/(1+Policy_Sched!$K107))</f>
        <v>0</v>
      </c>
      <c r="X107" s="38">
        <f>IF($A107&gt;LastT,0,(-Q107+X108)/(1+Policy_Sched!$K107))</f>
        <v>0</v>
      </c>
      <c r="Y107" s="38">
        <f>IF($A107&gt;LastT,0,-V107+Y108/(1+Policy_Sched!$K107))</f>
        <v>0</v>
      </c>
      <c r="Z107" s="42">
        <f t="shared" si="68"/>
        <v>0</v>
      </c>
      <c r="AA107" s="38">
        <f>IF($A107&gt;LastT,0,N107-V107-Q107/(1+Policy_Sched!$K107)+Z108/(1+Policy_Sched!$K107))</f>
        <v>0</v>
      </c>
    </row>
    <row r="108" spans="1:27" x14ac:dyDescent="0.2">
      <c r="A108" s="30">
        <f t="shared" si="69"/>
        <v>101</v>
      </c>
      <c r="B108" s="31">
        <f t="shared" si="70"/>
        <v>0</v>
      </c>
      <c r="C108" s="31">
        <f>IF($A108&gt;LastT,0,IF(AND($D$3&lt;&gt;0,$A108&gt;=T0,Policy_Sched!$B108&lt;LastAge),1+$D$3*$E$3,1))</f>
        <v>0</v>
      </c>
      <c r="D108" s="36">
        <f>IF($A108&gt;LastT,0,IF($C$3="up",MIN(Policy_Sched!$E108*(1+IF($A108&gt;=T0,$E$3,0)),$F$3),IF($C$3="down",MAX(Policy_Sched!$E108*(1-IF($A108&gt;=T0,$E$3,0)),Policy_Sched!$E108-$F$3),Policy_Sched!$E108)))</f>
        <v>0</v>
      </c>
      <c r="E108" s="37">
        <f t="shared" si="71"/>
        <v>0</v>
      </c>
      <c r="F108" s="37">
        <f t="shared" si="54"/>
        <v>0</v>
      </c>
      <c r="G108" s="37">
        <f t="shared" si="55"/>
        <v>0</v>
      </c>
      <c r="H108" s="37">
        <f t="shared" si="56"/>
        <v>0</v>
      </c>
      <c r="I108" s="37">
        <f t="shared" si="57"/>
        <v>0</v>
      </c>
      <c r="J108" s="37">
        <f t="shared" si="58"/>
        <v>0</v>
      </c>
      <c r="K108" s="37">
        <f>IF($A108&gt;LastT,0,J108*Policy_Sched!$C108*Policy_Sched!$D108*C108)</f>
        <v>0</v>
      </c>
      <c r="L108" s="41">
        <f t="shared" si="59"/>
        <v>0</v>
      </c>
      <c r="M108" s="38">
        <f t="shared" si="60"/>
        <v>0</v>
      </c>
      <c r="N108" s="38">
        <f t="shared" si="61"/>
        <v>0</v>
      </c>
      <c r="O108" s="38">
        <f t="shared" si="62"/>
        <v>0</v>
      </c>
      <c r="P108" s="38">
        <f>Policy_Sched!$I108*(L108+I108)</f>
        <v>0</v>
      </c>
      <c r="Q108" s="42">
        <f t="shared" si="63"/>
        <v>0</v>
      </c>
      <c r="R108" s="38">
        <f t="shared" si="64"/>
        <v>0</v>
      </c>
      <c r="S108" s="38">
        <f t="shared" si="65"/>
        <v>0</v>
      </c>
      <c r="T108" s="38">
        <f>Policy_Sched!$J108*J108</f>
        <v>0</v>
      </c>
      <c r="U108" s="42">
        <f t="shared" si="66"/>
        <v>0</v>
      </c>
      <c r="V108" s="42">
        <f t="shared" si="67"/>
        <v>0</v>
      </c>
      <c r="W108" s="38">
        <f>IF($A108&gt;LastT,0,N108+W109/(1+Policy_Sched!$K108))</f>
        <v>0</v>
      </c>
      <c r="X108" s="38">
        <f>IF($A108&gt;LastT,0,(-Q108+X109)/(1+Policy_Sched!$K108))</f>
        <v>0</v>
      </c>
      <c r="Y108" s="38">
        <f>IF($A108&gt;LastT,0,-V108+Y109/(1+Policy_Sched!$K108))</f>
        <v>0</v>
      </c>
      <c r="Z108" s="42">
        <f t="shared" si="68"/>
        <v>0</v>
      </c>
      <c r="AA108" s="38">
        <f>IF($A108&gt;LastT,0,N108-V108-Q108/(1+Policy_Sched!$K108)+Z109/(1+Policy_Sched!$K108))</f>
        <v>0</v>
      </c>
    </row>
    <row r="109" spans="1:27" x14ac:dyDescent="0.2">
      <c r="A109" s="30">
        <f t="shared" si="69"/>
        <v>102</v>
      </c>
      <c r="B109" s="31">
        <f t="shared" si="70"/>
        <v>0</v>
      </c>
      <c r="C109" s="31">
        <f>IF($A109&gt;LastT,0,IF(AND($D$3&lt;&gt;0,$A109&gt;=T0,Policy_Sched!$B109&lt;LastAge),1+$D$3*$E$3,1))</f>
        <v>0</v>
      </c>
      <c r="D109" s="36">
        <f>IF($A109&gt;LastT,0,IF($C$3="up",MIN(Policy_Sched!$E109*(1+IF($A109&gt;=T0,$E$3,0)),$F$3),IF($C$3="down",MAX(Policy_Sched!$E109*(1-IF($A109&gt;=T0,$E$3,0)),Policy_Sched!$E109-$F$3),Policy_Sched!$E109)))</f>
        <v>0</v>
      </c>
      <c r="E109" s="37">
        <f t="shared" si="71"/>
        <v>0</v>
      </c>
      <c r="F109" s="37">
        <f t="shared" si="54"/>
        <v>0</v>
      </c>
      <c r="G109" s="37">
        <f t="shared" si="55"/>
        <v>0</v>
      </c>
      <c r="H109" s="37">
        <f t="shared" si="56"/>
        <v>0</v>
      </c>
      <c r="I109" s="37">
        <f t="shared" si="57"/>
        <v>0</v>
      </c>
      <c r="J109" s="37">
        <f t="shared" si="58"/>
        <v>0</v>
      </c>
      <c r="K109" s="37">
        <f>IF($A109&gt;LastT,0,J109*Policy_Sched!$C109*Policy_Sched!$D109*C109)</f>
        <v>0</v>
      </c>
      <c r="L109" s="41">
        <f t="shared" si="59"/>
        <v>0</v>
      </c>
      <c r="M109" s="38">
        <f t="shared" si="60"/>
        <v>0</v>
      </c>
      <c r="N109" s="38">
        <f t="shared" si="61"/>
        <v>0</v>
      </c>
      <c r="O109" s="38">
        <f t="shared" si="62"/>
        <v>0</v>
      </c>
      <c r="P109" s="38">
        <f>Policy_Sched!$I109*(L109+I109)</f>
        <v>0</v>
      </c>
      <c r="Q109" s="42">
        <f t="shared" si="63"/>
        <v>0</v>
      </c>
      <c r="R109" s="38">
        <f t="shared" si="64"/>
        <v>0</v>
      </c>
      <c r="S109" s="38">
        <f t="shared" si="65"/>
        <v>0</v>
      </c>
      <c r="T109" s="38">
        <f>Policy_Sched!$J109*J109</f>
        <v>0</v>
      </c>
      <c r="U109" s="42">
        <f t="shared" si="66"/>
        <v>0</v>
      </c>
      <c r="V109" s="42">
        <f t="shared" si="67"/>
        <v>0</v>
      </c>
      <c r="W109" s="38">
        <f>IF($A109&gt;LastT,0,N109+W110/(1+Policy_Sched!$K109))</f>
        <v>0</v>
      </c>
      <c r="X109" s="38">
        <f>IF($A109&gt;LastT,0,(-Q109+X110)/(1+Policy_Sched!$K109))</f>
        <v>0</v>
      </c>
      <c r="Y109" s="38">
        <f>IF($A109&gt;LastT,0,-V109+Y110/(1+Policy_Sched!$K109))</f>
        <v>0</v>
      </c>
      <c r="Z109" s="42">
        <f t="shared" si="68"/>
        <v>0</v>
      </c>
      <c r="AA109" s="38">
        <f>IF($A109&gt;LastT,0,N109-V109-Q109/(1+Policy_Sched!$K109)+Z110/(1+Policy_Sched!$K109))</f>
        <v>0</v>
      </c>
    </row>
    <row r="110" spans="1:27" x14ac:dyDescent="0.2">
      <c r="A110" s="30">
        <f t="shared" si="69"/>
        <v>103</v>
      </c>
      <c r="B110" s="31">
        <f t="shared" si="70"/>
        <v>0</v>
      </c>
      <c r="C110" s="31">
        <f>IF($A110&gt;LastT,0,IF(AND($D$3&lt;&gt;0,$A110&gt;=T0,Policy_Sched!$B110&lt;LastAge),1+$D$3*$E$3,1))</f>
        <v>0</v>
      </c>
      <c r="D110" s="36">
        <f>IF($A110&gt;LastT,0,IF($C$3="up",MIN(Policy_Sched!$E110*(1+IF($A110&gt;=T0,$E$3,0)),$F$3),IF($C$3="down",MAX(Policy_Sched!$E110*(1-IF($A110&gt;=T0,$E$3,0)),Policy_Sched!$E110-$F$3),Policy_Sched!$E110)))</f>
        <v>0</v>
      </c>
      <c r="E110" s="37">
        <f t="shared" si="71"/>
        <v>0</v>
      </c>
      <c r="F110" s="37">
        <f t="shared" si="54"/>
        <v>0</v>
      </c>
      <c r="G110" s="37">
        <f t="shared" si="55"/>
        <v>0</v>
      </c>
      <c r="H110" s="37">
        <f t="shared" si="56"/>
        <v>0</v>
      </c>
      <c r="I110" s="37">
        <f t="shared" si="57"/>
        <v>0</v>
      </c>
      <c r="J110" s="37">
        <f t="shared" si="58"/>
        <v>0</v>
      </c>
      <c r="K110" s="37">
        <f>IF($A110&gt;LastT,0,J110*Policy_Sched!$C110*Policy_Sched!$D110*C110)</f>
        <v>0</v>
      </c>
      <c r="L110" s="41">
        <f t="shared" si="59"/>
        <v>0</v>
      </c>
      <c r="M110" s="38">
        <f t="shared" si="60"/>
        <v>0</v>
      </c>
      <c r="N110" s="38">
        <f t="shared" si="61"/>
        <v>0</v>
      </c>
      <c r="O110" s="38">
        <f t="shared" si="62"/>
        <v>0</v>
      </c>
      <c r="P110" s="38">
        <f>Policy_Sched!$I110*(L110+I110)</f>
        <v>0</v>
      </c>
      <c r="Q110" s="42">
        <f t="shared" si="63"/>
        <v>0</v>
      </c>
      <c r="R110" s="38">
        <f t="shared" si="64"/>
        <v>0</v>
      </c>
      <c r="S110" s="38">
        <f t="shared" si="65"/>
        <v>0</v>
      </c>
      <c r="T110" s="38">
        <f>Policy_Sched!$J110*J110</f>
        <v>0</v>
      </c>
      <c r="U110" s="42">
        <f t="shared" si="66"/>
        <v>0</v>
      </c>
      <c r="V110" s="42">
        <f t="shared" si="67"/>
        <v>0</v>
      </c>
      <c r="W110" s="38">
        <f>IF($A110&gt;LastT,0,N110+W111/(1+Policy_Sched!$K110))</f>
        <v>0</v>
      </c>
      <c r="X110" s="38">
        <f>IF($A110&gt;LastT,0,(-Q110+X111)/(1+Policy_Sched!$K110))</f>
        <v>0</v>
      </c>
      <c r="Y110" s="38">
        <f>IF($A110&gt;LastT,0,-V110+Y111/(1+Policy_Sched!$K110))</f>
        <v>0</v>
      </c>
      <c r="Z110" s="42">
        <f t="shared" si="68"/>
        <v>0</v>
      </c>
      <c r="AA110" s="38">
        <f>IF($A110&gt;LastT,0,N110-V110-Q110/(1+Policy_Sched!$K110)+Z111/(1+Policy_Sched!$K110))</f>
        <v>0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AA110"/>
  <sheetViews>
    <sheetView workbookViewId="0">
      <pane xSplit="1" ySplit="6" topLeftCell="B7" activePane="bottomRight" state="frozen"/>
      <selection pane="topRight"/>
      <selection pane="bottomLeft"/>
      <selection pane="bottomRight"/>
    </sheetView>
  </sheetViews>
  <sheetFormatPr baseColWidth="10" defaultColWidth="8.83203125" defaultRowHeight="15" x14ac:dyDescent="0.2"/>
  <cols>
    <col min="1" max="1" width="5" customWidth="1"/>
    <col min="2" max="2" width="10" customWidth="1"/>
    <col min="3" max="5" width="11" customWidth="1"/>
    <col min="6" max="6" width="10" customWidth="1"/>
    <col min="7" max="7" width="11" customWidth="1"/>
    <col min="8" max="9" width="10" customWidth="1"/>
    <col min="10" max="13" width="11" customWidth="1"/>
    <col min="14" max="17" width="12" customWidth="1"/>
    <col min="18" max="21" width="11" customWidth="1"/>
    <col min="22" max="22" width="12" customWidth="1"/>
    <col min="23" max="27" width="13" customWidth="1"/>
  </cols>
  <sheetData>
    <row r="1" spans="1:27" x14ac:dyDescent="0.2">
      <c r="A1" s="3" t="s">
        <v>399</v>
      </c>
    </row>
    <row r="2" spans="1:27" x14ac:dyDescent="0.2">
      <c r="B2" s="39" t="s">
        <v>334</v>
      </c>
      <c r="C2" s="39" t="s">
        <v>335</v>
      </c>
      <c r="D2" s="39" t="s">
        <v>336</v>
      </c>
      <c r="E2" s="39" t="s">
        <v>337</v>
      </c>
      <c r="F2" s="39" t="s">
        <v>338</v>
      </c>
      <c r="G2" s="39" t="s">
        <v>339</v>
      </c>
    </row>
    <row r="3" spans="1:27" x14ac:dyDescent="0.2">
      <c r="B3" s="7" t="s">
        <v>400</v>
      </c>
      <c r="C3" s="7" t="s">
        <v>401</v>
      </c>
      <c r="D3" s="7">
        <v>0</v>
      </c>
      <c r="E3" s="34">
        <f>IFERROR(INDEX(FactorVals,MATCH($B$3&amp;"|"&amp;$C$3&amp;"||",FactorKeys,0)),0)</f>
        <v>0.5</v>
      </c>
      <c r="F3" s="34">
        <f>IFERROR(INDEX(FactorVals,MATCH($B$3&amp;"|"&amp;$C$3&amp;"||limit",FactorKeys,0)),0)</f>
        <v>1</v>
      </c>
      <c r="G3" s="34">
        <f>IFERROR(INDEX(FactorVals,MATCH($B$3&amp;"|||inflation",FactorKeys,0)),0)</f>
        <v>0</v>
      </c>
    </row>
    <row r="4" spans="1:27" x14ac:dyDescent="0.2">
      <c r="B4" s="14" t="s">
        <v>334</v>
      </c>
      <c r="C4" s="14" t="s">
        <v>335</v>
      </c>
      <c r="E4" s="14" t="s">
        <v>341</v>
      </c>
    </row>
    <row r="5" spans="1:27" x14ac:dyDescent="0.2">
      <c r="A5" s="10" t="s">
        <v>185</v>
      </c>
      <c r="B5" s="10" t="s">
        <v>342</v>
      </c>
      <c r="C5" s="10" t="s">
        <v>343</v>
      </c>
      <c r="D5" s="10" t="s">
        <v>344</v>
      </c>
      <c r="E5" s="10" t="s">
        <v>345</v>
      </c>
      <c r="F5" s="10" t="s">
        <v>346</v>
      </c>
      <c r="G5" s="10" t="s">
        <v>347</v>
      </c>
      <c r="H5" s="10" t="s">
        <v>348</v>
      </c>
      <c r="I5" s="10" t="s">
        <v>349</v>
      </c>
      <c r="J5" s="10" t="s">
        <v>350</v>
      </c>
      <c r="K5" s="10" t="s">
        <v>351</v>
      </c>
      <c r="L5" s="10" t="s">
        <v>352</v>
      </c>
      <c r="M5" s="10" t="s">
        <v>353</v>
      </c>
      <c r="N5" s="10" t="s">
        <v>354</v>
      </c>
      <c r="O5" s="10" t="s">
        <v>355</v>
      </c>
      <c r="P5" s="10" t="s">
        <v>356</v>
      </c>
      <c r="Q5" s="10" t="s">
        <v>357</v>
      </c>
      <c r="R5" s="10" t="s">
        <v>358</v>
      </c>
      <c r="S5" s="10" t="s">
        <v>359</v>
      </c>
      <c r="T5" s="10" t="s">
        <v>360</v>
      </c>
      <c r="U5" s="10" t="s">
        <v>361</v>
      </c>
      <c r="V5" s="10" t="s">
        <v>362</v>
      </c>
      <c r="W5" s="10" t="s">
        <v>363</v>
      </c>
      <c r="X5" s="10" t="s">
        <v>364</v>
      </c>
      <c r="Y5" s="10" t="s">
        <v>365</v>
      </c>
      <c r="Z5" s="10" t="s">
        <v>366</v>
      </c>
      <c r="AA5" s="10" t="s">
        <v>367</v>
      </c>
    </row>
    <row r="6" spans="1:27" x14ac:dyDescent="0.2">
      <c r="A6" s="14" t="s">
        <v>185</v>
      </c>
      <c r="B6" s="14" t="s">
        <v>368</v>
      </c>
      <c r="C6" s="14" t="s">
        <v>369</v>
      </c>
      <c r="D6" s="14" t="s">
        <v>327</v>
      </c>
      <c r="E6" s="14" t="s">
        <v>370</v>
      </c>
      <c r="F6" s="14" t="s">
        <v>371</v>
      </c>
      <c r="G6" s="14" t="s">
        <v>372</v>
      </c>
      <c r="H6" s="14" t="s">
        <v>373</v>
      </c>
      <c r="I6" s="14" t="s">
        <v>374</v>
      </c>
      <c r="J6" s="14" t="s">
        <v>375</v>
      </c>
      <c r="K6" s="14" t="s">
        <v>376</v>
      </c>
      <c r="L6" s="14" t="s">
        <v>377</v>
      </c>
      <c r="M6" s="14" t="s">
        <v>378</v>
      </c>
      <c r="N6" s="14" t="s">
        <v>379</v>
      </c>
      <c r="O6" s="14" t="s">
        <v>380</v>
      </c>
      <c r="P6" s="14" t="s">
        <v>381</v>
      </c>
      <c r="Q6" s="14" t="s">
        <v>382</v>
      </c>
      <c r="R6" s="14" t="s">
        <v>383</v>
      </c>
      <c r="S6" s="14" t="s">
        <v>384</v>
      </c>
      <c r="T6" s="14" t="s">
        <v>385</v>
      </c>
      <c r="U6" s="14" t="s">
        <v>386</v>
      </c>
      <c r="V6" s="14" t="s">
        <v>387</v>
      </c>
      <c r="W6" s="14" t="s">
        <v>388</v>
      </c>
      <c r="X6" s="14" t="s">
        <v>389</v>
      </c>
      <c r="Y6" s="14" t="s">
        <v>390</v>
      </c>
      <c r="Z6" s="14" t="s">
        <v>391</v>
      </c>
      <c r="AA6" s="14" t="s">
        <v>392</v>
      </c>
    </row>
    <row r="7" spans="1:27" x14ac:dyDescent="0.2">
      <c r="A7" s="30">
        <v>0</v>
      </c>
      <c r="B7" s="40">
        <f>1</f>
        <v>1</v>
      </c>
      <c r="C7" s="31">
        <f>IF($A7&gt;LastT,0,IF(AND($D$3&lt;&gt;0,$A7&gt;=T0,Policy_Sched!$B7&lt;LastAge),1+$D$3*$E$3,1))</f>
        <v>1</v>
      </c>
      <c r="D7" s="36">
        <f>IF($A7&gt;LastT,0,IF($C$3="up",MIN(Policy_Sched!$E7*(1+IF($A7&gt;=T0,$E$3,0)),$F$3),IF($C$3="down",MAX(Policy_Sched!$E7*(1-IF($A7&gt;=T0,$E$3,0)),Policy_Sched!$E7-$F$3),Policy_Sched!$E7)))</f>
        <v>0.12</v>
      </c>
      <c r="E7" s="41">
        <f>0</f>
        <v>0</v>
      </c>
      <c r="F7" s="37">
        <f t="shared" ref="F7:F38" si="0">IF($A7&gt;LastT,0,IF($A7=PolicyTerm,E7,0))</f>
        <v>0</v>
      </c>
      <c r="G7" s="37">
        <f t="shared" ref="G7:G38" si="1">IF($A7&gt;LastT,0,E7-F7)</f>
        <v>0</v>
      </c>
      <c r="H7" s="37">
        <f t="shared" ref="H7:H38" si="2">IF($A7=0,PolicyCount,0)</f>
        <v>1</v>
      </c>
      <c r="I7" s="37">
        <f t="shared" ref="I7:I38" si="3">IF($A7&gt;LastT,0,IF(AND($C$3="mass",$A7=T0),(G7+H7)*$E$3,0))</f>
        <v>0</v>
      </c>
      <c r="J7" s="37">
        <f t="shared" ref="J7:J38" si="4">IF($A7&gt;LastT,0,G7+H7-I7)</f>
        <v>1</v>
      </c>
      <c r="K7" s="37">
        <f>IF($A7&gt;LastT,0,J7*Policy_Sched!$C7*Policy_Sched!$D7*C7)</f>
        <v>5.3899999999999998E-4</v>
      </c>
      <c r="L7" s="41">
        <f t="shared" ref="L7:L38" si="5">J7*D7</f>
        <v>0.12</v>
      </c>
      <c r="M7" s="38">
        <f t="shared" ref="M7:M38" si="6">IF($A7&gt;LastT,0,(SizeAnnPrem*ExpsMaintAnnPrem+(SumAssured*ExpsMaintSA+ExpsMaintPol)*B7)*(1+IF($B$3="exps",$E$3,0)))</f>
        <v>1035.7416990934148</v>
      </c>
      <c r="N7" s="38">
        <f t="shared" ref="N7:N38" si="7">SizePremium*J7</f>
        <v>3574.1699093414809</v>
      </c>
      <c r="O7" s="38">
        <f t="shared" ref="O7:O38" si="8">SumAssured*K7</f>
        <v>539</v>
      </c>
      <c r="P7" s="38">
        <f>Policy_Sched!$I7*(L7+I7)</f>
        <v>26.848164841807208</v>
      </c>
      <c r="Q7" s="42">
        <f t="shared" ref="Q7:Q38" si="9">O7+P7</f>
        <v>565.84816484180726</v>
      </c>
      <c r="R7" s="38">
        <f t="shared" ref="R7:R38" si="10">IF($A7=0,SizeExpsAcq0*H7,0)</f>
        <v>3357.4169909341481</v>
      </c>
      <c r="S7" s="38">
        <f t="shared" ref="S7:S38" si="11">IF($A7=0,SizeExpsCommInit0*J7,0)</f>
        <v>714.83398186829618</v>
      </c>
      <c r="T7" s="38">
        <f>Policy_Sched!$J7*J7</f>
        <v>0</v>
      </c>
      <c r="U7" s="42">
        <f t="shared" ref="U7:U38" si="12">M7*J7</f>
        <v>1035.7416990934148</v>
      </c>
      <c r="V7" s="42">
        <f t="shared" ref="V7:V38" si="13">S7+T7+R7+U7</f>
        <v>5107.9926718958595</v>
      </c>
      <c r="W7" s="38">
        <f>IF($A7&gt;LastT,0,N7+W8/(1+Policy_Sched!$K7))</f>
        <v>23631.79329925355</v>
      </c>
      <c r="X7" s="38">
        <f>IF($A7&gt;LastT,0,(-Q7+X8)/(1+Policy_Sched!$K7))</f>
        <v>-5898.8317681505414</v>
      </c>
      <c r="Y7" s="38">
        <f>IF($A7&gt;LastT,0,-V7+Y8/(1+Policy_Sched!$K7))</f>
        <v>-11426.341002275964</v>
      </c>
      <c r="Z7" s="42">
        <f t="shared" ref="Z7:Z38" si="14">W7+Y7+X7</f>
        <v>6306.6205288270448</v>
      </c>
      <c r="AA7" s="38">
        <f>IF($A7&gt;LastT,0,N7-V7-Q7/(1+Policy_Sched!$K7)+Z8/(1+Policy_Sched!$K7))</f>
        <v>6306.6205288270439</v>
      </c>
    </row>
    <row r="8" spans="1:27" x14ac:dyDescent="0.2">
      <c r="A8" s="30">
        <f t="shared" ref="A8:A39" si="15">A7+1</f>
        <v>1</v>
      </c>
      <c r="B8" s="31">
        <f t="shared" ref="B8:B39" si="16">IF($A8&gt;LastT,0,IF($B$3="exps",B7*(1+InflRate+IF($A8&gt;=T0,$G$3,0)),B7/(1+InflRate)))</f>
        <v>1</v>
      </c>
      <c r="C8" s="31">
        <f>IF($A8&gt;LastT,0,IF(AND($D$3&lt;&gt;0,$A8&gt;=T0,Policy_Sched!$B8&lt;LastAge),1+$D$3*$E$3,1))</f>
        <v>1</v>
      </c>
      <c r="D8" s="36">
        <f>IF($A8&gt;LastT,0,IF($C$3="up",MIN(Policy_Sched!$E8*(1+IF($A8&gt;=T0,$E$3,0)),$F$3),IF($C$3="down",MAX(Policy_Sched!$E8*(1-IF($A8&gt;=T0,$E$3,0)),Policy_Sched!$E8-$F$3),Policy_Sched!$E8)))</f>
        <v>0.12</v>
      </c>
      <c r="E8" s="37">
        <f t="shared" ref="E8:E39" si="17">IF($A8&gt;LastT,0,J7-K7-L7)</f>
        <v>0.87946100000000005</v>
      </c>
      <c r="F8" s="37">
        <f t="shared" si="0"/>
        <v>0</v>
      </c>
      <c r="G8" s="37">
        <f t="shared" si="1"/>
        <v>0.87946100000000005</v>
      </c>
      <c r="H8" s="37">
        <f t="shared" si="2"/>
        <v>0</v>
      </c>
      <c r="I8" s="37">
        <f t="shared" si="3"/>
        <v>0</v>
      </c>
      <c r="J8" s="37">
        <f t="shared" si="4"/>
        <v>0.87946100000000005</v>
      </c>
      <c r="K8" s="37">
        <f>IF($A8&gt;LastT,0,J8*Policy_Sched!$C8*Policy_Sched!$D8*C8)</f>
        <v>5.04810614E-4</v>
      </c>
      <c r="L8" s="41">
        <f t="shared" si="5"/>
        <v>0.10553532</v>
      </c>
      <c r="M8" s="38">
        <f t="shared" si="6"/>
        <v>1035.7416990934148</v>
      </c>
      <c r="N8" s="38">
        <f t="shared" si="7"/>
        <v>3143.3430426393684</v>
      </c>
      <c r="O8" s="38">
        <f t="shared" si="8"/>
        <v>504.81061399999999</v>
      </c>
      <c r="P8" s="38">
        <f>Policy_Sched!$I8*(L8+I8)</f>
        <v>68.885375884525644</v>
      </c>
      <c r="Q8" s="42">
        <f t="shared" si="9"/>
        <v>573.6959898845256</v>
      </c>
      <c r="R8" s="38">
        <f t="shared" si="10"/>
        <v>0</v>
      </c>
      <c r="S8" s="38">
        <f t="shared" si="11"/>
        <v>0</v>
      </c>
      <c r="T8" s="38">
        <f>Policy_Sched!$J8*J8</f>
        <v>157.16715213196841</v>
      </c>
      <c r="U8" s="42">
        <f t="shared" si="12"/>
        <v>910.89443042639368</v>
      </c>
      <c r="V8" s="42">
        <f t="shared" si="13"/>
        <v>1068.061582558362</v>
      </c>
      <c r="W8" s="38">
        <f>IF($A8&gt;LastT,0,N8+W9/(1+Policy_Sched!$K8))</f>
        <v>20358.487740760749</v>
      </c>
      <c r="X8" s="38">
        <f>IF($A8&gt;LastT,0,(-Q8+X9)/(1+Policy_Sched!$K8))</f>
        <v>-5421.4660798309915</v>
      </c>
      <c r="Y8" s="38">
        <f>IF($A8&gt;LastT,0,-V8+Y9/(1+Policy_Sched!$K8))</f>
        <v>-6413.1235553358047</v>
      </c>
      <c r="Z8" s="42">
        <f t="shared" si="14"/>
        <v>8523.8981055939512</v>
      </c>
      <c r="AA8" s="38">
        <f>IF($A8&gt;LastT,0,N8-V8-Q8/(1+Policy_Sched!$K8)+Z9/(1+Policy_Sched!$K8))</f>
        <v>8523.898105593953</v>
      </c>
    </row>
    <row r="9" spans="1:27" x14ac:dyDescent="0.2">
      <c r="A9" s="30">
        <f t="shared" si="15"/>
        <v>2</v>
      </c>
      <c r="B9" s="31">
        <f t="shared" si="16"/>
        <v>1</v>
      </c>
      <c r="C9" s="31">
        <f>IF($A9&gt;LastT,0,IF(AND($D$3&lt;&gt;0,$A9&gt;=T0,Policy_Sched!$B9&lt;LastAge),1+$D$3*$E$3,1))</f>
        <v>1</v>
      </c>
      <c r="D9" s="36">
        <f>IF($A9&gt;LastT,0,IF($C$3="up",MIN(Policy_Sched!$E9*(1+IF($A9&gt;=T0,$E$3,0)),$F$3),IF($C$3="down",MAX(Policy_Sched!$E9*(1-IF($A9&gt;=T0,$E$3,0)),Policy_Sched!$E9-$F$3),Policy_Sched!$E9)))</f>
        <v>0.12</v>
      </c>
      <c r="E9" s="37">
        <f t="shared" si="17"/>
        <v>0.77342086938600008</v>
      </c>
      <c r="F9" s="37">
        <f t="shared" si="0"/>
        <v>0</v>
      </c>
      <c r="G9" s="37">
        <f t="shared" si="1"/>
        <v>0.77342086938600008</v>
      </c>
      <c r="H9" s="37">
        <f t="shared" si="2"/>
        <v>0</v>
      </c>
      <c r="I9" s="37">
        <f t="shared" si="3"/>
        <v>0</v>
      </c>
      <c r="J9" s="37">
        <f t="shared" si="4"/>
        <v>0.77342086938600008</v>
      </c>
      <c r="K9" s="37">
        <f>IF($A9&gt;LastT,0,J9*Policy_Sched!$C9*Policy_Sched!$D9*C9)</f>
        <v>4.7642725554177602E-4</v>
      </c>
      <c r="L9" s="41">
        <f t="shared" si="5"/>
        <v>9.2810504326320001E-2</v>
      </c>
      <c r="M9" s="38">
        <f t="shared" si="6"/>
        <v>1035.7416990934148</v>
      </c>
      <c r="N9" s="38">
        <f t="shared" si="7"/>
        <v>2764.3375986161691</v>
      </c>
      <c r="O9" s="38">
        <f t="shared" si="8"/>
        <v>476.42725554177605</v>
      </c>
      <c r="P9" s="38">
        <f>Policy_Sched!$I9*(L9+I9)</f>
        <v>96.441952365242599</v>
      </c>
      <c r="Q9" s="42">
        <f t="shared" si="9"/>
        <v>572.86920790701868</v>
      </c>
      <c r="R9" s="38">
        <f t="shared" si="10"/>
        <v>0</v>
      </c>
      <c r="S9" s="38">
        <f t="shared" si="11"/>
        <v>0</v>
      </c>
      <c r="T9" s="38">
        <f>Policy_Sched!$J9*J9</f>
        <v>138.21687993080846</v>
      </c>
      <c r="U9" s="42">
        <f t="shared" si="12"/>
        <v>801.06424537216174</v>
      </c>
      <c r="V9" s="42">
        <f t="shared" si="13"/>
        <v>939.28112530297017</v>
      </c>
      <c r="W9" s="38">
        <f>IF($A9&gt;LastT,0,N9+W10/(1+Policy_Sched!$K9))</f>
        <v>17473.3718685932</v>
      </c>
      <c r="X9" s="38">
        <f>IF($A9&gt;LastT,0,(-Q9+X10)/(1+Policy_Sched!$K9))</f>
        <v>-4929.092081143931</v>
      </c>
      <c r="Y9" s="38">
        <f>IF($A9&gt;LastT,0,-V9+Y10/(1+Policy_Sched!$K9))</f>
        <v>-5425.2379023691037</v>
      </c>
      <c r="Z9" s="42">
        <f t="shared" si="14"/>
        <v>7119.0418850801661</v>
      </c>
      <c r="AA9" s="38">
        <f>IF($A9&gt;LastT,0,N9-V9-Q9/(1+Policy_Sched!$K9)+Z10/(1+Policy_Sched!$K9))</f>
        <v>7119.041885080167</v>
      </c>
    </row>
    <row r="10" spans="1:27" x14ac:dyDescent="0.2">
      <c r="A10" s="30">
        <f t="shared" si="15"/>
        <v>3</v>
      </c>
      <c r="B10" s="31">
        <f t="shared" si="16"/>
        <v>1</v>
      </c>
      <c r="C10" s="31">
        <f>IF($A10&gt;LastT,0,IF(AND($D$3&lt;&gt;0,$A10&gt;=T0,Policy_Sched!$B10&lt;LastAge),1+$D$3*$E$3,1))</f>
        <v>1</v>
      </c>
      <c r="D10" s="36">
        <f>IF($A10&gt;LastT,0,IF($C$3="up",MIN(Policy_Sched!$E10*(1+IF($A10&gt;=T0,$E$3,0)),$F$3),IF($C$3="down",MAX(Policy_Sched!$E10*(1-IF($A10&gt;=T0,$E$3,0)),Policy_Sched!$E10-$F$3),Policy_Sched!$E10)))</f>
        <v>0.12</v>
      </c>
      <c r="E10" s="37">
        <f t="shared" si="17"/>
        <v>0.68013393780413833</v>
      </c>
      <c r="F10" s="37">
        <f t="shared" si="0"/>
        <v>0</v>
      </c>
      <c r="G10" s="37">
        <f t="shared" si="1"/>
        <v>0.68013393780413833</v>
      </c>
      <c r="H10" s="37">
        <f t="shared" si="2"/>
        <v>0</v>
      </c>
      <c r="I10" s="37">
        <f t="shared" si="3"/>
        <v>0</v>
      </c>
      <c r="J10" s="37">
        <f t="shared" si="4"/>
        <v>0.68013393780413833</v>
      </c>
      <c r="K10" s="37">
        <f>IF($A10&gt;LastT,0,J10*Policy_Sched!$C10*Policy_Sched!$D10*C10)</f>
        <v>4.380062559458651E-4</v>
      </c>
      <c r="L10" s="41">
        <f t="shared" si="5"/>
        <v>8.1616072536496595E-2</v>
      </c>
      <c r="M10" s="38">
        <f t="shared" si="6"/>
        <v>1035.7416990934148</v>
      </c>
      <c r="N10" s="38">
        <f t="shared" si="7"/>
        <v>2430.9142548214813</v>
      </c>
      <c r="O10" s="38">
        <f t="shared" si="8"/>
        <v>438.00625594586512</v>
      </c>
      <c r="P10" s="38">
        <f>Policy_Sched!$I10*(L10+I10)</f>
        <v>113.18043975855261</v>
      </c>
      <c r="Q10" s="42">
        <f t="shared" si="9"/>
        <v>551.18669570441773</v>
      </c>
      <c r="R10" s="38">
        <f t="shared" si="10"/>
        <v>0</v>
      </c>
      <c r="S10" s="38">
        <f t="shared" si="11"/>
        <v>0</v>
      </c>
      <c r="T10" s="38">
        <f>Policy_Sched!$J10*J10</f>
        <v>121.54571274107407</v>
      </c>
      <c r="U10" s="42">
        <f t="shared" si="12"/>
        <v>704.44308035235315</v>
      </c>
      <c r="V10" s="42">
        <f t="shared" si="13"/>
        <v>825.98879309342726</v>
      </c>
      <c r="W10" s="38">
        <f>IF($A10&gt;LastT,0,N10+W11/(1+Policy_Sched!$K10))</f>
        <v>14929.669784026686</v>
      </c>
      <c r="X10" s="38">
        <f>IF($A10&gt;LastT,0,(-Q10+X11)/(1+Policy_Sched!$K10))</f>
        <v>-4430.1592544540708</v>
      </c>
      <c r="Y10" s="38">
        <f>IF($A10&gt;LastT,0,-V10+Y11/(1+Policy_Sched!$K10))</f>
        <v>-4553.2461287221249</v>
      </c>
      <c r="Z10" s="42">
        <f t="shared" si="14"/>
        <v>5946.2644008504903</v>
      </c>
      <c r="AA10" s="38">
        <f>IF($A10&gt;LastT,0,N10-V10-Q10/(1+Policy_Sched!$K10)+Z11/(1+Policy_Sched!$K10))</f>
        <v>5946.2644008504903</v>
      </c>
    </row>
    <row r="11" spans="1:27" x14ac:dyDescent="0.2">
      <c r="A11" s="30">
        <f t="shared" si="15"/>
        <v>4</v>
      </c>
      <c r="B11" s="31">
        <f t="shared" si="16"/>
        <v>1</v>
      </c>
      <c r="C11" s="31">
        <f>IF($A11&gt;LastT,0,IF(AND($D$3&lt;&gt;0,$A11&gt;=T0,Policy_Sched!$B11&lt;LastAge),1+$D$3*$E$3,1))</f>
        <v>1</v>
      </c>
      <c r="D11" s="36">
        <f>IF($A11&gt;LastT,0,IF($C$3="up",MIN(Policy_Sched!$E11*(1+IF($A11&gt;=T0,$E$3,0)),$F$3),IF($C$3="down",MAX(Policy_Sched!$E11*(1-IF($A11&gt;=T0,$E$3,0)),Policy_Sched!$E11-$F$3),Policy_Sched!$E11)))</f>
        <v>0.12</v>
      </c>
      <c r="E11" s="37">
        <f t="shared" si="17"/>
        <v>0.59807985901169591</v>
      </c>
      <c r="F11" s="37">
        <f t="shared" si="0"/>
        <v>0</v>
      </c>
      <c r="G11" s="37">
        <f t="shared" si="1"/>
        <v>0.59807985901169591</v>
      </c>
      <c r="H11" s="37">
        <f t="shared" si="2"/>
        <v>0</v>
      </c>
      <c r="I11" s="37">
        <f t="shared" si="3"/>
        <v>0</v>
      </c>
      <c r="J11" s="37">
        <f t="shared" si="4"/>
        <v>0.59807985901169591</v>
      </c>
      <c r="K11" s="37">
        <f>IF($A11&gt;LastT,0,J11*Policy_Sched!$C11*Policy_Sched!$D11*C11)</f>
        <v>3.9772310624277776E-4</v>
      </c>
      <c r="L11" s="41">
        <f t="shared" si="5"/>
        <v>7.1769583081403507E-2</v>
      </c>
      <c r="M11" s="38">
        <f t="shared" si="6"/>
        <v>1035.7416990934148</v>
      </c>
      <c r="N11" s="38">
        <f t="shared" si="7"/>
        <v>2137.6390354627988</v>
      </c>
      <c r="O11" s="38">
        <f t="shared" si="8"/>
        <v>397.72310624277776</v>
      </c>
      <c r="P11" s="38">
        <f>Policy_Sched!$I11*(L11+I11)</f>
        <v>122.69823362789157</v>
      </c>
      <c r="Q11" s="42">
        <f t="shared" si="9"/>
        <v>520.42133987066927</v>
      </c>
      <c r="R11" s="38">
        <f t="shared" si="10"/>
        <v>0</v>
      </c>
      <c r="S11" s="38">
        <f t="shared" si="11"/>
        <v>0</v>
      </c>
      <c r="T11" s="38">
        <f>Policy_Sched!$J11*J11</f>
        <v>106.88195177313995</v>
      </c>
      <c r="U11" s="42">
        <f t="shared" si="12"/>
        <v>619.45624936632385</v>
      </c>
      <c r="V11" s="42">
        <f t="shared" si="13"/>
        <v>726.33820113946376</v>
      </c>
      <c r="W11" s="38">
        <f>IF($A11&gt;LastT,0,N11+W12/(1+Policy_Sched!$K11))</f>
        <v>12686.236862143283</v>
      </c>
      <c r="X11" s="38">
        <f>IF($A11&gt;LastT,0,(-Q11+X12)/(1+Policy_Sched!$K11))</f>
        <v>-3945.4249475664633</v>
      </c>
      <c r="Y11" s="38">
        <f>IF($A11&gt;LastT,0,-V11+Y12/(1+Policy_Sched!$K11))</f>
        <v>-3783.1661956631283</v>
      </c>
      <c r="Z11" s="42">
        <f t="shared" si="14"/>
        <v>4957.6457189136909</v>
      </c>
      <c r="AA11" s="38">
        <f>IF($A11&gt;LastT,0,N11-V11-Q11/(1+Policy_Sched!$K11)+Z12/(1+Policy_Sched!$K11))</f>
        <v>4957.6457189136927</v>
      </c>
    </row>
    <row r="12" spans="1:27" x14ac:dyDescent="0.2">
      <c r="A12" s="30">
        <f t="shared" si="15"/>
        <v>5</v>
      </c>
      <c r="B12" s="31">
        <f t="shared" si="16"/>
        <v>1</v>
      </c>
      <c r="C12" s="31">
        <f>IF($A12&gt;LastT,0,IF(AND($D$3&lt;&gt;0,$A12&gt;=T0,Policy_Sched!$B12&lt;LastAge),1+$D$3*$E$3,1))</f>
        <v>1</v>
      </c>
      <c r="D12" s="36">
        <f>IF($A12&gt;LastT,0,IF($C$3="up",MIN(Policy_Sched!$E12*(1+IF($A12&gt;=T0,$E$3,0)),$F$3),IF($C$3="down",MAX(Policy_Sched!$E12*(1-IF($A12&gt;=T0,$E$3,0)),Policy_Sched!$E12-$F$3),Policy_Sched!$E12)))</f>
        <v>0.12</v>
      </c>
      <c r="E12" s="37">
        <f t="shared" si="17"/>
        <v>0.52591255282404969</v>
      </c>
      <c r="F12" s="37">
        <f t="shared" si="0"/>
        <v>0</v>
      </c>
      <c r="G12" s="37">
        <f t="shared" si="1"/>
        <v>0.52591255282404969</v>
      </c>
      <c r="H12" s="37">
        <f t="shared" si="2"/>
        <v>0</v>
      </c>
      <c r="I12" s="37">
        <f t="shared" si="3"/>
        <v>0</v>
      </c>
      <c r="J12" s="37">
        <f t="shared" si="4"/>
        <v>0.52591255282404969</v>
      </c>
      <c r="K12" s="37">
        <f>IF($A12&gt;LastT,0,J12*Policy_Sched!$C12*Policy_Sched!$D12*C12)</f>
        <v>3.6445739910706646E-4</v>
      </c>
      <c r="L12" s="41">
        <f t="shared" si="5"/>
        <v>6.3109506338885957E-2</v>
      </c>
      <c r="M12" s="38">
        <f t="shared" si="6"/>
        <v>1035.7416990934148</v>
      </c>
      <c r="N12" s="38">
        <f t="shared" si="7"/>
        <v>1879.7008212486805</v>
      </c>
      <c r="O12" s="38">
        <f t="shared" si="8"/>
        <v>364.45739910706646</v>
      </c>
      <c r="P12" s="38">
        <f>Policy_Sched!$I12*(L12+I12)</f>
        <v>126.66067421860295</v>
      </c>
      <c r="Q12" s="42">
        <f t="shared" si="9"/>
        <v>491.1180733256694</v>
      </c>
      <c r="R12" s="38">
        <f t="shared" si="10"/>
        <v>0</v>
      </c>
      <c r="S12" s="38">
        <f t="shared" si="11"/>
        <v>0</v>
      </c>
      <c r="T12" s="38">
        <f>Policy_Sched!$J12*J12</f>
        <v>0</v>
      </c>
      <c r="U12" s="42">
        <f t="shared" si="12"/>
        <v>544.70956103653646</v>
      </c>
      <c r="V12" s="42">
        <f t="shared" si="13"/>
        <v>544.70956103653646</v>
      </c>
      <c r="W12" s="38">
        <f>IF($A12&gt;LastT,0,N12+W13/(1+Policy_Sched!$K12))</f>
        <v>10706.826794080691</v>
      </c>
      <c r="X12" s="38">
        <f>IF($A12&gt;LastT,0,(-Q12+X13)/(1+Policy_Sched!$K12))</f>
        <v>-3484.1849819092904</v>
      </c>
      <c r="Y12" s="38">
        <f>IF($A12&gt;LastT,0,-V12+Y13/(1+Policy_Sched!$K12))</f>
        <v>-3102.6804144415191</v>
      </c>
      <c r="Z12" s="42">
        <f t="shared" si="14"/>
        <v>4119.9613977298814</v>
      </c>
      <c r="AA12" s="38">
        <f>IF($A12&gt;LastT,0,N12-V12-Q12/(1+Policy_Sched!$K12)+Z13/(1+Policy_Sched!$K12))</f>
        <v>4119.9613977298814</v>
      </c>
    </row>
    <row r="13" spans="1:27" x14ac:dyDescent="0.2">
      <c r="A13" s="30">
        <f t="shared" si="15"/>
        <v>6</v>
      </c>
      <c r="B13" s="31">
        <f t="shared" si="16"/>
        <v>1</v>
      </c>
      <c r="C13" s="31">
        <f>IF($A13&gt;LastT,0,IF(AND($D$3&lt;&gt;0,$A13&gt;=T0,Policy_Sched!$B13&lt;LastAge),1+$D$3*$E$3,1))</f>
        <v>1</v>
      </c>
      <c r="D13" s="36">
        <f>IF($A13&gt;LastT,0,IF($C$3="up",MIN(Policy_Sched!$E13*(1+IF($A13&gt;=T0,$E$3,0)),$F$3),IF($C$3="down",MAX(Policy_Sched!$E13*(1-IF($A13&gt;=T0,$E$3,0)),Policy_Sched!$E13-$F$3),Policy_Sched!$E13)))</f>
        <v>0.12</v>
      </c>
      <c r="E13" s="37">
        <f t="shared" si="17"/>
        <v>0.46243858908605667</v>
      </c>
      <c r="F13" s="37">
        <f t="shared" si="0"/>
        <v>0</v>
      </c>
      <c r="G13" s="37">
        <f t="shared" si="1"/>
        <v>0.46243858908605667</v>
      </c>
      <c r="H13" s="37">
        <f t="shared" si="2"/>
        <v>0</v>
      </c>
      <c r="I13" s="37">
        <f t="shared" si="3"/>
        <v>0</v>
      </c>
      <c r="J13" s="37">
        <f t="shared" si="4"/>
        <v>0.46243858908605667</v>
      </c>
      <c r="K13" s="37">
        <f>IF($A13&gt;LastT,0,J13*Policy_Sched!$C13*Policy_Sched!$D13*C13)</f>
        <v>3.3989236297825163E-4</v>
      </c>
      <c r="L13" s="41">
        <f t="shared" si="5"/>
        <v>5.5492630690326797E-2</v>
      </c>
      <c r="M13" s="38">
        <f t="shared" si="6"/>
        <v>1035.7416990934148</v>
      </c>
      <c r="N13" s="38">
        <f t="shared" si="7"/>
        <v>1652.8340900297135</v>
      </c>
      <c r="O13" s="38">
        <f t="shared" si="8"/>
        <v>339.89236297825164</v>
      </c>
      <c r="P13" s="38">
        <f>Policy_Sched!$I13*(L13+I13)</f>
        <v>125.57552196437869</v>
      </c>
      <c r="Q13" s="42">
        <f t="shared" si="9"/>
        <v>465.46788494263035</v>
      </c>
      <c r="R13" s="38">
        <f t="shared" si="10"/>
        <v>0</v>
      </c>
      <c r="S13" s="38">
        <f t="shared" si="11"/>
        <v>0</v>
      </c>
      <c r="T13" s="38">
        <f>Policy_Sched!$J13*J13</f>
        <v>0</v>
      </c>
      <c r="U13" s="42">
        <f t="shared" si="12"/>
        <v>478.96692998635382</v>
      </c>
      <c r="V13" s="42">
        <f t="shared" si="13"/>
        <v>478.96692998635382</v>
      </c>
      <c r="W13" s="38">
        <f>IF($A13&gt;LastT,0,N13+W14/(1+Policy_Sched!$K13))</f>
        <v>8959.5328624244903</v>
      </c>
      <c r="X13" s="38">
        <f>IF($A13&gt;LastT,0,(-Q13+X14)/(1+Policy_Sched!$K13))</f>
        <v>-3045.3296833122604</v>
      </c>
      <c r="Y13" s="38">
        <f>IF($A13&gt;LastT,0,-V13+Y14/(1+Policy_Sched!$K13))</f>
        <v>-2596.3404162060574</v>
      </c>
      <c r="Z13" s="42">
        <f t="shared" si="14"/>
        <v>3317.8627629061721</v>
      </c>
      <c r="AA13" s="38">
        <f>IF($A13&gt;LastT,0,N13-V13-Q13/(1+Policy_Sched!$K13)+Z14/(1+Policy_Sched!$K13))</f>
        <v>3317.862762906173</v>
      </c>
    </row>
    <row r="14" spans="1:27" x14ac:dyDescent="0.2">
      <c r="A14" s="30">
        <f t="shared" si="15"/>
        <v>7</v>
      </c>
      <c r="B14" s="31">
        <f t="shared" si="16"/>
        <v>1</v>
      </c>
      <c r="C14" s="31">
        <f>IF($A14&gt;LastT,0,IF(AND($D$3&lt;&gt;0,$A14&gt;=T0,Policy_Sched!$B14&lt;LastAge),1+$D$3*$E$3,1))</f>
        <v>1</v>
      </c>
      <c r="D14" s="36">
        <f>IF($A14&gt;LastT,0,IF($C$3="up",MIN(Policy_Sched!$E14*(1+IF($A14&gt;=T0,$E$3,0)),$F$3),IF($C$3="down",MAX(Policy_Sched!$E14*(1-IF($A14&gt;=T0,$E$3,0)),Policy_Sched!$E14-$F$3),Policy_Sched!$E14)))</f>
        <v>0.12</v>
      </c>
      <c r="E14" s="37">
        <f t="shared" si="17"/>
        <v>0.40660606603275162</v>
      </c>
      <c r="F14" s="37">
        <f t="shared" si="0"/>
        <v>0</v>
      </c>
      <c r="G14" s="37">
        <f t="shared" si="1"/>
        <v>0.40660606603275162</v>
      </c>
      <c r="H14" s="37">
        <f t="shared" si="2"/>
        <v>0</v>
      </c>
      <c r="I14" s="37">
        <f t="shared" si="3"/>
        <v>0</v>
      </c>
      <c r="J14" s="37">
        <f t="shared" si="4"/>
        <v>0.40660606603275162</v>
      </c>
      <c r="K14" s="37">
        <f>IF($A14&gt;LastT,0,J14*Policy_Sched!$C14*Policy_Sched!$D14*C14)</f>
        <v>3.2447164069413577E-4</v>
      </c>
      <c r="L14" s="41">
        <f t="shared" si="5"/>
        <v>4.879272792393019E-2</v>
      </c>
      <c r="M14" s="38">
        <f t="shared" si="6"/>
        <v>1035.7416990934148</v>
      </c>
      <c r="N14" s="38">
        <f t="shared" si="7"/>
        <v>1453.279166169976</v>
      </c>
      <c r="O14" s="38">
        <f t="shared" si="8"/>
        <v>324.47164069413577</v>
      </c>
      <c r="P14" s="38">
        <f>Policy_Sched!$I14*(L14+I14)</f>
        <v>119.58038513749646</v>
      </c>
      <c r="Q14" s="42">
        <f t="shared" si="9"/>
        <v>444.05202583163225</v>
      </c>
      <c r="R14" s="38">
        <f t="shared" si="10"/>
        <v>0</v>
      </c>
      <c r="S14" s="38">
        <f t="shared" si="11"/>
        <v>0</v>
      </c>
      <c r="T14" s="38">
        <f>Policy_Sched!$J14*J14</f>
        <v>0</v>
      </c>
      <c r="U14" s="42">
        <f t="shared" si="12"/>
        <v>421.13885769445136</v>
      </c>
      <c r="V14" s="42">
        <f t="shared" si="13"/>
        <v>421.13885769445136</v>
      </c>
      <c r="W14" s="38">
        <f>IF($A14&gt;LastT,0,N14+W15/(1+Policy_Sched!$K14))</f>
        <v>7416.2992539806974</v>
      </c>
      <c r="X14" s="38">
        <f>IF($A14&gt;LastT,0,(-Q14+X15)/(1+Policy_Sched!$K14))</f>
        <v>-2625.5417436193134</v>
      </c>
      <c r="Y14" s="38">
        <f>IF($A14&gt;LastT,0,-V14+Y15/(1+Policy_Sched!$K14))</f>
        <v>-2149.1340885129989</v>
      </c>
      <c r="Z14" s="42">
        <f t="shared" si="14"/>
        <v>2641.6234218483855</v>
      </c>
      <c r="AA14" s="38">
        <f>IF($A14&gt;LastT,0,N14-V14-Q14/(1+Policy_Sched!$K14)+Z15/(1+Policy_Sched!$K14))</f>
        <v>2641.6234218483855</v>
      </c>
    </row>
    <row r="15" spans="1:27" x14ac:dyDescent="0.2">
      <c r="A15" s="30">
        <f t="shared" si="15"/>
        <v>8</v>
      </c>
      <c r="B15" s="31">
        <f t="shared" si="16"/>
        <v>1</v>
      </c>
      <c r="C15" s="31">
        <f>IF($A15&gt;LastT,0,IF(AND($D$3&lt;&gt;0,$A15&gt;=T0,Policy_Sched!$B15&lt;LastAge),1+$D$3*$E$3,1))</f>
        <v>1</v>
      </c>
      <c r="D15" s="36">
        <f>IF($A15&gt;LastT,0,IF($C$3="up",MIN(Policy_Sched!$E15*(1+IF($A15&gt;=T0,$E$3,0)),$F$3),IF($C$3="down",MAX(Policy_Sched!$E15*(1-IF($A15&gt;=T0,$E$3,0)),Policy_Sched!$E15-$F$3),Policy_Sched!$E15)))</f>
        <v>0.12</v>
      </c>
      <c r="E15" s="37">
        <f t="shared" si="17"/>
        <v>0.35748886646812728</v>
      </c>
      <c r="F15" s="37">
        <f t="shared" si="0"/>
        <v>0</v>
      </c>
      <c r="G15" s="37">
        <f t="shared" si="1"/>
        <v>0.35748886646812728</v>
      </c>
      <c r="H15" s="37">
        <f t="shared" si="2"/>
        <v>0</v>
      </c>
      <c r="I15" s="37">
        <f t="shared" si="3"/>
        <v>0</v>
      </c>
      <c r="J15" s="37">
        <f t="shared" si="4"/>
        <v>0.35748886646812728</v>
      </c>
      <c r="K15" s="37">
        <f>IF($A15&gt;LastT,0,J15*Policy_Sched!$C15*Policy_Sched!$D15*C15)</f>
        <v>3.1280275815961136E-4</v>
      </c>
      <c r="L15" s="41">
        <f t="shared" si="5"/>
        <v>4.2898663976175269E-2</v>
      </c>
      <c r="M15" s="38">
        <f t="shared" si="6"/>
        <v>1035.7416990934148</v>
      </c>
      <c r="N15" s="38">
        <f t="shared" si="7"/>
        <v>1277.7259494549753</v>
      </c>
      <c r="O15" s="38">
        <f t="shared" si="8"/>
        <v>312.80275815961136</v>
      </c>
      <c r="P15" s="38">
        <f>Policy_Sched!$I15*(L15+I15)</f>
        <v>109.0974594861821</v>
      </c>
      <c r="Q15" s="42">
        <f t="shared" si="9"/>
        <v>421.90021764579348</v>
      </c>
      <c r="R15" s="38">
        <f t="shared" si="10"/>
        <v>0</v>
      </c>
      <c r="S15" s="38">
        <f t="shared" si="11"/>
        <v>0</v>
      </c>
      <c r="T15" s="38">
        <f>Policy_Sched!$J15*J15</f>
        <v>0</v>
      </c>
      <c r="U15" s="42">
        <f t="shared" si="12"/>
        <v>370.26612596267705</v>
      </c>
      <c r="V15" s="42">
        <f t="shared" si="13"/>
        <v>370.26612596267705</v>
      </c>
      <c r="W15" s="38">
        <f>IF($A15&gt;LastT,0,N15+W16/(1+Policy_Sched!$K15))</f>
        <v>6052.4653891278822</v>
      </c>
      <c r="X15" s="38">
        <f>IF($A15&gt;LastT,0,(-Q15+X16)/(1+Policy_Sched!$K15))</f>
        <v>-2220.8728439419706</v>
      </c>
      <c r="Y15" s="38">
        <f>IF($A15&gt;LastT,0,-V15+Y16/(1+Policy_Sched!$K15))</f>
        <v>-1753.9151592808257</v>
      </c>
      <c r="Z15" s="42">
        <f t="shared" si="14"/>
        <v>2077.6773859050859</v>
      </c>
      <c r="AA15" s="38">
        <f>IF($A15&gt;LastT,0,N15-V15-Q15/(1+Policy_Sched!$K15)+Z16/(1+Policy_Sched!$K15))</f>
        <v>2077.6773859050863</v>
      </c>
    </row>
    <row r="16" spans="1:27" x14ac:dyDescent="0.2">
      <c r="A16" s="30">
        <f t="shared" si="15"/>
        <v>9</v>
      </c>
      <c r="B16" s="31">
        <f t="shared" si="16"/>
        <v>1</v>
      </c>
      <c r="C16" s="31">
        <f>IF($A16&gt;LastT,0,IF(AND($D$3&lt;&gt;0,$A16&gt;=T0,Policy_Sched!$B16&lt;LastAge),1+$D$3*$E$3,1))</f>
        <v>1</v>
      </c>
      <c r="D16" s="36">
        <f>IF($A16&gt;LastT,0,IF($C$3="up",MIN(Policy_Sched!$E16*(1+IF($A16&gt;=T0,$E$3,0)),$F$3),IF($C$3="down",MAX(Policy_Sched!$E16*(1-IF($A16&gt;=T0,$E$3,0)),Policy_Sched!$E16-$F$3),Policy_Sched!$E16)))</f>
        <v>0.12</v>
      </c>
      <c r="E16" s="37">
        <f t="shared" si="17"/>
        <v>0.31427739973379243</v>
      </c>
      <c r="F16" s="37">
        <f t="shared" si="0"/>
        <v>0</v>
      </c>
      <c r="G16" s="37">
        <f t="shared" si="1"/>
        <v>0.31427739973379243</v>
      </c>
      <c r="H16" s="37">
        <f t="shared" si="2"/>
        <v>0</v>
      </c>
      <c r="I16" s="37">
        <f t="shared" si="3"/>
        <v>0</v>
      </c>
      <c r="J16" s="37">
        <f t="shared" si="4"/>
        <v>0.31427739973379243</v>
      </c>
      <c r="K16" s="37">
        <f>IF($A16&gt;LastT,0,J16*Policy_Sched!$C16*Policy_Sched!$D16*C16)</f>
        <v>2.9919208454657042E-4</v>
      </c>
      <c r="L16" s="41">
        <f t="shared" si="5"/>
        <v>3.7713287968055093E-2</v>
      </c>
      <c r="M16" s="38">
        <f t="shared" si="6"/>
        <v>1035.7416990934148</v>
      </c>
      <c r="N16" s="38">
        <f t="shared" si="7"/>
        <v>1123.2808253146052</v>
      </c>
      <c r="O16" s="38">
        <f t="shared" si="8"/>
        <v>299.19208454657041</v>
      </c>
      <c r="P16" s="38">
        <f>Policy_Sched!$I16*(L16+I16)</f>
        <v>95.297429241362735</v>
      </c>
      <c r="Q16" s="42">
        <f t="shared" si="9"/>
        <v>394.48951378793316</v>
      </c>
      <c r="R16" s="38">
        <f t="shared" si="10"/>
        <v>0</v>
      </c>
      <c r="S16" s="38">
        <f t="shared" si="11"/>
        <v>0</v>
      </c>
      <c r="T16" s="38">
        <f>Policy_Sched!$J16*J16</f>
        <v>0</v>
      </c>
      <c r="U16" s="42">
        <f t="shared" si="12"/>
        <v>325.5102079869385</v>
      </c>
      <c r="V16" s="42">
        <f t="shared" si="13"/>
        <v>325.5102079869385</v>
      </c>
      <c r="W16" s="38">
        <f>IF($A16&gt;LastT,0,N16+W17/(1+Policy_Sched!$K16))</f>
        <v>4846.3605312680002</v>
      </c>
      <c r="X16" s="38">
        <f>IF($A16&gt;LastT,0,(-Q16+X17)/(1+Policy_Sched!$K16))</f>
        <v>-1832.2857189553063</v>
      </c>
      <c r="Y16" s="38">
        <f>IF($A16&gt;LastT,0,-V16+Y17/(1+Policy_Sched!$K16))</f>
        <v>-1404.4037688179208</v>
      </c>
      <c r="Z16" s="42">
        <f t="shared" si="14"/>
        <v>1609.6710434947734</v>
      </c>
      <c r="AA16" s="38">
        <f>IF($A16&gt;LastT,0,N16-V16-Q16/(1+Policy_Sched!$K16)+Z17/(1+Policy_Sched!$K16))</f>
        <v>1609.6710434947731</v>
      </c>
    </row>
    <row r="17" spans="1:27" x14ac:dyDescent="0.2">
      <c r="A17" s="30">
        <f t="shared" si="15"/>
        <v>10</v>
      </c>
      <c r="B17" s="31">
        <f t="shared" si="16"/>
        <v>1</v>
      </c>
      <c r="C17" s="31">
        <f>IF($A17&gt;LastT,0,IF(AND($D$3&lt;&gt;0,$A17&gt;=T0,Policy_Sched!$B17&lt;LastAge),1+$D$3*$E$3,1))</f>
        <v>1</v>
      </c>
      <c r="D17" s="36">
        <f>IF($A17&gt;LastT,0,IF($C$3="up",MIN(Policy_Sched!$E17*(1+IF($A17&gt;=T0,$E$3,0)),$F$3),IF($C$3="down",MAX(Policy_Sched!$E17*(1-IF($A17&gt;=T0,$E$3,0)),Policy_Sched!$E17-$F$3),Policy_Sched!$E17)))</f>
        <v>0.12</v>
      </c>
      <c r="E17" s="37">
        <f t="shared" si="17"/>
        <v>0.27626491968119071</v>
      </c>
      <c r="F17" s="37">
        <f t="shared" si="0"/>
        <v>0</v>
      </c>
      <c r="G17" s="37">
        <f t="shared" si="1"/>
        <v>0.27626491968119071</v>
      </c>
      <c r="H17" s="37">
        <f t="shared" si="2"/>
        <v>0</v>
      </c>
      <c r="I17" s="37">
        <f t="shared" si="3"/>
        <v>0</v>
      </c>
      <c r="J17" s="37">
        <f t="shared" si="4"/>
        <v>0.27626491968119071</v>
      </c>
      <c r="K17" s="37">
        <f>IF($A17&gt;LastT,0,J17*Policy_Sched!$C17*Policy_Sched!$D17*C17)</f>
        <v>2.8427660235194521E-4</v>
      </c>
      <c r="L17" s="41">
        <f t="shared" si="5"/>
        <v>3.3151790361742886E-2</v>
      </c>
      <c r="M17" s="38">
        <f t="shared" si="6"/>
        <v>1035.7416990934148</v>
      </c>
      <c r="N17" s="38">
        <f t="shared" si="7"/>
        <v>987.41776293115288</v>
      </c>
      <c r="O17" s="38">
        <f t="shared" si="8"/>
        <v>284.2766023519452</v>
      </c>
      <c r="P17" s="38">
        <f>Policy_Sched!$I17*(L17+I17)</f>
        <v>79.518205972779029</v>
      </c>
      <c r="Q17" s="42">
        <f t="shared" si="9"/>
        <v>363.79480832472422</v>
      </c>
      <c r="R17" s="38">
        <f t="shared" si="10"/>
        <v>0</v>
      </c>
      <c r="S17" s="38">
        <f t="shared" si="11"/>
        <v>0</v>
      </c>
      <c r="T17" s="38">
        <f>Policy_Sched!$J17*J17</f>
        <v>0</v>
      </c>
      <c r="U17" s="42">
        <f t="shared" si="12"/>
        <v>286.13909731050222</v>
      </c>
      <c r="V17" s="42">
        <f t="shared" si="13"/>
        <v>286.13909731050222</v>
      </c>
      <c r="W17" s="38">
        <f>IF($A17&gt;LastT,0,N17+W18/(1+Policy_Sched!$K17))</f>
        <v>3778.9259015426956</v>
      </c>
      <c r="X17" s="38">
        <f>IF($A17&gt;LastT,0,(-Q17+X18)/(1+Policy_Sched!$K17))</f>
        <v>-1465.2804909517024</v>
      </c>
      <c r="Y17" s="38">
        <f>IF($A17&gt;LastT,0,-V17+Y18/(1+Policy_Sched!$K17))</f>
        <v>-1095.076964243447</v>
      </c>
      <c r="Z17" s="42">
        <f t="shared" si="14"/>
        <v>1218.5684463475461</v>
      </c>
      <c r="AA17" s="38">
        <f>IF($A17&gt;LastT,0,N17-V17-Q17/(1+Policy_Sched!$K17)+Z18/(1+Policy_Sched!$K17))</f>
        <v>1218.5684463475459</v>
      </c>
    </row>
    <row r="18" spans="1:27" x14ac:dyDescent="0.2">
      <c r="A18" s="30">
        <f t="shared" si="15"/>
        <v>11</v>
      </c>
      <c r="B18" s="31">
        <f t="shared" si="16"/>
        <v>1</v>
      </c>
      <c r="C18" s="31">
        <f>IF($A18&gt;LastT,0,IF(AND($D$3&lt;&gt;0,$A18&gt;=T0,Policy_Sched!$B18&lt;LastAge),1+$D$3*$E$3,1))</f>
        <v>1</v>
      </c>
      <c r="D18" s="36">
        <f>IF($A18&gt;LastT,0,IF($C$3="up",MIN(Policy_Sched!$E18*(1+IF($A18&gt;=T0,$E$3,0)),$F$3),IF($C$3="down",MAX(Policy_Sched!$E18*(1-IF($A18&gt;=T0,$E$3,0)),Policy_Sched!$E18-$F$3),Policy_Sched!$E18)))</f>
        <v>0.12</v>
      </c>
      <c r="E18" s="37">
        <f t="shared" si="17"/>
        <v>0.24282885271709592</v>
      </c>
      <c r="F18" s="37">
        <f t="shared" si="0"/>
        <v>0</v>
      </c>
      <c r="G18" s="37">
        <f t="shared" si="1"/>
        <v>0.24282885271709592</v>
      </c>
      <c r="H18" s="37">
        <f t="shared" si="2"/>
        <v>0</v>
      </c>
      <c r="I18" s="37">
        <f t="shared" si="3"/>
        <v>0</v>
      </c>
      <c r="J18" s="37">
        <f t="shared" si="4"/>
        <v>0.24282885271709592</v>
      </c>
      <c r="K18" s="37">
        <f>IF($A18&gt;LastT,0,J18*Policy_Sched!$C18*Policy_Sched!$D18*C18)</f>
        <v>2.7026851307412772E-4</v>
      </c>
      <c r="L18" s="41">
        <f t="shared" si="5"/>
        <v>2.913946232605151E-2</v>
      </c>
      <c r="M18" s="38">
        <f t="shared" si="6"/>
        <v>1035.7416990934148</v>
      </c>
      <c r="N18" s="38">
        <f t="shared" si="7"/>
        <v>867.91157850135858</v>
      </c>
      <c r="O18" s="38">
        <f t="shared" si="8"/>
        <v>270.26851307412772</v>
      </c>
      <c r="P18" s="38">
        <f>Policy_Sched!$I18*(L18+I18)</f>
        <v>62.639840089808104</v>
      </c>
      <c r="Q18" s="42">
        <f t="shared" si="9"/>
        <v>332.90835316393583</v>
      </c>
      <c r="R18" s="38">
        <f t="shared" si="10"/>
        <v>0</v>
      </c>
      <c r="S18" s="38">
        <f t="shared" si="11"/>
        <v>0</v>
      </c>
      <c r="T18" s="38">
        <f>Policy_Sched!$J18*J18</f>
        <v>0</v>
      </c>
      <c r="U18" s="42">
        <f t="shared" si="12"/>
        <v>251.50796850210952</v>
      </c>
      <c r="V18" s="42">
        <f t="shared" si="13"/>
        <v>251.50796850210952</v>
      </c>
      <c r="W18" s="38">
        <f>IF($A18&gt;LastT,0,N18+W19/(1+Policy_Sched!$K18))</f>
        <v>2833.3807606907153</v>
      </c>
      <c r="X18" s="38">
        <f>IF($A18&gt;LastT,0,(-Q18+X19)/(1+Policy_Sched!$K18))</f>
        <v>-1123.4648899912536</v>
      </c>
      <c r="Y18" s="38">
        <f>IF($A18&gt;LastT,0,-V18+Y19/(1+Policy_Sched!$K18))</f>
        <v>-821.07193493693899</v>
      </c>
      <c r="Z18" s="42">
        <f t="shared" si="14"/>
        <v>888.84393576252273</v>
      </c>
      <c r="AA18" s="38">
        <f>IF($A18&gt;LastT,0,N18-V18-Q18/(1+Policy_Sched!$K18)+Z19/(1+Policy_Sched!$K18))</f>
        <v>888.84393576252251</v>
      </c>
    </row>
    <row r="19" spans="1:27" x14ac:dyDescent="0.2">
      <c r="A19" s="30">
        <f t="shared" si="15"/>
        <v>12</v>
      </c>
      <c r="B19" s="31">
        <f t="shared" si="16"/>
        <v>1</v>
      </c>
      <c r="C19" s="31">
        <f>IF($A19&gt;LastT,0,IF(AND($D$3&lt;&gt;0,$A19&gt;=T0,Policy_Sched!$B19&lt;LastAge),1+$D$3*$E$3,1))</f>
        <v>1</v>
      </c>
      <c r="D19" s="36">
        <f>IF($A19&gt;LastT,0,IF($C$3="up",MIN(Policy_Sched!$E19*(1+IF($A19&gt;=T0,$E$3,0)),$F$3),IF($C$3="down",MAX(Policy_Sched!$E19*(1-IF($A19&gt;=T0,$E$3,0)),Policy_Sched!$E19-$F$3),Policy_Sched!$E19)))</f>
        <v>0.12</v>
      </c>
      <c r="E19" s="37">
        <f t="shared" si="17"/>
        <v>0.2134191218779703</v>
      </c>
      <c r="F19" s="37">
        <f t="shared" si="0"/>
        <v>0</v>
      </c>
      <c r="G19" s="37">
        <f t="shared" si="1"/>
        <v>0.2134191218779703</v>
      </c>
      <c r="H19" s="37">
        <f t="shared" si="2"/>
        <v>0</v>
      </c>
      <c r="I19" s="37">
        <f t="shared" si="3"/>
        <v>0</v>
      </c>
      <c r="J19" s="37">
        <f t="shared" si="4"/>
        <v>0.2134191218779703</v>
      </c>
      <c r="K19" s="37">
        <f>IF($A19&gt;LastT,0,J19*Policy_Sched!$C19*Policy_Sched!$D19*C19)</f>
        <v>2.5845055659422201E-4</v>
      </c>
      <c r="L19" s="41">
        <f t="shared" si="5"/>
        <v>2.5610294625356435E-2</v>
      </c>
      <c r="M19" s="38">
        <f t="shared" si="6"/>
        <v>1035.7416990934148</v>
      </c>
      <c r="N19" s="38">
        <f t="shared" si="7"/>
        <v>762.79620349432355</v>
      </c>
      <c r="O19" s="38">
        <f t="shared" si="8"/>
        <v>258.45055659422201</v>
      </c>
      <c r="P19" s="38">
        <f>Policy_Sched!$I19*(L19+I19)</f>
        <v>45.097853535263383</v>
      </c>
      <c r="Q19" s="42">
        <f t="shared" si="9"/>
        <v>303.54841012948538</v>
      </c>
      <c r="R19" s="38">
        <f t="shared" si="10"/>
        <v>0</v>
      </c>
      <c r="S19" s="38">
        <f t="shared" si="11"/>
        <v>0</v>
      </c>
      <c r="T19" s="38">
        <f>Policy_Sched!$J19*J19</f>
        <v>0</v>
      </c>
      <c r="U19" s="42">
        <f t="shared" si="12"/>
        <v>221.04708391291354</v>
      </c>
      <c r="V19" s="42">
        <f t="shared" si="13"/>
        <v>221.04708391291354</v>
      </c>
      <c r="W19" s="38">
        <f>IF($A19&gt;LastT,0,N19+W20/(1+Policy_Sched!$K19))</f>
        <v>1994.9512199221967</v>
      </c>
      <c r="X19" s="38">
        <f>IF($A19&gt;LastT,0,(-Q19+X20)/(1+Policy_Sched!$K19))</f>
        <v>-807.40851017718649</v>
      </c>
      <c r="Y19" s="38">
        <f>IF($A19&gt;LastT,0,-V19+Y20/(1+Policy_Sched!$K19))</f>
        <v>-578.10742593135183</v>
      </c>
      <c r="Z19" s="42">
        <f t="shared" si="14"/>
        <v>609.43528381365843</v>
      </c>
      <c r="AA19" s="38">
        <f>IF($A19&gt;LastT,0,N19-V19-Q19/(1+Policy_Sched!$K19)+Z20/(1+Policy_Sched!$K19))</f>
        <v>609.43528381365843</v>
      </c>
    </row>
    <row r="20" spans="1:27" x14ac:dyDescent="0.2">
      <c r="A20" s="30">
        <f t="shared" si="15"/>
        <v>13</v>
      </c>
      <c r="B20" s="31">
        <f t="shared" si="16"/>
        <v>1</v>
      </c>
      <c r="C20" s="31">
        <f>IF($A20&gt;LastT,0,IF(AND($D$3&lt;&gt;0,$A20&gt;=T0,Policy_Sched!$B20&lt;LastAge),1+$D$3*$E$3,1))</f>
        <v>1</v>
      </c>
      <c r="D20" s="36">
        <f>IF($A20&gt;LastT,0,IF($C$3="up",MIN(Policy_Sched!$E20*(1+IF($A20&gt;=T0,$E$3,0)),$F$3),IF($C$3="down",MAX(Policy_Sched!$E20*(1-IF($A20&gt;=T0,$E$3,0)),Policy_Sched!$E20-$F$3),Policy_Sched!$E20)))</f>
        <v>0.12</v>
      </c>
      <c r="E20" s="37">
        <f t="shared" si="17"/>
        <v>0.18755037669601965</v>
      </c>
      <c r="F20" s="37">
        <f t="shared" si="0"/>
        <v>0</v>
      </c>
      <c r="G20" s="37">
        <f t="shared" si="1"/>
        <v>0.18755037669601965</v>
      </c>
      <c r="H20" s="37">
        <f t="shared" si="2"/>
        <v>0</v>
      </c>
      <c r="I20" s="37">
        <f t="shared" si="3"/>
        <v>0</v>
      </c>
      <c r="J20" s="37">
        <f t="shared" si="4"/>
        <v>0.18755037669601965</v>
      </c>
      <c r="K20" s="37">
        <f>IF($A20&gt;LastT,0,J20*Policy_Sched!$C20*Policy_Sched!$D20*C20)</f>
        <v>2.494420010057061E-4</v>
      </c>
      <c r="L20" s="41">
        <f t="shared" si="5"/>
        <v>2.2506045203522358E-2</v>
      </c>
      <c r="M20" s="38">
        <f t="shared" si="6"/>
        <v>1035.7416990934148</v>
      </c>
      <c r="N20" s="38">
        <f t="shared" si="7"/>
        <v>670.33691287257318</v>
      </c>
      <c r="O20" s="38">
        <f t="shared" si="8"/>
        <v>249.44200100570609</v>
      </c>
      <c r="P20" s="38">
        <f>Policy_Sched!$I20*(L20+I20)</f>
        <v>27.062957774892588</v>
      </c>
      <c r="Q20" s="42">
        <f t="shared" si="9"/>
        <v>276.50495878059866</v>
      </c>
      <c r="R20" s="38">
        <f t="shared" si="10"/>
        <v>0</v>
      </c>
      <c r="S20" s="38">
        <f t="shared" si="11"/>
        <v>0</v>
      </c>
      <c r="T20" s="38">
        <f>Policy_Sched!$J20*J20</f>
        <v>0</v>
      </c>
      <c r="U20" s="42">
        <f t="shared" si="12"/>
        <v>194.25374582474538</v>
      </c>
      <c r="V20" s="42">
        <f t="shared" si="13"/>
        <v>194.25374582474538</v>
      </c>
      <c r="W20" s="38">
        <f>IF($A20&gt;LastT,0,N20+W21/(1+Policy_Sched!$K20))</f>
        <v>1250.6373416742913</v>
      </c>
      <c r="X20" s="38">
        <f>IF($A20&gt;LastT,0,(-Q20+X21)/(1+Policy_Sched!$K20))</f>
        <v>-515.9712277003589</v>
      </c>
      <c r="Y20" s="38">
        <f>IF($A20&gt;LastT,0,-V20+Y21/(1+Policy_Sched!$K20))</f>
        <v>-362.41624714871489</v>
      </c>
      <c r="Z20" s="42">
        <f t="shared" si="14"/>
        <v>372.24986682521751</v>
      </c>
      <c r="AA20" s="38">
        <f>IF($A20&gt;LastT,0,N20-V20-Q20/(1+Policy_Sched!$K20)+Z21/(1+Policy_Sched!$K20))</f>
        <v>372.24986682521751</v>
      </c>
    </row>
    <row r="21" spans="1:27" x14ac:dyDescent="0.2">
      <c r="A21" s="30">
        <f t="shared" si="15"/>
        <v>14</v>
      </c>
      <c r="B21" s="31">
        <f t="shared" si="16"/>
        <v>1</v>
      </c>
      <c r="C21" s="31">
        <f>IF($A21&gt;LastT,0,IF(AND($D$3&lt;&gt;0,$A21&gt;=T0,Policy_Sched!$B21&lt;LastAge),1+$D$3*$E$3,1))</f>
        <v>1</v>
      </c>
      <c r="D21" s="36">
        <f>IF($A21&gt;LastT,0,IF($C$3="up",MIN(Policy_Sched!$E21*(1+IF($A21&gt;=T0,$E$3,0)),$F$3),IF($C$3="down",MAX(Policy_Sched!$E21*(1-IF($A21&gt;=T0,$E$3,0)),Policy_Sched!$E21-$F$3),Policy_Sched!$E21)))</f>
        <v>0.12</v>
      </c>
      <c r="E21" s="37">
        <f t="shared" si="17"/>
        <v>0.16479488949149157</v>
      </c>
      <c r="F21" s="37">
        <f t="shared" si="0"/>
        <v>0</v>
      </c>
      <c r="G21" s="37">
        <f t="shared" si="1"/>
        <v>0.16479488949149157</v>
      </c>
      <c r="H21" s="37">
        <f t="shared" si="2"/>
        <v>0</v>
      </c>
      <c r="I21" s="37">
        <f t="shared" si="3"/>
        <v>0</v>
      </c>
      <c r="J21" s="37">
        <f t="shared" si="4"/>
        <v>0.16479488949149157</v>
      </c>
      <c r="K21" s="37">
        <f>IF($A21&gt;LastT,0,J21*Policy_Sched!$C21*Policy_Sched!$D21*C21)</f>
        <v>2.4224848755249258E-4</v>
      </c>
      <c r="L21" s="41">
        <f t="shared" si="5"/>
        <v>1.9775386738978988E-2</v>
      </c>
      <c r="M21" s="38">
        <f t="shared" si="6"/>
        <v>1035.7416990934148</v>
      </c>
      <c r="N21" s="38">
        <f t="shared" si="7"/>
        <v>589.00493523374382</v>
      </c>
      <c r="O21" s="38">
        <f t="shared" si="8"/>
        <v>242.24848755249258</v>
      </c>
      <c r="P21" s="38">
        <f>Policy_Sched!$I21*(L21+I21)</f>
        <v>8.6654373428020133</v>
      </c>
      <c r="Q21" s="42">
        <f t="shared" si="9"/>
        <v>250.9139248952946</v>
      </c>
      <c r="R21" s="38">
        <f t="shared" si="10"/>
        <v>0</v>
      </c>
      <c r="S21" s="38">
        <f t="shared" si="11"/>
        <v>0</v>
      </c>
      <c r="T21" s="38">
        <f>Policy_Sched!$J21*J21</f>
        <v>0</v>
      </c>
      <c r="U21" s="42">
        <f t="shared" si="12"/>
        <v>170.684938843829</v>
      </c>
      <c r="V21" s="42">
        <f t="shared" si="13"/>
        <v>170.684938843829</v>
      </c>
      <c r="W21" s="38">
        <f>IF($A21&gt;LastT,0,N21+W22/(1+Policy_Sched!$K21))</f>
        <v>589.00493523374382</v>
      </c>
      <c r="X21" s="38">
        <f>IF($A21&gt;LastT,0,(-Q21+X22)/(1+Policy_Sched!$K21))</f>
        <v>-247.20583733526564</v>
      </c>
      <c r="Y21" s="38">
        <f>IF($A21&gt;LastT,0,-V21+Y22/(1+Policy_Sched!$K21))</f>
        <v>-170.684938843829</v>
      </c>
      <c r="Z21" s="42">
        <f t="shared" si="14"/>
        <v>171.11415905464918</v>
      </c>
      <c r="AA21" s="38">
        <f>IF($A21&gt;LastT,0,N21-V21-Q21/(1+Policy_Sched!$K21)+Z22/(1+Policy_Sched!$K21))</f>
        <v>171.11415905464918</v>
      </c>
    </row>
    <row r="22" spans="1:27" x14ac:dyDescent="0.2">
      <c r="A22" s="30">
        <f t="shared" si="15"/>
        <v>15</v>
      </c>
      <c r="B22" s="31">
        <f t="shared" si="16"/>
        <v>1</v>
      </c>
      <c r="C22" s="31">
        <f>IF($A22&gt;LastT,0,IF(AND($D$3&lt;&gt;0,$A22&gt;=T0,Policy_Sched!$B22&lt;LastAge),1+$D$3*$E$3,1))</f>
        <v>1</v>
      </c>
      <c r="D22" s="36">
        <f>IF($A22&gt;LastT,0,IF($C$3="up",MIN(Policy_Sched!$E22*(1+IF($A22&gt;=T0,$E$3,0)),$F$3),IF($C$3="down",MAX(Policy_Sched!$E22*(1-IF($A22&gt;=T0,$E$3,0)),Policy_Sched!$E22-$F$3),Policy_Sched!$E22)))</f>
        <v>0.12</v>
      </c>
      <c r="E22" s="37">
        <f t="shared" si="17"/>
        <v>0.14477725426496008</v>
      </c>
      <c r="F22" s="37">
        <f t="shared" si="0"/>
        <v>0.14477725426496008</v>
      </c>
      <c r="G22" s="37">
        <f t="shared" si="1"/>
        <v>0</v>
      </c>
      <c r="H22" s="37">
        <f t="shared" si="2"/>
        <v>0</v>
      </c>
      <c r="I22" s="37">
        <f t="shared" si="3"/>
        <v>0</v>
      </c>
      <c r="J22" s="37">
        <f t="shared" si="4"/>
        <v>0</v>
      </c>
      <c r="K22" s="37">
        <f>IF($A22&gt;LastT,0,J22*Policy_Sched!$C22*Policy_Sched!$D22*C22)</f>
        <v>0</v>
      </c>
      <c r="L22" s="41">
        <f t="shared" si="5"/>
        <v>0</v>
      </c>
      <c r="M22" s="38">
        <f t="shared" si="6"/>
        <v>1035.7416990934148</v>
      </c>
      <c r="N22" s="38">
        <f t="shared" si="7"/>
        <v>0</v>
      </c>
      <c r="O22" s="38">
        <f t="shared" si="8"/>
        <v>0</v>
      </c>
      <c r="P22" s="38">
        <f>Policy_Sched!$I22*(L22+I22)</f>
        <v>0</v>
      </c>
      <c r="Q22" s="42">
        <f t="shared" si="9"/>
        <v>0</v>
      </c>
      <c r="R22" s="38">
        <f t="shared" si="10"/>
        <v>0</v>
      </c>
      <c r="S22" s="38">
        <f t="shared" si="11"/>
        <v>0</v>
      </c>
      <c r="T22" s="38">
        <f>Policy_Sched!$J22*J22</f>
        <v>0</v>
      </c>
      <c r="U22" s="42">
        <f t="shared" si="12"/>
        <v>0</v>
      </c>
      <c r="V22" s="42">
        <f t="shared" si="13"/>
        <v>0</v>
      </c>
      <c r="W22" s="38">
        <f>IF($A22&gt;LastT,0,N22+W23/(1+Policy_Sched!$K22))</f>
        <v>0</v>
      </c>
      <c r="X22" s="38">
        <f>IF($A22&gt;LastT,0,(-Q22+X23)/(1+Policy_Sched!$K22))</f>
        <v>0</v>
      </c>
      <c r="Y22" s="38">
        <f>IF($A22&gt;LastT,0,-V22+Y23/(1+Policy_Sched!$K22))</f>
        <v>0</v>
      </c>
      <c r="Z22" s="42">
        <f t="shared" si="14"/>
        <v>0</v>
      </c>
      <c r="AA22" s="38">
        <f>IF($A22&gt;LastT,0,N22-V22-Q22/(1+Policy_Sched!$K22)+Z23/(1+Policy_Sched!$K22))</f>
        <v>0</v>
      </c>
    </row>
    <row r="23" spans="1:27" x14ac:dyDescent="0.2">
      <c r="A23" s="30">
        <f t="shared" si="15"/>
        <v>16</v>
      </c>
      <c r="B23" s="31">
        <f t="shared" si="16"/>
        <v>0</v>
      </c>
      <c r="C23" s="31">
        <f>IF($A23&gt;LastT,0,IF(AND($D$3&lt;&gt;0,$A23&gt;=T0,Policy_Sched!$B23&lt;LastAge),1+$D$3*$E$3,1))</f>
        <v>0</v>
      </c>
      <c r="D23" s="36">
        <f>IF($A23&gt;LastT,0,IF($C$3="up",MIN(Policy_Sched!$E23*(1+IF($A23&gt;=T0,$E$3,0)),$F$3),IF($C$3="down",MAX(Policy_Sched!$E23*(1-IF($A23&gt;=T0,$E$3,0)),Policy_Sched!$E23-$F$3),Policy_Sched!$E23)))</f>
        <v>0</v>
      </c>
      <c r="E23" s="37">
        <f t="shared" si="17"/>
        <v>0</v>
      </c>
      <c r="F23" s="37">
        <f t="shared" si="0"/>
        <v>0</v>
      </c>
      <c r="G23" s="37">
        <f t="shared" si="1"/>
        <v>0</v>
      </c>
      <c r="H23" s="37">
        <f t="shared" si="2"/>
        <v>0</v>
      </c>
      <c r="I23" s="37">
        <f t="shared" si="3"/>
        <v>0</v>
      </c>
      <c r="J23" s="37">
        <f t="shared" si="4"/>
        <v>0</v>
      </c>
      <c r="K23" s="37">
        <f>IF($A23&gt;LastT,0,J23*Policy_Sched!$C23*Policy_Sched!$D23*C23)</f>
        <v>0</v>
      </c>
      <c r="L23" s="41">
        <f t="shared" si="5"/>
        <v>0</v>
      </c>
      <c r="M23" s="38">
        <f t="shared" si="6"/>
        <v>0</v>
      </c>
      <c r="N23" s="38">
        <f t="shared" si="7"/>
        <v>0</v>
      </c>
      <c r="O23" s="38">
        <f t="shared" si="8"/>
        <v>0</v>
      </c>
      <c r="P23" s="38">
        <f>Policy_Sched!$I23*(L23+I23)</f>
        <v>0</v>
      </c>
      <c r="Q23" s="42">
        <f t="shared" si="9"/>
        <v>0</v>
      </c>
      <c r="R23" s="38">
        <f t="shared" si="10"/>
        <v>0</v>
      </c>
      <c r="S23" s="38">
        <f t="shared" si="11"/>
        <v>0</v>
      </c>
      <c r="T23" s="38">
        <f>Policy_Sched!$J23*J23</f>
        <v>0</v>
      </c>
      <c r="U23" s="42">
        <f t="shared" si="12"/>
        <v>0</v>
      </c>
      <c r="V23" s="42">
        <f t="shared" si="13"/>
        <v>0</v>
      </c>
      <c r="W23" s="38">
        <f>IF($A23&gt;LastT,0,N23+W24/(1+Policy_Sched!$K23))</f>
        <v>0</v>
      </c>
      <c r="X23" s="38">
        <f>IF($A23&gt;LastT,0,(-Q23+X24)/(1+Policy_Sched!$K23))</f>
        <v>0</v>
      </c>
      <c r="Y23" s="38">
        <f>IF($A23&gt;LastT,0,-V23+Y24/(1+Policy_Sched!$K23))</f>
        <v>0</v>
      </c>
      <c r="Z23" s="42">
        <f t="shared" si="14"/>
        <v>0</v>
      </c>
      <c r="AA23" s="38">
        <f>IF($A23&gt;LastT,0,N23-V23-Q23/(1+Policy_Sched!$K23)+Z24/(1+Policy_Sched!$K23))</f>
        <v>0</v>
      </c>
    </row>
    <row r="24" spans="1:27" x14ac:dyDescent="0.2">
      <c r="A24" s="30">
        <f t="shared" si="15"/>
        <v>17</v>
      </c>
      <c r="B24" s="31">
        <f t="shared" si="16"/>
        <v>0</v>
      </c>
      <c r="C24" s="31">
        <f>IF($A24&gt;LastT,0,IF(AND($D$3&lt;&gt;0,$A24&gt;=T0,Policy_Sched!$B24&lt;LastAge),1+$D$3*$E$3,1))</f>
        <v>0</v>
      </c>
      <c r="D24" s="36">
        <f>IF($A24&gt;LastT,0,IF($C$3="up",MIN(Policy_Sched!$E24*(1+IF($A24&gt;=T0,$E$3,0)),$F$3),IF($C$3="down",MAX(Policy_Sched!$E24*(1-IF($A24&gt;=T0,$E$3,0)),Policy_Sched!$E24-$F$3),Policy_Sched!$E24)))</f>
        <v>0</v>
      </c>
      <c r="E24" s="37">
        <f t="shared" si="17"/>
        <v>0</v>
      </c>
      <c r="F24" s="37">
        <f t="shared" si="0"/>
        <v>0</v>
      </c>
      <c r="G24" s="37">
        <f t="shared" si="1"/>
        <v>0</v>
      </c>
      <c r="H24" s="37">
        <f t="shared" si="2"/>
        <v>0</v>
      </c>
      <c r="I24" s="37">
        <f t="shared" si="3"/>
        <v>0</v>
      </c>
      <c r="J24" s="37">
        <f t="shared" si="4"/>
        <v>0</v>
      </c>
      <c r="K24" s="37">
        <f>IF($A24&gt;LastT,0,J24*Policy_Sched!$C24*Policy_Sched!$D24*C24)</f>
        <v>0</v>
      </c>
      <c r="L24" s="41">
        <f t="shared" si="5"/>
        <v>0</v>
      </c>
      <c r="M24" s="38">
        <f t="shared" si="6"/>
        <v>0</v>
      </c>
      <c r="N24" s="38">
        <f t="shared" si="7"/>
        <v>0</v>
      </c>
      <c r="O24" s="38">
        <f t="shared" si="8"/>
        <v>0</v>
      </c>
      <c r="P24" s="38">
        <f>Policy_Sched!$I24*(L24+I24)</f>
        <v>0</v>
      </c>
      <c r="Q24" s="42">
        <f t="shared" si="9"/>
        <v>0</v>
      </c>
      <c r="R24" s="38">
        <f t="shared" si="10"/>
        <v>0</v>
      </c>
      <c r="S24" s="38">
        <f t="shared" si="11"/>
        <v>0</v>
      </c>
      <c r="T24" s="38">
        <f>Policy_Sched!$J24*J24</f>
        <v>0</v>
      </c>
      <c r="U24" s="42">
        <f t="shared" si="12"/>
        <v>0</v>
      </c>
      <c r="V24" s="42">
        <f t="shared" si="13"/>
        <v>0</v>
      </c>
      <c r="W24" s="38">
        <f>IF($A24&gt;LastT,0,N24+W25/(1+Policy_Sched!$K24))</f>
        <v>0</v>
      </c>
      <c r="X24" s="38">
        <f>IF($A24&gt;LastT,0,(-Q24+X25)/(1+Policy_Sched!$K24))</f>
        <v>0</v>
      </c>
      <c r="Y24" s="38">
        <f>IF($A24&gt;LastT,0,-V24+Y25/(1+Policy_Sched!$K24))</f>
        <v>0</v>
      </c>
      <c r="Z24" s="42">
        <f t="shared" si="14"/>
        <v>0</v>
      </c>
      <c r="AA24" s="38">
        <f>IF($A24&gt;LastT,0,N24-V24-Q24/(1+Policy_Sched!$K24)+Z25/(1+Policy_Sched!$K24))</f>
        <v>0</v>
      </c>
    </row>
    <row r="25" spans="1:27" x14ac:dyDescent="0.2">
      <c r="A25" s="30">
        <f t="shared" si="15"/>
        <v>18</v>
      </c>
      <c r="B25" s="31">
        <f t="shared" si="16"/>
        <v>0</v>
      </c>
      <c r="C25" s="31">
        <f>IF($A25&gt;LastT,0,IF(AND($D$3&lt;&gt;0,$A25&gt;=T0,Policy_Sched!$B25&lt;LastAge),1+$D$3*$E$3,1))</f>
        <v>0</v>
      </c>
      <c r="D25" s="36">
        <f>IF($A25&gt;LastT,0,IF($C$3="up",MIN(Policy_Sched!$E25*(1+IF($A25&gt;=T0,$E$3,0)),$F$3),IF($C$3="down",MAX(Policy_Sched!$E25*(1-IF($A25&gt;=T0,$E$3,0)),Policy_Sched!$E25-$F$3),Policy_Sched!$E25)))</f>
        <v>0</v>
      </c>
      <c r="E25" s="37">
        <f t="shared" si="17"/>
        <v>0</v>
      </c>
      <c r="F25" s="37">
        <f t="shared" si="0"/>
        <v>0</v>
      </c>
      <c r="G25" s="37">
        <f t="shared" si="1"/>
        <v>0</v>
      </c>
      <c r="H25" s="37">
        <f t="shared" si="2"/>
        <v>0</v>
      </c>
      <c r="I25" s="37">
        <f t="shared" si="3"/>
        <v>0</v>
      </c>
      <c r="J25" s="37">
        <f t="shared" si="4"/>
        <v>0</v>
      </c>
      <c r="K25" s="37">
        <f>IF($A25&gt;LastT,0,J25*Policy_Sched!$C25*Policy_Sched!$D25*C25)</f>
        <v>0</v>
      </c>
      <c r="L25" s="41">
        <f t="shared" si="5"/>
        <v>0</v>
      </c>
      <c r="M25" s="38">
        <f t="shared" si="6"/>
        <v>0</v>
      </c>
      <c r="N25" s="38">
        <f t="shared" si="7"/>
        <v>0</v>
      </c>
      <c r="O25" s="38">
        <f t="shared" si="8"/>
        <v>0</v>
      </c>
      <c r="P25" s="38">
        <f>Policy_Sched!$I25*(L25+I25)</f>
        <v>0</v>
      </c>
      <c r="Q25" s="42">
        <f t="shared" si="9"/>
        <v>0</v>
      </c>
      <c r="R25" s="38">
        <f t="shared" si="10"/>
        <v>0</v>
      </c>
      <c r="S25" s="38">
        <f t="shared" si="11"/>
        <v>0</v>
      </c>
      <c r="T25" s="38">
        <f>Policy_Sched!$J25*J25</f>
        <v>0</v>
      </c>
      <c r="U25" s="42">
        <f t="shared" si="12"/>
        <v>0</v>
      </c>
      <c r="V25" s="42">
        <f t="shared" si="13"/>
        <v>0</v>
      </c>
      <c r="W25" s="38">
        <f>IF($A25&gt;LastT,0,N25+W26/(1+Policy_Sched!$K25))</f>
        <v>0</v>
      </c>
      <c r="X25" s="38">
        <f>IF($A25&gt;LastT,0,(-Q25+X26)/(1+Policy_Sched!$K25))</f>
        <v>0</v>
      </c>
      <c r="Y25" s="38">
        <f>IF($A25&gt;LastT,0,-V25+Y26/(1+Policy_Sched!$K25))</f>
        <v>0</v>
      </c>
      <c r="Z25" s="42">
        <f t="shared" si="14"/>
        <v>0</v>
      </c>
      <c r="AA25" s="38">
        <f>IF($A25&gt;LastT,0,N25-V25-Q25/(1+Policy_Sched!$K25)+Z26/(1+Policy_Sched!$K25))</f>
        <v>0</v>
      </c>
    </row>
    <row r="26" spans="1:27" x14ac:dyDescent="0.2">
      <c r="A26" s="30">
        <f t="shared" si="15"/>
        <v>19</v>
      </c>
      <c r="B26" s="31">
        <f t="shared" si="16"/>
        <v>0</v>
      </c>
      <c r="C26" s="31">
        <f>IF($A26&gt;LastT,0,IF(AND($D$3&lt;&gt;0,$A26&gt;=T0,Policy_Sched!$B26&lt;LastAge),1+$D$3*$E$3,1))</f>
        <v>0</v>
      </c>
      <c r="D26" s="36">
        <f>IF($A26&gt;LastT,0,IF($C$3="up",MIN(Policy_Sched!$E26*(1+IF($A26&gt;=T0,$E$3,0)),$F$3),IF($C$3="down",MAX(Policy_Sched!$E26*(1-IF($A26&gt;=T0,$E$3,0)),Policy_Sched!$E26-$F$3),Policy_Sched!$E26)))</f>
        <v>0</v>
      </c>
      <c r="E26" s="37">
        <f t="shared" si="17"/>
        <v>0</v>
      </c>
      <c r="F26" s="37">
        <f t="shared" si="0"/>
        <v>0</v>
      </c>
      <c r="G26" s="37">
        <f t="shared" si="1"/>
        <v>0</v>
      </c>
      <c r="H26" s="37">
        <f t="shared" si="2"/>
        <v>0</v>
      </c>
      <c r="I26" s="37">
        <f t="shared" si="3"/>
        <v>0</v>
      </c>
      <c r="J26" s="37">
        <f t="shared" si="4"/>
        <v>0</v>
      </c>
      <c r="K26" s="37">
        <f>IF($A26&gt;LastT,0,J26*Policy_Sched!$C26*Policy_Sched!$D26*C26)</f>
        <v>0</v>
      </c>
      <c r="L26" s="41">
        <f t="shared" si="5"/>
        <v>0</v>
      </c>
      <c r="M26" s="38">
        <f t="shared" si="6"/>
        <v>0</v>
      </c>
      <c r="N26" s="38">
        <f t="shared" si="7"/>
        <v>0</v>
      </c>
      <c r="O26" s="38">
        <f t="shared" si="8"/>
        <v>0</v>
      </c>
      <c r="P26" s="38">
        <f>Policy_Sched!$I26*(L26+I26)</f>
        <v>0</v>
      </c>
      <c r="Q26" s="42">
        <f t="shared" si="9"/>
        <v>0</v>
      </c>
      <c r="R26" s="38">
        <f t="shared" si="10"/>
        <v>0</v>
      </c>
      <c r="S26" s="38">
        <f t="shared" si="11"/>
        <v>0</v>
      </c>
      <c r="T26" s="38">
        <f>Policy_Sched!$J26*J26</f>
        <v>0</v>
      </c>
      <c r="U26" s="42">
        <f t="shared" si="12"/>
        <v>0</v>
      </c>
      <c r="V26" s="42">
        <f t="shared" si="13"/>
        <v>0</v>
      </c>
      <c r="W26" s="38">
        <f>IF($A26&gt;LastT,0,N26+W27/(1+Policy_Sched!$K26))</f>
        <v>0</v>
      </c>
      <c r="X26" s="38">
        <f>IF($A26&gt;LastT,0,(-Q26+X27)/(1+Policy_Sched!$K26))</f>
        <v>0</v>
      </c>
      <c r="Y26" s="38">
        <f>IF($A26&gt;LastT,0,-V26+Y27/(1+Policy_Sched!$K26))</f>
        <v>0</v>
      </c>
      <c r="Z26" s="42">
        <f t="shared" si="14"/>
        <v>0</v>
      </c>
      <c r="AA26" s="38">
        <f>IF($A26&gt;LastT,0,N26-V26-Q26/(1+Policy_Sched!$K26)+Z27/(1+Policy_Sched!$K26))</f>
        <v>0</v>
      </c>
    </row>
    <row r="27" spans="1:27" x14ac:dyDescent="0.2">
      <c r="A27" s="30">
        <f t="shared" si="15"/>
        <v>20</v>
      </c>
      <c r="B27" s="31">
        <f t="shared" si="16"/>
        <v>0</v>
      </c>
      <c r="C27" s="31">
        <f>IF($A27&gt;LastT,0,IF(AND($D$3&lt;&gt;0,$A27&gt;=T0,Policy_Sched!$B27&lt;LastAge),1+$D$3*$E$3,1))</f>
        <v>0</v>
      </c>
      <c r="D27" s="36">
        <f>IF($A27&gt;LastT,0,IF($C$3="up",MIN(Policy_Sched!$E27*(1+IF($A27&gt;=T0,$E$3,0)),$F$3),IF($C$3="down",MAX(Policy_Sched!$E27*(1-IF($A27&gt;=T0,$E$3,0)),Policy_Sched!$E27-$F$3),Policy_Sched!$E27)))</f>
        <v>0</v>
      </c>
      <c r="E27" s="37">
        <f t="shared" si="17"/>
        <v>0</v>
      </c>
      <c r="F27" s="37">
        <f t="shared" si="0"/>
        <v>0</v>
      </c>
      <c r="G27" s="37">
        <f t="shared" si="1"/>
        <v>0</v>
      </c>
      <c r="H27" s="37">
        <f t="shared" si="2"/>
        <v>0</v>
      </c>
      <c r="I27" s="37">
        <f t="shared" si="3"/>
        <v>0</v>
      </c>
      <c r="J27" s="37">
        <f t="shared" si="4"/>
        <v>0</v>
      </c>
      <c r="K27" s="37">
        <f>IF($A27&gt;LastT,0,J27*Policy_Sched!$C27*Policy_Sched!$D27*C27)</f>
        <v>0</v>
      </c>
      <c r="L27" s="41">
        <f t="shared" si="5"/>
        <v>0</v>
      </c>
      <c r="M27" s="38">
        <f t="shared" si="6"/>
        <v>0</v>
      </c>
      <c r="N27" s="38">
        <f t="shared" si="7"/>
        <v>0</v>
      </c>
      <c r="O27" s="38">
        <f t="shared" si="8"/>
        <v>0</v>
      </c>
      <c r="P27" s="38">
        <f>Policy_Sched!$I27*(L27+I27)</f>
        <v>0</v>
      </c>
      <c r="Q27" s="42">
        <f t="shared" si="9"/>
        <v>0</v>
      </c>
      <c r="R27" s="38">
        <f t="shared" si="10"/>
        <v>0</v>
      </c>
      <c r="S27" s="38">
        <f t="shared" si="11"/>
        <v>0</v>
      </c>
      <c r="T27" s="38">
        <f>Policy_Sched!$J27*J27</f>
        <v>0</v>
      </c>
      <c r="U27" s="42">
        <f t="shared" si="12"/>
        <v>0</v>
      </c>
      <c r="V27" s="42">
        <f t="shared" si="13"/>
        <v>0</v>
      </c>
      <c r="W27" s="38">
        <f>IF($A27&gt;LastT,0,N27+W28/(1+Policy_Sched!$K27))</f>
        <v>0</v>
      </c>
      <c r="X27" s="38">
        <f>IF($A27&gt;LastT,0,(-Q27+X28)/(1+Policy_Sched!$K27))</f>
        <v>0</v>
      </c>
      <c r="Y27" s="38">
        <f>IF($A27&gt;LastT,0,-V27+Y28/(1+Policy_Sched!$K27))</f>
        <v>0</v>
      </c>
      <c r="Z27" s="42">
        <f t="shared" si="14"/>
        <v>0</v>
      </c>
      <c r="AA27" s="38">
        <f>IF($A27&gt;LastT,0,N27-V27-Q27/(1+Policy_Sched!$K27)+Z28/(1+Policy_Sched!$K27))</f>
        <v>0</v>
      </c>
    </row>
    <row r="28" spans="1:27" x14ac:dyDescent="0.2">
      <c r="A28" s="30">
        <f t="shared" si="15"/>
        <v>21</v>
      </c>
      <c r="B28" s="31">
        <f t="shared" si="16"/>
        <v>0</v>
      </c>
      <c r="C28" s="31">
        <f>IF($A28&gt;LastT,0,IF(AND($D$3&lt;&gt;0,$A28&gt;=T0,Policy_Sched!$B28&lt;LastAge),1+$D$3*$E$3,1))</f>
        <v>0</v>
      </c>
      <c r="D28" s="36">
        <f>IF($A28&gt;LastT,0,IF($C$3="up",MIN(Policy_Sched!$E28*(1+IF($A28&gt;=T0,$E$3,0)),$F$3),IF($C$3="down",MAX(Policy_Sched!$E28*(1-IF($A28&gt;=T0,$E$3,0)),Policy_Sched!$E28-$F$3),Policy_Sched!$E28)))</f>
        <v>0</v>
      </c>
      <c r="E28" s="37">
        <f t="shared" si="17"/>
        <v>0</v>
      </c>
      <c r="F28" s="37">
        <f t="shared" si="0"/>
        <v>0</v>
      </c>
      <c r="G28" s="37">
        <f t="shared" si="1"/>
        <v>0</v>
      </c>
      <c r="H28" s="37">
        <f t="shared" si="2"/>
        <v>0</v>
      </c>
      <c r="I28" s="37">
        <f t="shared" si="3"/>
        <v>0</v>
      </c>
      <c r="J28" s="37">
        <f t="shared" si="4"/>
        <v>0</v>
      </c>
      <c r="K28" s="37">
        <f>IF($A28&gt;LastT,0,J28*Policy_Sched!$C28*Policy_Sched!$D28*C28)</f>
        <v>0</v>
      </c>
      <c r="L28" s="41">
        <f t="shared" si="5"/>
        <v>0</v>
      </c>
      <c r="M28" s="38">
        <f t="shared" si="6"/>
        <v>0</v>
      </c>
      <c r="N28" s="38">
        <f t="shared" si="7"/>
        <v>0</v>
      </c>
      <c r="O28" s="38">
        <f t="shared" si="8"/>
        <v>0</v>
      </c>
      <c r="P28" s="38">
        <f>Policy_Sched!$I28*(L28+I28)</f>
        <v>0</v>
      </c>
      <c r="Q28" s="42">
        <f t="shared" si="9"/>
        <v>0</v>
      </c>
      <c r="R28" s="38">
        <f t="shared" si="10"/>
        <v>0</v>
      </c>
      <c r="S28" s="38">
        <f t="shared" si="11"/>
        <v>0</v>
      </c>
      <c r="T28" s="38">
        <f>Policy_Sched!$J28*J28</f>
        <v>0</v>
      </c>
      <c r="U28" s="42">
        <f t="shared" si="12"/>
        <v>0</v>
      </c>
      <c r="V28" s="42">
        <f t="shared" si="13"/>
        <v>0</v>
      </c>
      <c r="W28" s="38">
        <f>IF($A28&gt;LastT,0,N28+W29/(1+Policy_Sched!$K28))</f>
        <v>0</v>
      </c>
      <c r="X28" s="38">
        <f>IF($A28&gt;LastT,0,(-Q28+X29)/(1+Policy_Sched!$K28))</f>
        <v>0</v>
      </c>
      <c r="Y28" s="38">
        <f>IF($A28&gt;LastT,0,-V28+Y29/(1+Policy_Sched!$K28))</f>
        <v>0</v>
      </c>
      <c r="Z28" s="42">
        <f t="shared" si="14"/>
        <v>0</v>
      </c>
      <c r="AA28" s="38">
        <f>IF($A28&gt;LastT,0,N28-V28-Q28/(1+Policy_Sched!$K28)+Z29/(1+Policy_Sched!$K28))</f>
        <v>0</v>
      </c>
    </row>
    <row r="29" spans="1:27" x14ac:dyDescent="0.2">
      <c r="A29" s="30">
        <f t="shared" si="15"/>
        <v>22</v>
      </c>
      <c r="B29" s="31">
        <f t="shared" si="16"/>
        <v>0</v>
      </c>
      <c r="C29" s="31">
        <f>IF($A29&gt;LastT,0,IF(AND($D$3&lt;&gt;0,$A29&gt;=T0,Policy_Sched!$B29&lt;LastAge),1+$D$3*$E$3,1))</f>
        <v>0</v>
      </c>
      <c r="D29" s="36">
        <f>IF($A29&gt;LastT,0,IF($C$3="up",MIN(Policy_Sched!$E29*(1+IF($A29&gt;=T0,$E$3,0)),$F$3),IF($C$3="down",MAX(Policy_Sched!$E29*(1-IF($A29&gt;=T0,$E$3,0)),Policy_Sched!$E29-$F$3),Policy_Sched!$E29)))</f>
        <v>0</v>
      </c>
      <c r="E29" s="37">
        <f t="shared" si="17"/>
        <v>0</v>
      </c>
      <c r="F29" s="37">
        <f t="shared" si="0"/>
        <v>0</v>
      </c>
      <c r="G29" s="37">
        <f t="shared" si="1"/>
        <v>0</v>
      </c>
      <c r="H29" s="37">
        <f t="shared" si="2"/>
        <v>0</v>
      </c>
      <c r="I29" s="37">
        <f t="shared" si="3"/>
        <v>0</v>
      </c>
      <c r="J29" s="37">
        <f t="shared" si="4"/>
        <v>0</v>
      </c>
      <c r="K29" s="37">
        <f>IF($A29&gt;LastT,0,J29*Policy_Sched!$C29*Policy_Sched!$D29*C29)</f>
        <v>0</v>
      </c>
      <c r="L29" s="41">
        <f t="shared" si="5"/>
        <v>0</v>
      </c>
      <c r="M29" s="38">
        <f t="shared" si="6"/>
        <v>0</v>
      </c>
      <c r="N29" s="38">
        <f t="shared" si="7"/>
        <v>0</v>
      </c>
      <c r="O29" s="38">
        <f t="shared" si="8"/>
        <v>0</v>
      </c>
      <c r="P29" s="38">
        <f>Policy_Sched!$I29*(L29+I29)</f>
        <v>0</v>
      </c>
      <c r="Q29" s="42">
        <f t="shared" si="9"/>
        <v>0</v>
      </c>
      <c r="R29" s="38">
        <f t="shared" si="10"/>
        <v>0</v>
      </c>
      <c r="S29" s="38">
        <f t="shared" si="11"/>
        <v>0</v>
      </c>
      <c r="T29" s="38">
        <f>Policy_Sched!$J29*J29</f>
        <v>0</v>
      </c>
      <c r="U29" s="42">
        <f t="shared" si="12"/>
        <v>0</v>
      </c>
      <c r="V29" s="42">
        <f t="shared" si="13"/>
        <v>0</v>
      </c>
      <c r="W29" s="38">
        <f>IF($A29&gt;LastT,0,N29+W30/(1+Policy_Sched!$K29))</f>
        <v>0</v>
      </c>
      <c r="X29" s="38">
        <f>IF($A29&gt;LastT,0,(-Q29+X30)/(1+Policy_Sched!$K29))</f>
        <v>0</v>
      </c>
      <c r="Y29" s="38">
        <f>IF($A29&gt;LastT,0,-V29+Y30/(1+Policy_Sched!$K29))</f>
        <v>0</v>
      </c>
      <c r="Z29" s="42">
        <f t="shared" si="14"/>
        <v>0</v>
      </c>
      <c r="AA29" s="38">
        <f>IF($A29&gt;LastT,0,N29-V29-Q29/(1+Policy_Sched!$K29)+Z30/(1+Policy_Sched!$K29))</f>
        <v>0</v>
      </c>
    </row>
    <row r="30" spans="1:27" x14ac:dyDescent="0.2">
      <c r="A30" s="30">
        <f t="shared" si="15"/>
        <v>23</v>
      </c>
      <c r="B30" s="31">
        <f t="shared" si="16"/>
        <v>0</v>
      </c>
      <c r="C30" s="31">
        <f>IF($A30&gt;LastT,0,IF(AND($D$3&lt;&gt;0,$A30&gt;=T0,Policy_Sched!$B30&lt;LastAge),1+$D$3*$E$3,1))</f>
        <v>0</v>
      </c>
      <c r="D30" s="36">
        <f>IF($A30&gt;LastT,0,IF($C$3="up",MIN(Policy_Sched!$E30*(1+IF($A30&gt;=T0,$E$3,0)),$F$3),IF($C$3="down",MAX(Policy_Sched!$E30*(1-IF($A30&gt;=T0,$E$3,0)),Policy_Sched!$E30-$F$3),Policy_Sched!$E30)))</f>
        <v>0</v>
      </c>
      <c r="E30" s="37">
        <f t="shared" si="17"/>
        <v>0</v>
      </c>
      <c r="F30" s="37">
        <f t="shared" si="0"/>
        <v>0</v>
      </c>
      <c r="G30" s="37">
        <f t="shared" si="1"/>
        <v>0</v>
      </c>
      <c r="H30" s="37">
        <f t="shared" si="2"/>
        <v>0</v>
      </c>
      <c r="I30" s="37">
        <f t="shared" si="3"/>
        <v>0</v>
      </c>
      <c r="J30" s="37">
        <f t="shared" si="4"/>
        <v>0</v>
      </c>
      <c r="K30" s="37">
        <f>IF($A30&gt;LastT,0,J30*Policy_Sched!$C30*Policy_Sched!$D30*C30)</f>
        <v>0</v>
      </c>
      <c r="L30" s="41">
        <f t="shared" si="5"/>
        <v>0</v>
      </c>
      <c r="M30" s="38">
        <f t="shared" si="6"/>
        <v>0</v>
      </c>
      <c r="N30" s="38">
        <f t="shared" si="7"/>
        <v>0</v>
      </c>
      <c r="O30" s="38">
        <f t="shared" si="8"/>
        <v>0</v>
      </c>
      <c r="P30" s="38">
        <f>Policy_Sched!$I30*(L30+I30)</f>
        <v>0</v>
      </c>
      <c r="Q30" s="42">
        <f t="shared" si="9"/>
        <v>0</v>
      </c>
      <c r="R30" s="38">
        <f t="shared" si="10"/>
        <v>0</v>
      </c>
      <c r="S30" s="38">
        <f t="shared" si="11"/>
        <v>0</v>
      </c>
      <c r="T30" s="38">
        <f>Policy_Sched!$J30*J30</f>
        <v>0</v>
      </c>
      <c r="U30" s="42">
        <f t="shared" si="12"/>
        <v>0</v>
      </c>
      <c r="V30" s="42">
        <f t="shared" si="13"/>
        <v>0</v>
      </c>
      <c r="W30" s="38">
        <f>IF($A30&gt;LastT,0,N30+W31/(1+Policy_Sched!$K30))</f>
        <v>0</v>
      </c>
      <c r="X30" s="38">
        <f>IF($A30&gt;LastT,0,(-Q30+X31)/(1+Policy_Sched!$K30))</f>
        <v>0</v>
      </c>
      <c r="Y30" s="38">
        <f>IF($A30&gt;LastT,0,-V30+Y31/(1+Policy_Sched!$K30))</f>
        <v>0</v>
      </c>
      <c r="Z30" s="42">
        <f t="shared" si="14"/>
        <v>0</v>
      </c>
      <c r="AA30" s="38">
        <f>IF($A30&gt;LastT,0,N30-V30-Q30/(1+Policy_Sched!$K30)+Z31/(1+Policy_Sched!$K30))</f>
        <v>0</v>
      </c>
    </row>
    <row r="31" spans="1:27" x14ac:dyDescent="0.2">
      <c r="A31" s="30">
        <f t="shared" si="15"/>
        <v>24</v>
      </c>
      <c r="B31" s="31">
        <f t="shared" si="16"/>
        <v>0</v>
      </c>
      <c r="C31" s="31">
        <f>IF($A31&gt;LastT,0,IF(AND($D$3&lt;&gt;0,$A31&gt;=T0,Policy_Sched!$B31&lt;LastAge),1+$D$3*$E$3,1))</f>
        <v>0</v>
      </c>
      <c r="D31" s="36">
        <f>IF($A31&gt;LastT,0,IF($C$3="up",MIN(Policy_Sched!$E31*(1+IF($A31&gt;=T0,$E$3,0)),$F$3),IF($C$3="down",MAX(Policy_Sched!$E31*(1-IF($A31&gt;=T0,$E$3,0)),Policy_Sched!$E31-$F$3),Policy_Sched!$E31)))</f>
        <v>0</v>
      </c>
      <c r="E31" s="37">
        <f t="shared" si="17"/>
        <v>0</v>
      </c>
      <c r="F31" s="37">
        <f t="shared" si="0"/>
        <v>0</v>
      </c>
      <c r="G31" s="37">
        <f t="shared" si="1"/>
        <v>0</v>
      </c>
      <c r="H31" s="37">
        <f t="shared" si="2"/>
        <v>0</v>
      </c>
      <c r="I31" s="37">
        <f t="shared" si="3"/>
        <v>0</v>
      </c>
      <c r="J31" s="37">
        <f t="shared" si="4"/>
        <v>0</v>
      </c>
      <c r="K31" s="37">
        <f>IF($A31&gt;LastT,0,J31*Policy_Sched!$C31*Policy_Sched!$D31*C31)</f>
        <v>0</v>
      </c>
      <c r="L31" s="41">
        <f t="shared" si="5"/>
        <v>0</v>
      </c>
      <c r="M31" s="38">
        <f t="shared" si="6"/>
        <v>0</v>
      </c>
      <c r="N31" s="38">
        <f t="shared" si="7"/>
        <v>0</v>
      </c>
      <c r="O31" s="38">
        <f t="shared" si="8"/>
        <v>0</v>
      </c>
      <c r="P31" s="38">
        <f>Policy_Sched!$I31*(L31+I31)</f>
        <v>0</v>
      </c>
      <c r="Q31" s="42">
        <f t="shared" si="9"/>
        <v>0</v>
      </c>
      <c r="R31" s="38">
        <f t="shared" si="10"/>
        <v>0</v>
      </c>
      <c r="S31" s="38">
        <f t="shared" si="11"/>
        <v>0</v>
      </c>
      <c r="T31" s="38">
        <f>Policy_Sched!$J31*J31</f>
        <v>0</v>
      </c>
      <c r="U31" s="42">
        <f t="shared" si="12"/>
        <v>0</v>
      </c>
      <c r="V31" s="42">
        <f t="shared" si="13"/>
        <v>0</v>
      </c>
      <c r="W31" s="38">
        <f>IF($A31&gt;LastT,0,N31+W32/(1+Policy_Sched!$K31))</f>
        <v>0</v>
      </c>
      <c r="X31" s="38">
        <f>IF($A31&gt;LastT,0,(-Q31+X32)/(1+Policy_Sched!$K31))</f>
        <v>0</v>
      </c>
      <c r="Y31" s="38">
        <f>IF($A31&gt;LastT,0,-V31+Y32/(1+Policy_Sched!$K31))</f>
        <v>0</v>
      </c>
      <c r="Z31" s="42">
        <f t="shared" si="14"/>
        <v>0</v>
      </c>
      <c r="AA31" s="38">
        <f>IF($A31&gt;LastT,0,N31-V31-Q31/(1+Policy_Sched!$K31)+Z32/(1+Policy_Sched!$K31))</f>
        <v>0</v>
      </c>
    </row>
    <row r="32" spans="1:27" x14ac:dyDescent="0.2">
      <c r="A32" s="30">
        <f t="shared" si="15"/>
        <v>25</v>
      </c>
      <c r="B32" s="31">
        <f t="shared" si="16"/>
        <v>0</v>
      </c>
      <c r="C32" s="31">
        <f>IF($A32&gt;LastT,0,IF(AND($D$3&lt;&gt;0,$A32&gt;=T0,Policy_Sched!$B32&lt;LastAge),1+$D$3*$E$3,1))</f>
        <v>0</v>
      </c>
      <c r="D32" s="36">
        <f>IF($A32&gt;LastT,0,IF($C$3="up",MIN(Policy_Sched!$E32*(1+IF($A32&gt;=T0,$E$3,0)),$F$3),IF($C$3="down",MAX(Policy_Sched!$E32*(1-IF($A32&gt;=T0,$E$3,0)),Policy_Sched!$E32-$F$3),Policy_Sched!$E32)))</f>
        <v>0</v>
      </c>
      <c r="E32" s="37">
        <f t="shared" si="17"/>
        <v>0</v>
      </c>
      <c r="F32" s="37">
        <f t="shared" si="0"/>
        <v>0</v>
      </c>
      <c r="G32" s="37">
        <f t="shared" si="1"/>
        <v>0</v>
      </c>
      <c r="H32" s="37">
        <f t="shared" si="2"/>
        <v>0</v>
      </c>
      <c r="I32" s="37">
        <f t="shared" si="3"/>
        <v>0</v>
      </c>
      <c r="J32" s="37">
        <f t="shared" si="4"/>
        <v>0</v>
      </c>
      <c r="K32" s="37">
        <f>IF($A32&gt;LastT,0,J32*Policy_Sched!$C32*Policy_Sched!$D32*C32)</f>
        <v>0</v>
      </c>
      <c r="L32" s="41">
        <f t="shared" si="5"/>
        <v>0</v>
      </c>
      <c r="M32" s="38">
        <f t="shared" si="6"/>
        <v>0</v>
      </c>
      <c r="N32" s="38">
        <f t="shared" si="7"/>
        <v>0</v>
      </c>
      <c r="O32" s="38">
        <f t="shared" si="8"/>
        <v>0</v>
      </c>
      <c r="P32" s="38">
        <f>Policy_Sched!$I32*(L32+I32)</f>
        <v>0</v>
      </c>
      <c r="Q32" s="42">
        <f t="shared" si="9"/>
        <v>0</v>
      </c>
      <c r="R32" s="38">
        <f t="shared" si="10"/>
        <v>0</v>
      </c>
      <c r="S32" s="38">
        <f t="shared" si="11"/>
        <v>0</v>
      </c>
      <c r="T32" s="38">
        <f>Policy_Sched!$J32*J32</f>
        <v>0</v>
      </c>
      <c r="U32" s="42">
        <f t="shared" si="12"/>
        <v>0</v>
      </c>
      <c r="V32" s="42">
        <f t="shared" si="13"/>
        <v>0</v>
      </c>
      <c r="W32" s="38">
        <f>IF($A32&gt;LastT,0,N32+W33/(1+Policy_Sched!$K32))</f>
        <v>0</v>
      </c>
      <c r="X32" s="38">
        <f>IF($A32&gt;LastT,0,(-Q32+X33)/(1+Policy_Sched!$K32))</f>
        <v>0</v>
      </c>
      <c r="Y32" s="38">
        <f>IF($A32&gt;LastT,0,-V32+Y33/(1+Policy_Sched!$K32))</f>
        <v>0</v>
      </c>
      <c r="Z32" s="42">
        <f t="shared" si="14"/>
        <v>0</v>
      </c>
      <c r="AA32" s="38">
        <f>IF($A32&gt;LastT,0,N32-V32-Q32/(1+Policy_Sched!$K32)+Z33/(1+Policy_Sched!$K32))</f>
        <v>0</v>
      </c>
    </row>
    <row r="33" spans="1:27" x14ac:dyDescent="0.2">
      <c r="A33" s="30">
        <f t="shared" si="15"/>
        <v>26</v>
      </c>
      <c r="B33" s="31">
        <f t="shared" si="16"/>
        <v>0</v>
      </c>
      <c r="C33" s="31">
        <f>IF($A33&gt;LastT,0,IF(AND($D$3&lt;&gt;0,$A33&gt;=T0,Policy_Sched!$B33&lt;LastAge),1+$D$3*$E$3,1))</f>
        <v>0</v>
      </c>
      <c r="D33" s="36">
        <f>IF($A33&gt;LastT,0,IF($C$3="up",MIN(Policy_Sched!$E33*(1+IF($A33&gt;=T0,$E$3,0)),$F$3),IF($C$3="down",MAX(Policy_Sched!$E33*(1-IF($A33&gt;=T0,$E$3,0)),Policy_Sched!$E33-$F$3),Policy_Sched!$E33)))</f>
        <v>0</v>
      </c>
      <c r="E33" s="37">
        <f t="shared" si="17"/>
        <v>0</v>
      </c>
      <c r="F33" s="37">
        <f t="shared" si="0"/>
        <v>0</v>
      </c>
      <c r="G33" s="37">
        <f t="shared" si="1"/>
        <v>0</v>
      </c>
      <c r="H33" s="37">
        <f t="shared" si="2"/>
        <v>0</v>
      </c>
      <c r="I33" s="37">
        <f t="shared" si="3"/>
        <v>0</v>
      </c>
      <c r="J33" s="37">
        <f t="shared" si="4"/>
        <v>0</v>
      </c>
      <c r="K33" s="37">
        <f>IF($A33&gt;LastT,0,J33*Policy_Sched!$C33*Policy_Sched!$D33*C33)</f>
        <v>0</v>
      </c>
      <c r="L33" s="41">
        <f t="shared" si="5"/>
        <v>0</v>
      </c>
      <c r="M33" s="38">
        <f t="shared" si="6"/>
        <v>0</v>
      </c>
      <c r="N33" s="38">
        <f t="shared" si="7"/>
        <v>0</v>
      </c>
      <c r="O33" s="38">
        <f t="shared" si="8"/>
        <v>0</v>
      </c>
      <c r="P33" s="38">
        <f>Policy_Sched!$I33*(L33+I33)</f>
        <v>0</v>
      </c>
      <c r="Q33" s="42">
        <f t="shared" si="9"/>
        <v>0</v>
      </c>
      <c r="R33" s="38">
        <f t="shared" si="10"/>
        <v>0</v>
      </c>
      <c r="S33" s="38">
        <f t="shared" si="11"/>
        <v>0</v>
      </c>
      <c r="T33" s="38">
        <f>Policy_Sched!$J33*J33</f>
        <v>0</v>
      </c>
      <c r="U33" s="42">
        <f t="shared" si="12"/>
        <v>0</v>
      </c>
      <c r="V33" s="42">
        <f t="shared" si="13"/>
        <v>0</v>
      </c>
      <c r="W33" s="38">
        <f>IF($A33&gt;LastT,0,N33+W34/(1+Policy_Sched!$K33))</f>
        <v>0</v>
      </c>
      <c r="X33" s="38">
        <f>IF($A33&gt;LastT,0,(-Q33+X34)/(1+Policy_Sched!$K33))</f>
        <v>0</v>
      </c>
      <c r="Y33" s="38">
        <f>IF($A33&gt;LastT,0,-V33+Y34/(1+Policy_Sched!$K33))</f>
        <v>0</v>
      </c>
      <c r="Z33" s="42">
        <f t="shared" si="14"/>
        <v>0</v>
      </c>
      <c r="AA33" s="38">
        <f>IF($A33&gt;LastT,0,N33-V33-Q33/(1+Policy_Sched!$K33)+Z34/(1+Policy_Sched!$K33))</f>
        <v>0</v>
      </c>
    </row>
    <row r="34" spans="1:27" x14ac:dyDescent="0.2">
      <c r="A34" s="30">
        <f t="shared" si="15"/>
        <v>27</v>
      </c>
      <c r="B34" s="31">
        <f t="shared" si="16"/>
        <v>0</v>
      </c>
      <c r="C34" s="31">
        <f>IF($A34&gt;LastT,0,IF(AND($D$3&lt;&gt;0,$A34&gt;=T0,Policy_Sched!$B34&lt;LastAge),1+$D$3*$E$3,1))</f>
        <v>0</v>
      </c>
      <c r="D34" s="36">
        <f>IF($A34&gt;LastT,0,IF($C$3="up",MIN(Policy_Sched!$E34*(1+IF($A34&gt;=T0,$E$3,0)),$F$3),IF($C$3="down",MAX(Policy_Sched!$E34*(1-IF($A34&gt;=T0,$E$3,0)),Policy_Sched!$E34-$F$3),Policy_Sched!$E34)))</f>
        <v>0</v>
      </c>
      <c r="E34" s="37">
        <f t="shared" si="17"/>
        <v>0</v>
      </c>
      <c r="F34" s="37">
        <f t="shared" si="0"/>
        <v>0</v>
      </c>
      <c r="G34" s="37">
        <f t="shared" si="1"/>
        <v>0</v>
      </c>
      <c r="H34" s="37">
        <f t="shared" si="2"/>
        <v>0</v>
      </c>
      <c r="I34" s="37">
        <f t="shared" si="3"/>
        <v>0</v>
      </c>
      <c r="J34" s="37">
        <f t="shared" si="4"/>
        <v>0</v>
      </c>
      <c r="K34" s="37">
        <f>IF($A34&gt;LastT,0,J34*Policy_Sched!$C34*Policy_Sched!$D34*C34)</f>
        <v>0</v>
      </c>
      <c r="L34" s="41">
        <f t="shared" si="5"/>
        <v>0</v>
      </c>
      <c r="M34" s="38">
        <f t="shared" si="6"/>
        <v>0</v>
      </c>
      <c r="N34" s="38">
        <f t="shared" si="7"/>
        <v>0</v>
      </c>
      <c r="O34" s="38">
        <f t="shared" si="8"/>
        <v>0</v>
      </c>
      <c r="P34" s="38">
        <f>Policy_Sched!$I34*(L34+I34)</f>
        <v>0</v>
      </c>
      <c r="Q34" s="42">
        <f t="shared" si="9"/>
        <v>0</v>
      </c>
      <c r="R34" s="38">
        <f t="shared" si="10"/>
        <v>0</v>
      </c>
      <c r="S34" s="38">
        <f t="shared" si="11"/>
        <v>0</v>
      </c>
      <c r="T34" s="38">
        <f>Policy_Sched!$J34*J34</f>
        <v>0</v>
      </c>
      <c r="U34" s="42">
        <f t="shared" si="12"/>
        <v>0</v>
      </c>
      <c r="V34" s="42">
        <f t="shared" si="13"/>
        <v>0</v>
      </c>
      <c r="W34" s="38">
        <f>IF($A34&gt;LastT,0,N34+W35/(1+Policy_Sched!$K34))</f>
        <v>0</v>
      </c>
      <c r="X34" s="38">
        <f>IF($A34&gt;LastT,0,(-Q34+X35)/(1+Policy_Sched!$K34))</f>
        <v>0</v>
      </c>
      <c r="Y34" s="38">
        <f>IF($A34&gt;LastT,0,-V34+Y35/(1+Policy_Sched!$K34))</f>
        <v>0</v>
      </c>
      <c r="Z34" s="42">
        <f t="shared" si="14"/>
        <v>0</v>
      </c>
      <c r="AA34" s="38">
        <f>IF($A34&gt;LastT,0,N34-V34-Q34/(1+Policy_Sched!$K34)+Z35/(1+Policy_Sched!$K34))</f>
        <v>0</v>
      </c>
    </row>
    <row r="35" spans="1:27" x14ac:dyDescent="0.2">
      <c r="A35" s="30">
        <f t="shared" si="15"/>
        <v>28</v>
      </c>
      <c r="B35" s="31">
        <f t="shared" si="16"/>
        <v>0</v>
      </c>
      <c r="C35" s="31">
        <f>IF($A35&gt;LastT,0,IF(AND($D$3&lt;&gt;0,$A35&gt;=T0,Policy_Sched!$B35&lt;LastAge),1+$D$3*$E$3,1))</f>
        <v>0</v>
      </c>
      <c r="D35" s="36">
        <f>IF($A35&gt;LastT,0,IF($C$3="up",MIN(Policy_Sched!$E35*(1+IF($A35&gt;=T0,$E$3,0)),$F$3),IF($C$3="down",MAX(Policy_Sched!$E35*(1-IF($A35&gt;=T0,$E$3,0)),Policy_Sched!$E35-$F$3),Policy_Sched!$E35)))</f>
        <v>0</v>
      </c>
      <c r="E35" s="37">
        <f t="shared" si="17"/>
        <v>0</v>
      </c>
      <c r="F35" s="37">
        <f t="shared" si="0"/>
        <v>0</v>
      </c>
      <c r="G35" s="37">
        <f t="shared" si="1"/>
        <v>0</v>
      </c>
      <c r="H35" s="37">
        <f t="shared" si="2"/>
        <v>0</v>
      </c>
      <c r="I35" s="37">
        <f t="shared" si="3"/>
        <v>0</v>
      </c>
      <c r="J35" s="37">
        <f t="shared" si="4"/>
        <v>0</v>
      </c>
      <c r="K35" s="37">
        <f>IF($A35&gt;LastT,0,J35*Policy_Sched!$C35*Policy_Sched!$D35*C35)</f>
        <v>0</v>
      </c>
      <c r="L35" s="41">
        <f t="shared" si="5"/>
        <v>0</v>
      </c>
      <c r="M35" s="38">
        <f t="shared" si="6"/>
        <v>0</v>
      </c>
      <c r="N35" s="38">
        <f t="shared" si="7"/>
        <v>0</v>
      </c>
      <c r="O35" s="38">
        <f t="shared" si="8"/>
        <v>0</v>
      </c>
      <c r="P35" s="38">
        <f>Policy_Sched!$I35*(L35+I35)</f>
        <v>0</v>
      </c>
      <c r="Q35" s="42">
        <f t="shared" si="9"/>
        <v>0</v>
      </c>
      <c r="R35" s="38">
        <f t="shared" si="10"/>
        <v>0</v>
      </c>
      <c r="S35" s="38">
        <f t="shared" si="11"/>
        <v>0</v>
      </c>
      <c r="T35" s="38">
        <f>Policy_Sched!$J35*J35</f>
        <v>0</v>
      </c>
      <c r="U35" s="42">
        <f t="shared" si="12"/>
        <v>0</v>
      </c>
      <c r="V35" s="42">
        <f t="shared" si="13"/>
        <v>0</v>
      </c>
      <c r="W35" s="38">
        <f>IF($A35&gt;LastT,0,N35+W36/(1+Policy_Sched!$K35))</f>
        <v>0</v>
      </c>
      <c r="X35" s="38">
        <f>IF($A35&gt;LastT,0,(-Q35+X36)/(1+Policy_Sched!$K35))</f>
        <v>0</v>
      </c>
      <c r="Y35" s="38">
        <f>IF($A35&gt;LastT,0,-V35+Y36/(1+Policy_Sched!$K35))</f>
        <v>0</v>
      </c>
      <c r="Z35" s="42">
        <f t="shared" si="14"/>
        <v>0</v>
      </c>
      <c r="AA35" s="38">
        <f>IF($A35&gt;LastT,0,N35-V35-Q35/(1+Policy_Sched!$K35)+Z36/(1+Policy_Sched!$K35))</f>
        <v>0</v>
      </c>
    </row>
    <row r="36" spans="1:27" x14ac:dyDescent="0.2">
      <c r="A36" s="30">
        <f t="shared" si="15"/>
        <v>29</v>
      </c>
      <c r="B36" s="31">
        <f t="shared" si="16"/>
        <v>0</v>
      </c>
      <c r="C36" s="31">
        <f>IF($A36&gt;LastT,0,IF(AND($D$3&lt;&gt;0,$A36&gt;=T0,Policy_Sched!$B36&lt;LastAge),1+$D$3*$E$3,1))</f>
        <v>0</v>
      </c>
      <c r="D36" s="36">
        <f>IF($A36&gt;LastT,0,IF($C$3="up",MIN(Policy_Sched!$E36*(1+IF($A36&gt;=T0,$E$3,0)),$F$3),IF($C$3="down",MAX(Policy_Sched!$E36*(1-IF($A36&gt;=T0,$E$3,0)),Policy_Sched!$E36-$F$3),Policy_Sched!$E36)))</f>
        <v>0</v>
      </c>
      <c r="E36" s="37">
        <f t="shared" si="17"/>
        <v>0</v>
      </c>
      <c r="F36" s="37">
        <f t="shared" si="0"/>
        <v>0</v>
      </c>
      <c r="G36" s="37">
        <f t="shared" si="1"/>
        <v>0</v>
      </c>
      <c r="H36" s="37">
        <f t="shared" si="2"/>
        <v>0</v>
      </c>
      <c r="I36" s="37">
        <f t="shared" si="3"/>
        <v>0</v>
      </c>
      <c r="J36" s="37">
        <f t="shared" si="4"/>
        <v>0</v>
      </c>
      <c r="K36" s="37">
        <f>IF($A36&gt;LastT,0,J36*Policy_Sched!$C36*Policy_Sched!$D36*C36)</f>
        <v>0</v>
      </c>
      <c r="L36" s="41">
        <f t="shared" si="5"/>
        <v>0</v>
      </c>
      <c r="M36" s="38">
        <f t="shared" si="6"/>
        <v>0</v>
      </c>
      <c r="N36" s="38">
        <f t="shared" si="7"/>
        <v>0</v>
      </c>
      <c r="O36" s="38">
        <f t="shared" si="8"/>
        <v>0</v>
      </c>
      <c r="P36" s="38">
        <f>Policy_Sched!$I36*(L36+I36)</f>
        <v>0</v>
      </c>
      <c r="Q36" s="42">
        <f t="shared" si="9"/>
        <v>0</v>
      </c>
      <c r="R36" s="38">
        <f t="shared" si="10"/>
        <v>0</v>
      </c>
      <c r="S36" s="38">
        <f t="shared" si="11"/>
        <v>0</v>
      </c>
      <c r="T36" s="38">
        <f>Policy_Sched!$J36*J36</f>
        <v>0</v>
      </c>
      <c r="U36" s="42">
        <f t="shared" si="12"/>
        <v>0</v>
      </c>
      <c r="V36" s="42">
        <f t="shared" si="13"/>
        <v>0</v>
      </c>
      <c r="W36" s="38">
        <f>IF($A36&gt;LastT,0,N36+W37/(1+Policy_Sched!$K36))</f>
        <v>0</v>
      </c>
      <c r="X36" s="38">
        <f>IF($A36&gt;LastT,0,(-Q36+X37)/(1+Policy_Sched!$K36))</f>
        <v>0</v>
      </c>
      <c r="Y36" s="38">
        <f>IF($A36&gt;LastT,0,-V36+Y37/(1+Policy_Sched!$K36))</f>
        <v>0</v>
      </c>
      <c r="Z36" s="42">
        <f t="shared" si="14"/>
        <v>0</v>
      </c>
      <c r="AA36" s="38">
        <f>IF($A36&gt;LastT,0,N36-V36-Q36/(1+Policy_Sched!$K36)+Z37/(1+Policy_Sched!$K36))</f>
        <v>0</v>
      </c>
    </row>
    <row r="37" spans="1:27" x14ac:dyDescent="0.2">
      <c r="A37" s="30">
        <f t="shared" si="15"/>
        <v>30</v>
      </c>
      <c r="B37" s="31">
        <f t="shared" si="16"/>
        <v>0</v>
      </c>
      <c r="C37" s="31">
        <f>IF($A37&gt;LastT,0,IF(AND($D$3&lt;&gt;0,$A37&gt;=T0,Policy_Sched!$B37&lt;LastAge),1+$D$3*$E$3,1))</f>
        <v>0</v>
      </c>
      <c r="D37" s="36">
        <f>IF($A37&gt;LastT,0,IF($C$3="up",MIN(Policy_Sched!$E37*(1+IF($A37&gt;=T0,$E$3,0)),$F$3),IF($C$3="down",MAX(Policy_Sched!$E37*(1-IF($A37&gt;=T0,$E$3,0)),Policy_Sched!$E37-$F$3),Policy_Sched!$E37)))</f>
        <v>0</v>
      </c>
      <c r="E37" s="37">
        <f t="shared" si="17"/>
        <v>0</v>
      </c>
      <c r="F37" s="37">
        <f t="shared" si="0"/>
        <v>0</v>
      </c>
      <c r="G37" s="37">
        <f t="shared" si="1"/>
        <v>0</v>
      </c>
      <c r="H37" s="37">
        <f t="shared" si="2"/>
        <v>0</v>
      </c>
      <c r="I37" s="37">
        <f t="shared" si="3"/>
        <v>0</v>
      </c>
      <c r="J37" s="37">
        <f t="shared" si="4"/>
        <v>0</v>
      </c>
      <c r="K37" s="37">
        <f>IF($A37&gt;LastT,0,J37*Policy_Sched!$C37*Policy_Sched!$D37*C37)</f>
        <v>0</v>
      </c>
      <c r="L37" s="41">
        <f t="shared" si="5"/>
        <v>0</v>
      </c>
      <c r="M37" s="38">
        <f t="shared" si="6"/>
        <v>0</v>
      </c>
      <c r="N37" s="38">
        <f t="shared" si="7"/>
        <v>0</v>
      </c>
      <c r="O37" s="38">
        <f t="shared" si="8"/>
        <v>0</v>
      </c>
      <c r="P37" s="38">
        <f>Policy_Sched!$I37*(L37+I37)</f>
        <v>0</v>
      </c>
      <c r="Q37" s="42">
        <f t="shared" si="9"/>
        <v>0</v>
      </c>
      <c r="R37" s="38">
        <f t="shared" si="10"/>
        <v>0</v>
      </c>
      <c r="S37" s="38">
        <f t="shared" si="11"/>
        <v>0</v>
      </c>
      <c r="T37" s="38">
        <f>Policy_Sched!$J37*J37</f>
        <v>0</v>
      </c>
      <c r="U37" s="42">
        <f t="shared" si="12"/>
        <v>0</v>
      </c>
      <c r="V37" s="42">
        <f t="shared" si="13"/>
        <v>0</v>
      </c>
      <c r="W37" s="38">
        <f>IF($A37&gt;LastT,0,N37+W38/(1+Policy_Sched!$K37))</f>
        <v>0</v>
      </c>
      <c r="X37" s="38">
        <f>IF($A37&gt;LastT,0,(-Q37+X38)/(1+Policy_Sched!$K37))</f>
        <v>0</v>
      </c>
      <c r="Y37" s="38">
        <f>IF($A37&gt;LastT,0,-V37+Y38/(1+Policy_Sched!$K37))</f>
        <v>0</v>
      </c>
      <c r="Z37" s="42">
        <f t="shared" si="14"/>
        <v>0</v>
      </c>
      <c r="AA37" s="38">
        <f>IF($A37&gt;LastT,0,N37-V37-Q37/(1+Policy_Sched!$K37)+Z38/(1+Policy_Sched!$K37))</f>
        <v>0</v>
      </c>
    </row>
    <row r="38" spans="1:27" x14ac:dyDescent="0.2">
      <c r="A38" s="30">
        <f t="shared" si="15"/>
        <v>31</v>
      </c>
      <c r="B38" s="31">
        <f t="shared" si="16"/>
        <v>0</v>
      </c>
      <c r="C38" s="31">
        <f>IF($A38&gt;LastT,0,IF(AND($D$3&lt;&gt;0,$A38&gt;=T0,Policy_Sched!$B38&lt;LastAge),1+$D$3*$E$3,1))</f>
        <v>0</v>
      </c>
      <c r="D38" s="36">
        <f>IF($A38&gt;LastT,0,IF($C$3="up",MIN(Policy_Sched!$E38*(1+IF($A38&gt;=T0,$E$3,0)),$F$3),IF($C$3="down",MAX(Policy_Sched!$E38*(1-IF($A38&gt;=T0,$E$3,0)),Policy_Sched!$E38-$F$3),Policy_Sched!$E38)))</f>
        <v>0</v>
      </c>
      <c r="E38" s="37">
        <f t="shared" si="17"/>
        <v>0</v>
      </c>
      <c r="F38" s="37">
        <f t="shared" si="0"/>
        <v>0</v>
      </c>
      <c r="G38" s="37">
        <f t="shared" si="1"/>
        <v>0</v>
      </c>
      <c r="H38" s="37">
        <f t="shared" si="2"/>
        <v>0</v>
      </c>
      <c r="I38" s="37">
        <f t="shared" si="3"/>
        <v>0</v>
      </c>
      <c r="J38" s="37">
        <f t="shared" si="4"/>
        <v>0</v>
      </c>
      <c r="K38" s="37">
        <f>IF($A38&gt;LastT,0,J38*Policy_Sched!$C38*Policy_Sched!$D38*C38)</f>
        <v>0</v>
      </c>
      <c r="L38" s="41">
        <f t="shared" si="5"/>
        <v>0</v>
      </c>
      <c r="M38" s="38">
        <f t="shared" si="6"/>
        <v>0</v>
      </c>
      <c r="N38" s="38">
        <f t="shared" si="7"/>
        <v>0</v>
      </c>
      <c r="O38" s="38">
        <f t="shared" si="8"/>
        <v>0</v>
      </c>
      <c r="P38" s="38">
        <f>Policy_Sched!$I38*(L38+I38)</f>
        <v>0</v>
      </c>
      <c r="Q38" s="42">
        <f t="shared" si="9"/>
        <v>0</v>
      </c>
      <c r="R38" s="38">
        <f t="shared" si="10"/>
        <v>0</v>
      </c>
      <c r="S38" s="38">
        <f t="shared" si="11"/>
        <v>0</v>
      </c>
      <c r="T38" s="38">
        <f>Policy_Sched!$J38*J38</f>
        <v>0</v>
      </c>
      <c r="U38" s="42">
        <f t="shared" si="12"/>
        <v>0</v>
      </c>
      <c r="V38" s="42">
        <f t="shared" si="13"/>
        <v>0</v>
      </c>
      <c r="W38" s="38">
        <f>IF($A38&gt;LastT,0,N38+W39/(1+Policy_Sched!$K38))</f>
        <v>0</v>
      </c>
      <c r="X38" s="38">
        <f>IF($A38&gt;LastT,0,(-Q38+X39)/(1+Policy_Sched!$K38))</f>
        <v>0</v>
      </c>
      <c r="Y38" s="38">
        <f>IF($A38&gt;LastT,0,-V38+Y39/(1+Policy_Sched!$K38))</f>
        <v>0</v>
      </c>
      <c r="Z38" s="42">
        <f t="shared" si="14"/>
        <v>0</v>
      </c>
      <c r="AA38" s="38">
        <f>IF($A38&gt;LastT,0,N38-V38-Q38/(1+Policy_Sched!$K38)+Z39/(1+Policy_Sched!$K38))</f>
        <v>0</v>
      </c>
    </row>
    <row r="39" spans="1:27" x14ac:dyDescent="0.2">
      <c r="A39" s="30">
        <f t="shared" si="15"/>
        <v>32</v>
      </c>
      <c r="B39" s="31">
        <f t="shared" si="16"/>
        <v>0</v>
      </c>
      <c r="C39" s="31">
        <f>IF($A39&gt;LastT,0,IF(AND($D$3&lt;&gt;0,$A39&gt;=T0,Policy_Sched!$B39&lt;LastAge),1+$D$3*$E$3,1))</f>
        <v>0</v>
      </c>
      <c r="D39" s="36">
        <f>IF($A39&gt;LastT,0,IF($C$3="up",MIN(Policy_Sched!$E39*(1+IF($A39&gt;=T0,$E$3,0)),$F$3),IF($C$3="down",MAX(Policy_Sched!$E39*(1-IF($A39&gt;=T0,$E$3,0)),Policy_Sched!$E39-$F$3),Policy_Sched!$E39)))</f>
        <v>0</v>
      </c>
      <c r="E39" s="37">
        <f t="shared" si="17"/>
        <v>0</v>
      </c>
      <c r="F39" s="37">
        <f t="shared" ref="F39:F70" si="18">IF($A39&gt;LastT,0,IF($A39=PolicyTerm,E39,0))</f>
        <v>0</v>
      </c>
      <c r="G39" s="37">
        <f t="shared" ref="G39:G70" si="19">IF($A39&gt;LastT,0,E39-F39)</f>
        <v>0</v>
      </c>
      <c r="H39" s="37">
        <f t="shared" ref="H39:H70" si="20">IF($A39=0,PolicyCount,0)</f>
        <v>0</v>
      </c>
      <c r="I39" s="37">
        <f t="shared" ref="I39:I70" si="21">IF($A39&gt;LastT,0,IF(AND($C$3="mass",$A39=T0),(G39+H39)*$E$3,0))</f>
        <v>0</v>
      </c>
      <c r="J39" s="37">
        <f t="shared" ref="J39:J70" si="22">IF($A39&gt;LastT,0,G39+H39-I39)</f>
        <v>0</v>
      </c>
      <c r="K39" s="37">
        <f>IF($A39&gt;LastT,0,J39*Policy_Sched!$C39*Policy_Sched!$D39*C39)</f>
        <v>0</v>
      </c>
      <c r="L39" s="41">
        <f t="shared" ref="L39:L70" si="23">J39*D39</f>
        <v>0</v>
      </c>
      <c r="M39" s="38">
        <f t="shared" ref="M39:M70" si="24">IF($A39&gt;LastT,0,(SizeAnnPrem*ExpsMaintAnnPrem+(SumAssured*ExpsMaintSA+ExpsMaintPol)*B39)*(1+IF($B$3="exps",$E$3,0)))</f>
        <v>0</v>
      </c>
      <c r="N39" s="38">
        <f t="shared" ref="N39:N70" si="25">SizePremium*J39</f>
        <v>0</v>
      </c>
      <c r="O39" s="38">
        <f t="shared" ref="O39:O70" si="26">SumAssured*K39</f>
        <v>0</v>
      </c>
      <c r="P39" s="38">
        <f>Policy_Sched!$I39*(L39+I39)</f>
        <v>0</v>
      </c>
      <c r="Q39" s="42">
        <f t="shared" ref="Q39:Q70" si="27">O39+P39</f>
        <v>0</v>
      </c>
      <c r="R39" s="38">
        <f t="shared" ref="R39:R70" si="28">IF($A39=0,SizeExpsAcq0*H39,0)</f>
        <v>0</v>
      </c>
      <c r="S39" s="38">
        <f t="shared" ref="S39:S70" si="29">IF($A39=0,SizeExpsCommInit0*J39,0)</f>
        <v>0</v>
      </c>
      <c r="T39" s="38">
        <f>Policy_Sched!$J39*J39</f>
        <v>0</v>
      </c>
      <c r="U39" s="42">
        <f t="shared" ref="U39:U70" si="30">M39*J39</f>
        <v>0</v>
      </c>
      <c r="V39" s="42">
        <f t="shared" ref="V39:V70" si="31">S39+T39+R39+U39</f>
        <v>0</v>
      </c>
      <c r="W39" s="38">
        <f>IF($A39&gt;LastT,0,N39+W40/(1+Policy_Sched!$K39))</f>
        <v>0</v>
      </c>
      <c r="X39" s="38">
        <f>IF($A39&gt;LastT,0,(-Q39+X40)/(1+Policy_Sched!$K39))</f>
        <v>0</v>
      </c>
      <c r="Y39" s="38">
        <f>IF($A39&gt;LastT,0,-V39+Y40/(1+Policy_Sched!$K39))</f>
        <v>0</v>
      </c>
      <c r="Z39" s="42">
        <f t="shared" ref="Z39:Z70" si="32">W39+Y39+X39</f>
        <v>0</v>
      </c>
      <c r="AA39" s="38">
        <f>IF($A39&gt;LastT,0,N39-V39-Q39/(1+Policy_Sched!$K39)+Z40/(1+Policy_Sched!$K39))</f>
        <v>0</v>
      </c>
    </row>
    <row r="40" spans="1:27" x14ac:dyDescent="0.2">
      <c r="A40" s="30">
        <f t="shared" ref="A40:A71" si="33">A39+1</f>
        <v>33</v>
      </c>
      <c r="B40" s="31">
        <f t="shared" ref="B40:B71" si="34">IF($A40&gt;LastT,0,IF($B$3="exps",B39*(1+InflRate+IF($A40&gt;=T0,$G$3,0)),B39/(1+InflRate)))</f>
        <v>0</v>
      </c>
      <c r="C40" s="31">
        <f>IF($A40&gt;LastT,0,IF(AND($D$3&lt;&gt;0,$A40&gt;=T0,Policy_Sched!$B40&lt;LastAge),1+$D$3*$E$3,1))</f>
        <v>0</v>
      </c>
      <c r="D40" s="36">
        <f>IF($A40&gt;LastT,0,IF($C$3="up",MIN(Policy_Sched!$E40*(1+IF($A40&gt;=T0,$E$3,0)),$F$3),IF($C$3="down",MAX(Policy_Sched!$E40*(1-IF($A40&gt;=T0,$E$3,0)),Policy_Sched!$E40-$F$3),Policy_Sched!$E40)))</f>
        <v>0</v>
      </c>
      <c r="E40" s="37">
        <f t="shared" ref="E40:E71" si="35">IF($A40&gt;LastT,0,J39-K39-L39)</f>
        <v>0</v>
      </c>
      <c r="F40" s="37">
        <f t="shared" si="18"/>
        <v>0</v>
      </c>
      <c r="G40" s="37">
        <f t="shared" si="19"/>
        <v>0</v>
      </c>
      <c r="H40" s="37">
        <f t="shared" si="20"/>
        <v>0</v>
      </c>
      <c r="I40" s="37">
        <f t="shared" si="21"/>
        <v>0</v>
      </c>
      <c r="J40" s="37">
        <f t="shared" si="22"/>
        <v>0</v>
      </c>
      <c r="K40" s="37">
        <f>IF($A40&gt;LastT,0,J40*Policy_Sched!$C40*Policy_Sched!$D40*C40)</f>
        <v>0</v>
      </c>
      <c r="L40" s="41">
        <f t="shared" si="23"/>
        <v>0</v>
      </c>
      <c r="M40" s="38">
        <f t="shared" si="24"/>
        <v>0</v>
      </c>
      <c r="N40" s="38">
        <f t="shared" si="25"/>
        <v>0</v>
      </c>
      <c r="O40" s="38">
        <f t="shared" si="26"/>
        <v>0</v>
      </c>
      <c r="P40" s="38">
        <f>Policy_Sched!$I40*(L40+I40)</f>
        <v>0</v>
      </c>
      <c r="Q40" s="42">
        <f t="shared" si="27"/>
        <v>0</v>
      </c>
      <c r="R40" s="38">
        <f t="shared" si="28"/>
        <v>0</v>
      </c>
      <c r="S40" s="38">
        <f t="shared" si="29"/>
        <v>0</v>
      </c>
      <c r="T40" s="38">
        <f>Policy_Sched!$J40*J40</f>
        <v>0</v>
      </c>
      <c r="U40" s="42">
        <f t="shared" si="30"/>
        <v>0</v>
      </c>
      <c r="V40" s="42">
        <f t="shared" si="31"/>
        <v>0</v>
      </c>
      <c r="W40" s="38">
        <f>IF($A40&gt;LastT,0,N40+W41/(1+Policy_Sched!$K40))</f>
        <v>0</v>
      </c>
      <c r="X40" s="38">
        <f>IF($A40&gt;LastT,0,(-Q40+X41)/(1+Policy_Sched!$K40))</f>
        <v>0</v>
      </c>
      <c r="Y40" s="38">
        <f>IF($A40&gt;LastT,0,-V40+Y41/(1+Policy_Sched!$K40))</f>
        <v>0</v>
      </c>
      <c r="Z40" s="42">
        <f t="shared" si="32"/>
        <v>0</v>
      </c>
      <c r="AA40" s="38">
        <f>IF($A40&gt;LastT,0,N40-V40-Q40/(1+Policy_Sched!$K40)+Z41/(1+Policy_Sched!$K40))</f>
        <v>0</v>
      </c>
    </row>
    <row r="41" spans="1:27" x14ac:dyDescent="0.2">
      <c r="A41" s="30">
        <f t="shared" si="33"/>
        <v>34</v>
      </c>
      <c r="B41" s="31">
        <f t="shared" si="34"/>
        <v>0</v>
      </c>
      <c r="C41" s="31">
        <f>IF($A41&gt;LastT,0,IF(AND($D$3&lt;&gt;0,$A41&gt;=T0,Policy_Sched!$B41&lt;LastAge),1+$D$3*$E$3,1))</f>
        <v>0</v>
      </c>
      <c r="D41" s="36">
        <f>IF($A41&gt;LastT,0,IF($C$3="up",MIN(Policy_Sched!$E41*(1+IF($A41&gt;=T0,$E$3,0)),$F$3),IF($C$3="down",MAX(Policy_Sched!$E41*(1-IF($A41&gt;=T0,$E$3,0)),Policy_Sched!$E41-$F$3),Policy_Sched!$E41)))</f>
        <v>0</v>
      </c>
      <c r="E41" s="37">
        <f t="shared" si="35"/>
        <v>0</v>
      </c>
      <c r="F41" s="37">
        <f t="shared" si="18"/>
        <v>0</v>
      </c>
      <c r="G41" s="37">
        <f t="shared" si="19"/>
        <v>0</v>
      </c>
      <c r="H41" s="37">
        <f t="shared" si="20"/>
        <v>0</v>
      </c>
      <c r="I41" s="37">
        <f t="shared" si="21"/>
        <v>0</v>
      </c>
      <c r="J41" s="37">
        <f t="shared" si="22"/>
        <v>0</v>
      </c>
      <c r="K41" s="37">
        <f>IF($A41&gt;LastT,0,J41*Policy_Sched!$C41*Policy_Sched!$D41*C41)</f>
        <v>0</v>
      </c>
      <c r="L41" s="41">
        <f t="shared" si="23"/>
        <v>0</v>
      </c>
      <c r="M41" s="38">
        <f t="shared" si="24"/>
        <v>0</v>
      </c>
      <c r="N41" s="38">
        <f t="shared" si="25"/>
        <v>0</v>
      </c>
      <c r="O41" s="38">
        <f t="shared" si="26"/>
        <v>0</v>
      </c>
      <c r="P41" s="38">
        <f>Policy_Sched!$I41*(L41+I41)</f>
        <v>0</v>
      </c>
      <c r="Q41" s="42">
        <f t="shared" si="27"/>
        <v>0</v>
      </c>
      <c r="R41" s="38">
        <f t="shared" si="28"/>
        <v>0</v>
      </c>
      <c r="S41" s="38">
        <f t="shared" si="29"/>
        <v>0</v>
      </c>
      <c r="T41" s="38">
        <f>Policy_Sched!$J41*J41</f>
        <v>0</v>
      </c>
      <c r="U41" s="42">
        <f t="shared" si="30"/>
        <v>0</v>
      </c>
      <c r="V41" s="42">
        <f t="shared" si="31"/>
        <v>0</v>
      </c>
      <c r="W41" s="38">
        <f>IF($A41&gt;LastT,0,N41+W42/(1+Policy_Sched!$K41))</f>
        <v>0</v>
      </c>
      <c r="X41" s="38">
        <f>IF($A41&gt;LastT,0,(-Q41+X42)/(1+Policy_Sched!$K41))</f>
        <v>0</v>
      </c>
      <c r="Y41" s="38">
        <f>IF($A41&gt;LastT,0,-V41+Y42/(1+Policy_Sched!$K41))</f>
        <v>0</v>
      </c>
      <c r="Z41" s="42">
        <f t="shared" si="32"/>
        <v>0</v>
      </c>
      <c r="AA41" s="38">
        <f>IF($A41&gt;LastT,0,N41-V41-Q41/(1+Policy_Sched!$K41)+Z42/(1+Policy_Sched!$K41))</f>
        <v>0</v>
      </c>
    </row>
    <row r="42" spans="1:27" x14ac:dyDescent="0.2">
      <c r="A42" s="30">
        <f t="shared" si="33"/>
        <v>35</v>
      </c>
      <c r="B42" s="31">
        <f t="shared" si="34"/>
        <v>0</v>
      </c>
      <c r="C42" s="31">
        <f>IF($A42&gt;LastT,0,IF(AND($D$3&lt;&gt;0,$A42&gt;=T0,Policy_Sched!$B42&lt;LastAge),1+$D$3*$E$3,1))</f>
        <v>0</v>
      </c>
      <c r="D42" s="36">
        <f>IF($A42&gt;LastT,0,IF($C$3="up",MIN(Policy_Sched!$E42*(1+IF($A42&gt;=T0,$E$3,0)),$F$3),IF($C$3="down",MAX(Policy_Sched!$E42*(1-IF($A42&gt;=T0,$E$3,0)),Policy_Sched!$E42-$F$3),Policy_Sched!$E42)))</f>
        <v>0</v>
      </c>
      <c r="E42" s="37">
        <f t="shared" si="35"/>
        <v>0</v>
      </c>
      <c r="F42" s="37">
        <f t="shared" si="18"/>
        <v>0</v>
      </c>
      <c r="G42" s="37">
        <f t="shared" si="19"/>
        <v>0</v>
      </c>
      <c r="H42" s="37">
        <f t="shared" si="20"/>
        <v>0</v>
      </c>
      <c r="I42" s="37">
        <f t="shared" si="21"/>
        <v>0</v>
      </c>
      <c r="J42" s="37">
        <f t="shared" si="22"/>
        <v>0</v>
      </c>
      <c r="K42" s="37">
        <f>IF($A42&gt;LastT,0,J42*Policy_Sched!$C42*Policy_Sched!$D42*C42)</f>
        <v>0</v>
      </c>
      <c r="L42" s="41">
        <f t="shared" si="23"/>
        <v>0</v>
      </c>
      <c r="M42" s="38">
        <f t="shared" si="24"/>
        <v>0</v>
      </c>
      <c r="N42" s="38">
        <f t="shared" si="25"/>
        <v>0</v>
      </c>
      <c r="O42" s="38">
        <f t="shared" si="26"/>
        <v>0</v>
      </c>
      <c r="P42" s="38">
        <f>Policy_Sched!$I42*(L42+I42)</f>
        <v>0</v>
      </c>
      <c r="Q42" s="42">
        <f t="shared" si="27"/>
        <v>0</v>
      </c>
      <c r="R42" s="38">
        <f t="shared" si="28"/>
        <v>0</v>
      </c>
      <c r="S42" s="38">
        <f t="shared" si="29"/>
        <v>0</v>
      </c>
      <c r="T42" s="38">
        <f>Policy_Sched!$J42*J42</f>
        <v>0</v>
      </c>
      <c r="U42" s="42">
        <f t="shared" si="30"/>
        <v>0</v>
      </c>
      <c r="V42" s="42">
        <f t="shared" si="31"/>
        <v>0</v>
      </c>
      <c r="W42" s="38">
        <f>IF($A42&gt;LastT,0,N42+W43/(1+Policy_Sched!$K42))</f>
        <v>0</v>
      </c>
      <c r="X42" s="38">
        <f>IF($A42&gt;LastT,0,(-Q42+X43)/(1+Policy_Sched!$K42))</f>
        <v>0</v>
      </c>
      <c r="Y42" s="38">
        <f>IF($A42&gt;LastT,0,-V42+Y43/(1+Policy_Sched!$K42))</f>
        <v>0</v>
      </c>
      <c r="Z42" s="42">
        <f t="shared" si="32"/>
        <v>0</v>
      </c>
      <c r="AA42" s="38">
        <f>IF($A42&gt;LastT,0,N42-V42-Q42/(1+Policy_Sched!$K42)+Z43/(1+Policy_Sched!$K42))</f>
        <v>0</v>
      </c>
    </row>
    <row r="43" spans="1:27" x14ac:dyDescent="0.2">
      <c r="A43" s="30">
        <f t="shared" si="33"/>
        <v>36</v>
      </c>
      <c r="B43" s="31">
        <f t="shared" si="34"/>
        <v>0</v>
      </c>
      <c r="C43" s="31">
        <f>IF($A43&gt;LastT,0,IF(AND($D$3&lt;&gt;0,$A43&gt;=T0,Policy_Sched!$B43&lt;LastAge),1+$D$3*$E$3,1))</f>
        <v>0</v>
      </c>
      <c r="D43" s="36">
        <f>IF($A43&gt;LastT,0,IF($C$3="up",MIN(Policy_Sched!$E43*(1+IF($A43&gt;=T0,$E$3,0)),$F$3),IF($C$3="down",MAX(Policy_Sched!$E43*(1-IF($A43&gt;=T0,$E$3,0)),Policy_Sched!$E43-$F$3),Policy_Sched!$E43)))</f>
        <v>0</v>
      </c>
      <c r="E43" s="37">
        <f t="shared" si="35"/>
        <v>0</v>
      </c>
      <c r="F43" s="37">
        <f t="shared" si="18"/>
        <v>0</v>
      </c>
      <c r="G43" s="37">
        <f t="shared" si="19"/>
        <v>0</v>
      </c>
      <c r="H43" s="37">
        <f t="shared" si="20"/>
        <v>0</v>
      </c>
      <c r="I43" s="37">
        <f t="shared" si="21"/>
        <v>0</v>
      </c>
      <c r="J43" s="37">
        <f t="shared" si="22"/>
        <v>0</v>
      </c>
      <c r="K43" s="37">
        <f>IF($A43&gt;LastT,0,J43*Policy_Sched!$C43*Policy_Sched!$D43*C43)</f>
        <v>0</v>
      </c>
      <c r="L43" s="41">
        <f t="shared" si="23"/>
        <v>0</v>
      </c>
      <c r="M43" s="38">
        <f t="shared" si="24"/>
        <v>0</v>
      </c>
      <c r="N43" s="38">
        <f t="shared" si="25"/>
        <v>0</v>
      </c>
      <c r="O43" s="38">
        <f t="shared" si="26"/>
        <v>0</v>
      </c>
      <c r="P43" s="38">
        <f>Policy_Sched!$I43*(L43+I43)</f>
        <v>0</v>
      </c>
      <c r="Q43" s="42">
        <f t="shared" si="27"/>
        <v>0</v>
      </c>
      <c r="R43" s="38">
        <f t="shared" si="28"/>
        <v>0</v>
      </c>
      <c r="S43" s="38">
        <f t="shared" si="29"/>
        <v>0</v>
      </c>
      <c r="T43" s="38">
        <f>Policy_Sched!$J43*J43</f>
        <v>0</v>
      </c>
      <c r="U43" s="42">
        <f t="shared" si="30"/>
        <v>0</v>
      </c>
      <c r="V43" s="42">
        <f t="shared" si="31"/>
        <v>0</v>
      </c>
      <c r="W43" s="38">
        <f>IF($A43&gt;LastT,0,N43+W44/(1+Policy_Sched!$K43))</f>
        <v>0</v>
      </c>
      <c r="X43" s="38">
        <f>IF($A43&gt;LastT,0,(-Q43+X44)/(1+Policy_Sched!$K43))</f>
        <v>0</v>
      </c>
      <c r="Y43" s="38">
        <f>IF($A43&gt;LastT,0,-V43+Y44/(1+Policy_Sched!$K43))</f>
        <v>0</v>
      </c>
      <c r="Z43" s="42">
        <f t="shared" si="32"/>
        <v>0</v>
      </c>
      <c r="AA43" s="38">
        <f>IF($A43&gt;LastT,0,N43-V43-Q43/(1+Policy_Sched!$K43)+Z44/(1+Policy_Sched!$K43))</f>
        <v>0</v>
      </c>
    </row>
    <row r="44" spans="1:27" x14ac:dyDescent="0.2">
      <c r="A44" s="30">
        <f t="shared" si="33"/>
        <v>37</v>
      </c>
      <c r="B44" s="31">
        <f t="shared" si="34"/>
        <v>0</v>
      </c>
      <c r="C44" s="31">
        <f>IF($A44&gt;LastT,0,IF(AND($D$3&lt;&gt;0,$A44&gt;=T0,Policy_Sched!$B44&lt;LastAge),1+$D$3*$E$3,1))</f>
        <v>0</v>
      </c>
      <c r="D44" s="36">
        <f>IF($A44&gt;LastT,0,IF($C$3="up",MIN(Policy_Sched!$E44*(1+IF($A44&gt;=T0,$E$3,0)),$F$3),IF($C$3="down",MAX(Policy_Sched!$E44*(1-IF($A44&gt;=T0,$E$3,0)),Policy_Sched!$E44-$F$3),Policy_Sched!$E44)))</f>
        <v>0</v>
      </c>
      <c r="E44" s="37">
        <f t="shared" si="35"/>
        <v>0</v>
      </c>
      <c r="F44" s="37">
        <f t="shared" si="18"/>
        <v>0</v>
      </c>
      <c r="G44" s="37">
        <f t="shared" si="19"/>
        <v>0</v>
      </c>
      <c r="H44" s="37">
        <f t="shared" si="20"/>
        <v>0</v>
      </c>
      <c r="I44" s="37">
        <f t="shared" si="21"/>
        <v>0</v>
      </c>
      <c r="J44" s="37">
        <f t="shared" si="22"/>
        <v>0</v>
      </c>
      <c r="K44" s="37">
        <f>IF($A44&gt;LastT,0,J44*Policy_Sched!$C44*Policy_Sched!$D44*C44)</f>
        <v>0</v>
      </c>
      <c r="L44" s="41">
        <f t="shared" si="23"/>
        <v>0</v>
      </c>
      <c r="M44" s="38">
        <f t="shared" si="24"/>
        <v>0</v>
      </c>
      <c r="N44" s="38">
        <f t="shared" si="25"/>
        <v>0</v>
      </c>
      <c r="O44" s="38">
        <f t="shared" si="26"/>
        <v>0</v>
      </c>
      <c r="P44" s="38">
        <f>Policy_Sched!$I44*(L44+I44)</f>
        <v>0</v>
      </c>
      <c r="Q44" s="42">
        <f t="shared" si="27"/>
        <v>0</v>
      </c>
      <c r="R44" s="38">
        <f t="shared" si="28"/>
        <v>0</v>
      </c>
      <c r="S44" s="38">
        <f t="shared" si="29"/>
        <v>0</v>
      </c>
      <c r="T44" s="38">
        <f>Policy_Sched!$J44*J44</f>
        <v>0</v>
      </c>
      <c r="U44" s="42">
        <f t="shared" si="30"/>
        <v>0</v>
      </c>
      <c r="V44" s="42">
        <f t="shared" si="31"/>
        <v>0</v>
      </c>
      <c r="W44" s="38">
        <f>IF($A44&gt;LastT,0,N44+W45/(1+Policy_Sched!$K44))</f>
        <v>0</v>
      </c>
      <c r="X44" s="38">
        <f>IF($A44&gt;LastT,0,(-Q44+X45)/(1+Policy_Sched!$K44))</f>
        <v>0</v>
      </c>
      <c r="Y44" s="38">
        <f>IF($A44&gt;LastT,0,-V44+Y45/(1+Policy_Sched!$K44))</f>
        <v>0</v>
      </c>
      <c r="Z44" s="42">
        <f t="shared" si="32"/>
        <v>0</v>
      </c>
      <c r="AA44" s="38">
        <f>IF($A44&gt;LastT,0,N44-V44-Q44/(1+Policy_Sched!$K44)+Z45/(1+Policy_Sched!$K44))</f>
        <v>0</v>
      </c>
    </row>
    <row r="45" spans="1:27" x14ac:dyDescent="0.2">
      <c r="A45" s="30">
        <f t="shared" si="33"/>
        <v>38</v>
      </c>
      <c r="B45" s="31">
        <f t="shared" si="34"/>
        <v>0</v>
      </c>
      <c r="C45" s="31">
        <f>IF($A45&gt;LastT,0,IF(AND($D$3&lt;&gt;0,$A45&gt;=T0,Policy_Sched!$B45&lt;LastAge),1+$D$3*$E$3,1))</f>
        <v>0</v>
      </c>
      <c r="D45" s="36">
        <f>IF($A45&gt;LastT,0,IF($C$3="up",MIN(Policy_Sched!$E45*(1+IF($A45&gt;=T0,$E$3,0)),$F$3),IF($C$3="down",MAX(Policy_Sched!$E45*(1-IF($A45&gt;=T0,$E$3,0)),Policy_Sched!$E45-$F$3),Policy_Sched!$E45)))</f>
        <v>0</v>
      </c>
      <c r="E45" s="37">
        <f t="shared" si="35"/>
        <v>0</v>
      </c>
      <c r="F45" s="37">
        <f t="shared" si="18"/>
        <v>0</v>
      </c>
      <c r="G45" s="37">
        <f t="shared" si="19"/>
        <v>0</v>
      </c>
      <c r="H45" s="37">
        <f t="shared" si="20"/>
        <v>0</v>
      </c>
      <c r="I45" s="37">
        <f t="shared" si="21"/>
        <v>0</v>
      </c>
      <c r="J45" s="37">
        <f t="shared" si="22"/>
        <v>0</v>
      </c>
      <c r="K45" s="37">
        <f>IF($A45&gt;LastT,0,J45*Policy_Sched!$C45*Policy_Sched!$D45*C45)</f>
        <v>0</v>
      </c>
      <c r="L45" s="41">
        <f t="shared" si="23"/>
        <v>0</v>
      </c>
      <c r="M45" s="38">
        <f t="shared" si="24"/>
        <v>0</v>
      </c>
      <c r="N45" s="38">
        <f t="shared" si="25"/>
        <v>0</v>
      </c>
      <c r="O45" s="38">
        <f t="shared" si="26"/>
        <v>0</v>
      </c>
      <c r="P45" s="38">
        <f>Policy_Sched!$I45*(L45+I45)</f>
        <v>0</v>
      </c>
      <c r="Q45" s="42">
        <f t="shared" si="27"/>
        <v>0</v>
      </c>
      <c r="R45" s="38">
        <f t="shared" si="28"/>
        <v>0</v>
      </c>
      <c r="S45" s="38">
        <f t="shared" si="29"/>
        <v>0</v>
      </c>
      <c r="T45" s="38">
        <f>Policy_Sched!$J45*J45</f>
        <v>0</v>
      </c>
      <c r="U45" s="42">
        <f t="shared" si="30"/>
        <v>0</v>
      </c>
      <c r="V45" s="42">
        <f t="shared" si="31"/>
        <v>0</v>
      </c>
      <c r="W45" s="38">
        <f>IF($A45&gt;LastT,0,N45+W46/(1+Policy_Sched!$K45))</f>
        <v>0</v>
      </c>
      <c r="X45" s="38">
        <f>IF($A45&gt;LastT,0,(-Q45+X46)/(1+Policy_Sched!$K45))</f>
        <v>0</v>
      </c>
      <c r="Y45" s="38">
        <f>IF($A45&gt;LastT,0,-V45+Y46/(1+Policy_Sched!$K45))</f>
        <v>0</v>
      </c>
      <c r="Z45" s="42">
        <f t="shared" si="32"/>
        <v>0</v>
      </c>
      <c r="AA45" s="38">
        <f>IF($A45&gt;LastT,0,N45-V45-Q45/(1+Policy_Sched!$K45)+Z46/(1+Policy_Sched!$K45))</f>
        <v>0</v>
      </c>
    </row>
    <row r="46" spans="1:27" x14ac:dyDescent="0.2">
      <c r="A46" s="30">
        <f t="shared" si="33"/>
        <v>39</v>
      </c>
      <c r="B46" s="31">
        <f t="shared" si="34"/>
        <v>0</v>
      </c>
      <c r="C46" s="31">
        <f>IF($A46&gt;LastT,0,IF(AND($D$3&lt;&gt;0,$A46&gt;=T0,Policy_Sched!$B46&lt;LastAge),1+$D$3*$E$3,1))</f>
        <v>0</v>
      </c>
      <c r="D46" s="36">
        <f>IF($A46&gt;LastT,0,IF($C$3="up",MIN(Policy_Sched!$E46*(1+IF($A46&gt;=T0,$E$3,0)),$F$3),IF($C$3="down",MAX(Policy_Sched!$E46*(1-IF($A46&gt;=T0,$E$3,0)),Policy_Sched!$E46-$F$3),Policy_Sched!$E46)))</f>
        <v>0</v>
      </c>
      <c r="E46" s="37">
        <f t="shared" si="35"/>
        <v>0</v>
      </c>
      <c r="F46" s="37">
        <f t="shared" si="18"/>
        <v>0</v>
      </c>
      <c r="G46" s="37">
        <f t="shared" si="19"/>
        <v>0</v>
      </c>
      <c r="H46" s="37">
        <f t="shared" si="20"/>
        <v>0</v>
      </c>
      <c r="I46" s="37">
        <f t="shared" si="21"/>
        <v>0</v>
      </c>
      <c r="J46" s="37">
        <f t="shared" si="22"/>
        <v>0</v>
      </c>
      <c r="K46" s="37">
        <f>IF($A46&gt;LastT,0,J46*Policy_Sched!$C46*Policy_Sched!$D46*C46)</f>
        <v>0</v>
      </c>
      <c r="L46" s="41">
        <f t="shared" si="23"/>
        <v>0</v>
      </c>
      <c r="M46" s="38">
        <f t="shared" si="24"/>
        <v>0</v>
      </c>
      <c r="N46" s="38">
        <f t="shared" si="25"/>
        <v>0</v>
      </c>
      <c r="O46" s="38">
        <f t="shared" si="26"/>
        <v>0</v>
      </c>
      <c r="P46" s="38">
        <f>Policy_Sched!$I46*(L46+I46)</f>
        <v>0</v>
      </c>
      <c r="Q46" s="42">
        <f t="shared" si="27"/>
        <v>0</v>
      </c>
      <c r="R46" s="38">
        <f t="shared" si="28"/>
        <v>0</v>
      </c>
      <c r="S46" s="38">
        <f t="shared" si="29"/>
        <v>0</v>
      </c>
      <c r="T46" s="38">
        <f>Policy_Sched!$J46*J46</f>
        <v>0</v>
      </c>
      <c r="U46" s="42">
        <f t="shared" si="30"/>
        <v>0</v>
      </c>
      <c r="V46" s="42">
        <f t="shared" si="31"/>
        <v>0</v>
      </c>
      <c r="W46" s="38">
        <f>IF($A46&gt;LastT,0,N46+W47/(1+Policy_Sched!$K46))</f>
        <v>0</v>
      </c>
      <c r="X46" s="38">
        <f>IF($A46&gt;LastT,0,(-Q46+X47)/(1+Policy_Sched!$K46))</f>
        <v>0</v>
      </c>
      <c r="Y46" s="38">
        <f>IF($A46&gt;LastT,0,-V46+Y47/(1+Policy_Sched!$K46))</f>
        <v>0</v>
      </c>
      <c r="Z46" s="42">
        <f t="shared" si="32"/>
        <v>0</v>
      </c>
      <c r="AA46" s="38">
        <f>IF($A46&gt;LastT,0,N46-V46-Q46/(1+Policy_Sched!$K46)+Z47/(1+Policy_Sched!$K46))</f>
        <v>0</v>
      </c>
    </row>
    <row r="47" spans="1:27" x14ac:dyDescent="0.2">
      <c r="A47" s="30">
        <f t="shared" si="33"/>
        <v>40</v>
      </c>
      <c r="B47" s="31">
        <f t="shared" si="34"/>
        <v>0</v>
      </c>
      <c r="C47" s="31">
        <f>IF($A47&gt;LastT,0,IF(AND($D$3&lt;&gt;0,$A47&gt;=T0,Policy_Sched!$B47&lt;LastAge),1+$D$3*$E$3,1))</f>
        <v>0</v>
      </c>
      <c r="D47" s="36">
        <f>IF($A47&gt;LastT,0,IF($C$3="up",MIN(Policy_Sched!$E47*(1+IF($A47&gt;=T0,$E$3,0)),$F$3),IF($C$3="down",MAX(Policy_Sched!$E47*(1-IF($A47&gt;=T0,$E$3,0)),Policy_Sched!$E47-$F$3),Policy_Sched!$E47)))</f>
        <v>0</v>
      </c>
      <c r="E47" s="37">
        <f t="shared" si="35"/>
        <v>0</v>
      </c>
      <c r="F47" s="37">
        <f t="shared" si="18"/>
        <v>0</v>
      </c>
      <c r="G47" s="37">
        <f t="shared" si="19"/>
        <v>0</v>
      </c>
      <c r="H47" s="37">
        <f t="shared" si="20"/>
        <v>0</v>
      </c>
      <c r="I47" s="37">
        <f t="shared" si="21"/>
        <v>0</v>
      </c>
      <c r="J47" s="37">
        <f t="shared" si="22"/>
        <v>0</v>
      </c>
      <c r="K47" s="37">
        <f>IF($A47&gt;LastT,0,J47*Policy_Sched!$C47*Policy_Sched!$D47*C47)</f>
        <v>0</v>
      </c>
      <c r="L47" s="41">
        <f t="shared" si="23"/>
        <v>0</v>
      </c>
      <c r="M47" s="38">
        <f t="shared" si="24"/>
        <v>0</v>
      </c>
      <c r="N47" s="38">
        <f t="shared" si="25"/>
        <v>0</v>
      </c>
      <c r="O47" s="38">
        <f t="shared" si="26"/>
        <v>0</v>
      </c>
      <c r="P47" s="38">
        <f>Policy_Sched!$I47*(L47+I47)</f>
        <v>0</v>
      </c>
      <c r="Q47" s="42">
        <f t="shared" si="27"/>
        <v>0</v>
      </c>
      <c r="R47" s="38">
        <f t="shared" si="28"/>
        <v>0</v>
      </c>
      <c r="S47" s="38">
        <f t="shared" si="29"/>
        <v>0</v>
      </c>
      <c r="T47" s="38">
        <f>Policy_Sched!$J47*J47</f>
        <v>0</v>
      </c>
      <c r="U47" s="42">
        <f t="shared" si="30"/>
        <v>0</v>
      </c>
      <c r="V47" s="42">
        <f t="shared" si="31"/>
        <v>0</v>
      </c>
      <c r="W47" s="38">
        <f>IF($A47&gt;LastT,0,N47+W48/(1+Policy_Sched!$K47))</f>
        <v>0</v>
      </c>
      <c r="X47" s="38">
        <f>IF($A47&gt;LastT,0,(-Q47+X48)/(1+Policy_Sched!$K47))</f>
        <v>0</v>
      </c>
      <c r="Y47" s="38">
        <f>IF($A47&gt;LastT,0,-V47+Y48/(1+Policy_Sched!$K47))</f>
        <v>0</v>
      </c>
      <c r="Z47" s="42">
        <f t="shared" si="32"/>
        <v>0</v>
      </c>
      <c r="AA47" s="38">
        <f>IF($A47&gt;LastT,0,N47-V47-Q47/(1+Policy_Sched!$K47)+Z48/(1+Policy_Sched!$K47))</f>
        <v>0</v>
      </c>
    </row>
    <row r="48" spans="1:27" x14ac:dyDescent="0.2">
      <c r="A48" s="30">
        <f t="shared" si="33"/>
        <v>41</v>
      </c>
      <c r="B48" s="31">
        <f t="shared" si="34"/>
        <v>0</v>
      </c>
      <c r="C48" s="31">
        <f>IF($A48&gt;LastT,0,IF(AND($D$3&lt;&gt;0,$A48&gt;=T0,Policy_Sched!$B48&lt;LastAge),1+$D$3*$E$3,1))</f>
        <v>0</v>
      </c>
      <c r="D48" s="36">
        <f>IF($A48&gt;LastT,0,IF($C$3="up",MIN(Policy_Sched!$E48*(1+IF($A48&gt;=T0,$E$3,0)),$F$3),IF($C$3="down",MAX(Policy_Sched!$E48*(1-IF($A48&gt;=T0,$E$3,0)),Policy_Sched!$E48-$F$3),Policy_Sched!$E48)))</f>
        <v>0</v>
      </c>
      <c r="E48" s="37">
        <f t="shared" si="35"/>
        <v>0</v>
      </c>
      <c r="F48" s="37">
        <f t="shared" si="18"/>
        <v>0</v>
      </c>
      <c r="G48" s="37">
        <f t="shared" si="19"/>
        <v>0</v>
      </c>
      <c r="H48" s="37">
        <f t="shared" si="20"/>
        <v>0</v>
      </c>
      <c r="I48" s="37">
        <f t="shared" si="21"/>
        <v>0</v>
      </c>
      <c r="J48" s="37">
        <f t="shared" si="22"/>
        <v>0</v>
      </c>
      <c r="K48" s="37">
        <f>IF($A48&gt;LastT,0,J48*Policy_Sched!$C48*Policy_Sched!$D48*C48)</f>
        <v>0</v>
      </c>
      <c r="L48" s="41">
        <f t="shared" si="23"/>
        <v>0</v>
      </c>
      <c r="M48" s="38">
        <f t="shared" si="24"/>
        <v>0</v>
      </c>
      <c r="N48" s="38">
        <f t="shared" si="25"/>
        <v>0</v>
      </c>
      <c r="O48" s="38">
        <f t="shared" si="26"/>
        <v>0</v>
      </c>
      <c r="P48" s="38">
        <f>Policy_Sched!$I48*(L48+I48)</f>
        <v>0</v>
      </c>
      <c r="Q48" s="42">
        <f t="shared" si="27"/>
        <v>0</v>
      </c>
      <c r="R48" s="38">
        <f t="shared" si="28"/>
        <v>0</v>
      </c>
      <c r="S48" s="38">
        <f t="shared" si="29"/>
        <v>0</v>
      </c>
      <c r="T48" s="38">
        <f>Policy_Sched!$J48*J48</f>
        <v>0</v>
      </c>
      <c r="U48" s="42">
        <f t="shared" si="30"/>
        <v>0</v>
      </c>
      <c r="V48" s="42">
        <f t="shared" si="31"/>
        <v>0</v>
      </c>
      <c r="W48" s="38">
        <f>IF($A48&gt;LastT,0,N48+W49/(1+Policy_Sched!$K48))</f>
        <v>0</v>
      </c>
      <c r="X48" s="38">
        <f>IF($A48&gt;LastT,0,(-Q48+X49)/(1+Policy_Sched!$K48))</f>
        <v>0</v>
      </c>
      <c r="Y48" s="38">
        <f>IF($A48&gt;LastT,0,-V48+Y49/(1+Policy_Sched!$K48))</f>
        <v>0</v>
      </c>
      <c r="Z48" s="42">
        <f t="shared" si="32"/>
        <v>0</v>
      </c>
      <c r="AA48" s="38">
        <f>IF($A48&gt;LastT,0,N48-V48-Q48/(1+Policy_Sched!$K48)+Z49/(1+Policy_Sched!$K48))</f>
        <v>0</v>
      </c>
    </row>
    <row r="49" spans="1:27" x14ac:dyDescent="0.2">
      <c r="A49" s="30">
        <f t="shared" si="33"/>
        <v>42</v>
      </c>
      <c r="B49" s="31">
        <f t="shared" si="34"/>
        <v>0</v>
      </c>
      <c r="C49" s="31">
        <f>IF($A49&gt;LastT,0,IF(AND($D$3&lt;&gt;0,$A49&gt;=T0,Policy_Sched!$B49&lt;LastAge),1+$D$3*$E$3,1))</f>
        <v>0</v>
      </c>
      <c r="D49" s="36">
        <f>IF($A49&gt;LastT,0,IF($C$3="up",MIN(Policy_Sched!$E49*(1+IF($A49&gt;=T0,$E$3,0)),$F$3),IF($C$3="down",MAX(Policy_Sched!$E49*(1-IF($A49&gt;=T0,$E$3,0)),Policy_Sched!$E49-$F$3),Policy_Sched!$E49)))</f>
        <v>0</v>
      </c>
      <c r="E49" s="37">
        <f t="shared" si="35"/>
        <v>0</v>
      </c>
      <c r="F49" s="37">
        <f t="shared" si="18"/>
        <v>0</v>
      </c>
      <c r="G49" s="37">
        <f t="shared" si="19"/>
        <v>0</v>
      </c>
      <c r="H49" s="37">
        <f t="shared" si="20"/>
        <v>0</v>
      </c>
      <c r="I49" s="37">
        <f t="shared" si="21"/>
        <v>0</v>
      </c>
      <c r="J49" s="37">
        <f t="shared" si="22"/>
        <v>0</v>
      </c>
      <c r="K49" s="37">
        <f>IF($A49&gt;LastT,0,J49*Policy_Sched!$C49*Policy_Sched!$D49*C49)</f>
        <v>0</v>
      </c>
      <c r="L49" s="41">
        <f t="shared" si="23"/>
        <v>0</v>
      </c>
      <c r="M49" s="38">
        <f t="shared" si="24"/>
        <v>0</v>
      </c>
      <c r="N49" s="38">
        <f t="shared" si="25"/>
        <v>0</v>
      </c>
      <c r="O49" s="38">
        <f t="shared" si="26"/>
        <v>0</v>
      </c>
      <c r="P49" s="38">
        <f>Policy_Sched!$I49*(L49+I49)</f>
        <v>0</v>
      </c>
      <c r="Q49" s="42">
        <f t="shared" si="27"/>
        <v>0</v>
      </c>
      <c r="R49" s="38">
        <f t="shared" si="28"/>
        <v>0</v>
      </c>
      <c r="S49" s="38">
        <f t="shared" si="29"/>
        <v>0</v>
      </c>
      <c r="T49" s="38">
        <f>Policy_Sched!$J49*J49</f>
        <v>0</v>
      </c>
      <c r="U49" s="42">
        <f t="shared" si="30"/>
        <v>0</v>
      </c>
      <c r="V49" s="42">
        <f t="shared" si="31"/>
        <v>0</v>
      </c>
      <c r="W49" s="38">
        <f>IF($A49&gt;LastT,0,N49+W50/(1+Policy_Sched!$K49))</f>
        <v>0</v>
      </c>
      <c r="X49" s="38">
        <f>IF($A49&gt;LastT,0,(-Q49+X50)/(1+Policy_Sched!$K49))</f>
        <v>0</v>
      </c>
      <c r="Y49" s="38">
        <f>IF($A49&gt;LastT,0,-V49+Y50/(1+Policy_Sched!$K49))</f>
        <v>0</v>
      </c>
      <c r="Z49" s="42">
        <f t="shared" si="32"/>
        <v>0</v>
      </c>
      <c r="AA49" s="38">
        <f>IF($A49&gt;LastT,0,N49-V49-Q49/(1+Policy_Sched!$K49)+Z50/(1+Policy_Sched!$K49))</f>
        <v>0</v>
      </c>
    </row>
    <row r="50" spans="1:27" x14ac:dyDescent="0.2">
      <c r="A50" s="30">
        <f t="shared" si="33"/>
        <v>43</v>
      </c>
      <c r="B50" s="31">
        <f t="shared" si="34"/>
        <v>0</v>
      </c>
      <c r="C50" s="31">
        <f>IF($A50&gt;LastT,0,IF(AND($D$3&lt;&gt;0,$A50&gt;=T0,Policy_Sched!$B50&lt;LastAge),1+$D$3*$E$3,1))</f>
        <v>0</v>
      </c>
      <c r="D50" s="36">
        <f>IF($A50&gt;LastT,0,IF($C$3="up",MIN(Policy_Sched!$E50*(1+IF($A50&gt;=T0,$E$3,0)),$F$3),IF($C$3="down",MAX(Policy_Sched!$E50*(1-IF($A50&gt;=T0,$E$3,0)),Policy_Sched!$E50-$F$3),Policy_Sched!$E50)))</f>
        <v>0</v>
      </c>
      <c r="E50" s="37">
        <f t="shared" si="35"/>
        <v>0</v>
      </c>
      <c r="F50" s="37">
        <f t="shared" si="18"/>
        <v>0</v>
      </c>
      <c r="G50" s="37">
        <f t="shared" si="19"/>
        <v>0</v>
      </c>
      <c r="H50" s="37">
        <f t="shared" si="20"/>
        <v>0</v>
      </c>
      <c r="I50" s="37">
        <f t="shared" si="21"/>
        <v>0</v>
      </c>
      <c r="J50" s="37">
        <f t="shared" si="22"/>
        <v>0</v>
      </c>
      <c r="K50" s="37">
        <f>IF($A50&gt;LastT,0,J50*Policy_Sched!$C50*Policy_Sched!$D50*C50)</f>
        <v>0</v>
      </c>
      <c r="L50" s="41">
        <f t="shared" si="23"/>
        <v>0</v>
      </c>
      <c r="M50" s="38">
        <f t="shared" si="24"/>
        <v>0</v>
      </c>
      <c r="N50" s="38">
        <f t="shared" si="25"/>
        <v>0</v>
      </c>
      <c r="O50" s="38">
        <f t="shared" si="26"/>
        <v>0</v>
      </c>
      <c r="P50" s="38">
        <f>Policy_Sched!$I50*(L50+I50)</f>
        <v>0</v>
      </c>
      <c r="Q50" s="42">
        <f t="shared" si="27"/>
        <v>0</v>
      </c>
      <c r="R50" s="38">
        <f t="shared" si="28"/>
        <v>0</v>
      </c>
      <c r="S50" s="38">
        <f t="shared" si="29"/>
        <v>0</v>
      </c>
      <c r="T50" s="38">
        <f>Policy_Sched!$J50*J50</f>
        <v>0</v>
      </c>
      <c r="U50" s="42">
        <f t="shared" si="30"/>
        <v>0</v>
      </c>
      <c r="V50" s="42">
        <f t="shared" si="31"/>
        <v>0</v>
      </c>
      <c r="W50" s="38">
        <f>IF($A50&gt;LastT,0,N50+W51/(1+Policy_Sched!$K50))</f>
        <v>0</v>
      </c>
      <c r="X50" s="38">
        <f>IF($A50&gt;LastT,0,(-Q50+X51)/(1+Policy_Sched!$K50))</f>
        <v>0</v>
      </c>
      <c r="Y50" s="38">
        <f>IF($A50&gt;LastT,0,-V50+Y51/(1+Policy_Sched!$K50))</f>
        <v>0</v>
      </c>
      <c r="Z50" s="42">
        <f t="shared" si="32"/>
        <v>0</v>
      </c>
      <c r="AA50" s="38">
        <f>IF($A50&gt;LastT,0,N50-V50-Q50/(1+Policy_Sched!$K50)+Z51/(1+Policy_Sched!$K50))</f>
        <v>0</v>
      </c>
    </row>
    <row r="51" spans="1:27" x14ac:dyDescent="0.2">
      <c r="A51" s="30">
        <f t="shared" si="33"/>
        <v>44</v>
      </c>
      <c r="B51" s="31">
        <f t="shared" si="34"/>
        <v>0</v>
      </c>
      <c r="C51" s="31">
        <f>IF($A51&gt;LastT,0,IF(AND($D$3&lt;&gt;0,$A51&gt;=T0,Policy_Sched!$B51&lt;LastAge),1+$D$3*$E$3,1))</f>
        <v>0</v>
      </c>
      <c r="D51" s="36">
        <f>IF($A51&gt;LastT,0,IF($C$3="up",MIN(Policy_Sched!$E51*(1+IF($A51&gt;=T0,$E$3,0)),$F$3),IF($C$3="down",MAX(Policy_Sched!$E51*(1-IF($A51&gt;=T0,$E$3,0)),Policy_Sched!$E51-$F$3),Policy_Sched!$E51)))</f>
        <v>0</v>
      </c>
      <c r="E51" s="37">
        <f t="shared" si="35"/>
        <v>0</v>
      </c>
      <c r="F51" s="37">
        <f t="shared" si="18"/>
        <v>0</v>
      </c>
      <c r="G51" s="37">
        <f t="shared" si="19"/>
        <v>0</v>
      </c>
      <c r="H51" s="37">
        <f t="shared" si="20"/>
        <v>0</v>
      </c>
      <c r="I51" s="37">
        <f t="shared" si="21"/>
        <v>0</v>
      </c>
      <c r="J51" s="37">
        <f t="shared" si="22"/>
        <v>0</v>
      </c>
      <c r="K51" s="37">
        <f>IF($A51&gt;LastT,0,J51*Policy_Sched!$C51*Policy_Sched!$D51*C51)</f>
        <v>0</v>
      </c>
      <c r="L51" s="41">
        <f t="shared" si="23"/>
        <v>0</v>
      </c>
      <c r="M51" s="38">
        <f t="shared" si="24"/>
        <v>0</v>
      </c>
      <c r="N51" s="38">
        <f t="shared" si="25"/>
        <v>0</v>
      </c>
      <c r="O51" s="38">
        <f t="shared" si="26"/>
        <v>0</v>
      </c>
      <c r="P51" s="38">
        <f>Policy_Sched!$I51*(L51+I51)</f>
        <v>0</v>
      </c>
      <c r="Q51" s="42">
        <f t="shared" si="27"/>
        <v>0</v>
      </c>
      <c r="R51" s="38">
        <f t="shared" si="28"/>
        <v>0</v>
      </c>
      <c r="S51" s="38">
        <f t="shared" si="29"/>
        <v>0</v>
      </c>
      <c r="T51" s="38">
        <f>Policy_Sched!$J51*J51</f>
        <v>0</v>
      </c>
      <c r="U51" s="42">
        <f t="shared" si="30"/>
        <v>0</v>
      </c>
      <c r="V51" s="42">
        <f t="shared" si="31"/>
        <v>0</v>
      </c>
      <c r="W51" s="38">
        <f>IF($A51&gt;LastT,0,N51+W52/(1+Policy_Sched!$K51))</f>
        <v>0</v>
      </c>
      <c r="X51" s="38">
        <f>IF($A51&gt;LastT,0,(-Q51+X52)/(1+Policy_Sched!$K51))</f>
        <v>0</v>
      </c>
      <c r="Y51" s="38">
        <f>IF($A51&gt;LastT,0,-V51+Y52/(1+Policy_Sched!$K51))</f>
        <v>0</v>
      </c>
      <c r="Z51" s="42">
        <f t="shared" si="32"/>
        <v>0</v>
      </c>
      <c r="AA51" s="38">
        <f>IF($A51&gt;LastT,0,N51-V51-Q51/(1+Policy_Sched!$K51)+Z52/(1+Policy_Sched!$K51))</f>
        <v>0</v>
      </c>
    </row>
    <row r="52" spans="1:27" x14ac:dyDescent="0.2">
      <c r="A52" s="30">
        <f t="shared" si="33"/>
        <v>45</v>
      </c>
      <c r="B52" s="31">
        <f t="shared" si="34"/>
        <v>0</v>
      </c>
      <c r="C52" s="31">
        <f>IF($A52&gt;LastT,0,IF(AND($D$3&lt;&gt;0,$A52&gt;=T0,Policy_Sched!$B52&lt;LastAge),1+$D$3*$E$3,1))</f>
        <v>0</v>
      </c>
      <c r="D52" s="36">
        <f>IF($A52&gt;LastT,0,IF($C$3="up",MIN(Policy_Sched!$E52*(1+IF($A52&gt;=T0,$E$3,0)),$F$3),IF($C$3="down",MAX(Policy_Sched!$E52*(1-IF($A52&gt;=T0,$E$3,0)),Policy_Sched!$E52-$F$3),Policy_Sched!$E52)))</f>
        <v>0</v>
      </c>
      <c r="E52" s="37">
        <f t="shared" si="35"/>
        <v>0</v>
      </c>
      <c r="F52" s="37">
        <f t="shared" si="18"/>
        <v>0</v>
      </c>
      <c r="G52" s="37">
        <f t="shared" si="19"/>
        <v>0</v>
      </c>
      <c r="H52" s="37">
        <f t="shared" si="20"/>
        <v>0</v>
      </c>
      <c r="I52" s="37">
        <f t="shared" si="21"/>
        <v>0</v>
      </c>
      <c r="J52" s="37">
        <f t="shared" si="22"/>
        <v>0</v>
      </c>
      <c r="K52" s="37">
        <f>IF($A52&gt;LastT,0,J52*Policy_Sched!$C52*Policy_Sched!$D52*C52)</f>
        <v>0</v>
      </c>
      <c r="L52" s="41">
        <f t="shared" si="23"/>
        <v>0</v>
      </c>
      <c r="M52" s="38">
        <f t="shared" si="24"/>
        <v>0</v>
      </c>
      <c r="N52" s="38">
        <f t="shared" si="25"/>
        <v>0</v>
      </c>
      <c r="O52" s="38">
        <f t="shared" si="26"/>
        <v>0</v>
      </c>
      <c r="P52" s="38">
        <f>Policy_Sched!$I52*(L52+I52)</f>
        <v>0</v>
      </c>
      <c r="Q52" s="42">
        <f t="shared" si="27"/>
        <v>0</v>
      </c>
      <c r="R52" s="38">
        <f t="shared" si="28"/>
        <v>0</v>
      </c>
      <c r="S52" s="38">
        <f t="shared" si="29"/>
        <v>0</v>
      </c>
      <c r="T52" s="38">
        <f>Policy_Sched!$J52*J52</f>
        <v>0</v>
      </c>
      <c r="U52" s="42">
        <f t="shared" si="30"/>
        <v>0</v>
      </c>
      <c r="V52" s="42">
        <f t="shared" si="31"/>
        <v>0</v>
      </c>
      <c r="W52" s="38">
        <f>IF($A52&gt;LastT,0,N52+W53/(1+Policy_Sched!$K52))</f>
        <v>0</v>
      </c>
      <c r="X52" s="38">
        <f>IF($A52&gt;LastT,0,(-Q52+X53)/(1+Policy_Sched!$K52))</f>
        <v>0</v>
      </c>
      <c r="Y52" s="38">
        <f>IF($A52&gt;LastT,0,-V52+Y53/(1+Policy_Sched!$K52))</f>
        <v>0</v>
      </c>
      <c r="Z52" s="42">
        <f t="shared" si="32"/>
        <v>0</v>
      </c>
      <c r="AA52" s="38">
        <f>IF($A52&gt;LastT,0,N52-V52-Q52/(1+Policy_Sched!$K52)+Z53/(1+Policy_Sched!$K52))</f>
        <v>0</v>
      </c>
    </row>
    <row r="53" spans="1:27" x14ac:dyDescent="0.2">
      <c r="A53" s="30">
        <f t="shared" si="33"/>
        <v>46</v>
      </c>
      <c r="B53" s="31">
        <f t="shared" si="34"/>
        <v>0</v>
      </c>
      <c r="C53" s="31">
        <f>IF($A53&gt;LastT,0,IF(AND($D$3&lt;&gt;0,$A53&gt;=T0,Policy_Sched!$B53&lt;LastAge),1+$D$3*$E$3,1))</f>
        <v>0</v>
      </c>
      <c r="D53" s="36">
        <f>IF($A53&gt;LastT,0,IF($C$3="up",MIN(Policy_Sched!$E53*(1+IF($A53&gt;=T0,$E$3,0)),$F$3),IF($C$3="down",MAX(Policy_Sched!$E53*(1-IF($A53&gt;=T0,$E$3,0)),Policy_Sched!$E53-$F$3),Policy_Sched!$E53)))</f>
        <v>0</v>
      </c>
      <c r="E53" s="37">
        <f t="shared" si="35"/>
        <v>0</v>
      </c>
      <c r="F53" s="37">
        <f t="shared" si="18"/>
        <v>0</v>
      </c>
      <c r="G53" s="37">
        <f t="shared" si="19"/>
        <v>0</v>
      </c>
      <c r="H53" s="37">
        <f t="shared" si="20"/>
        <v>0</v>
      </c>
      <c r="I53" s="37">
        <f t="shared" si="21"/>
        <v>0</v>
      </c>
      <c r="J53" s="37">
        <f t="shared" si="22"/>
        <v>0</v>
      </c>
      <c r="K53" s="37">
        <f>IF($A53&gt;LastT,0,J53*Policy_Sched!$C53*Policy_Sched!$D53*C53)</f>
        <v>0</v>
      </c>
      <c r="L53" s="41">
        <f t="shared" si="23"/>
        <v>0</v>
      </c>
      <c r="M53" s="38">
        <f t="shared" si="24"/>
        <v>0</v>
      </c>
      <c r="N53" s="38">
        <f t="shared" si="25"/>
        <v>0</v>
      </c>
      <c r="O53" s="38">
        <f t="shared" si="26"/>
        <v>0</v>
      </c>
      <c r="P53" s="38">
        <f>Policy_Sched!$I53*(L53+I53)</f>
        <v>0</v>
      </c>
      <c r="Q53" s="42">
        <f t="shared" si="27"/>
        <v>0</v>
      </c>
      <c r="R53" s="38">
        <f t="shared" si="28"/>
        <v>0</v>
      </c>
      <c r="S53" s="38">
        <f t="shared" si="29"/>
        <v>0</v>
      </c>
      <c r="T53" s="38">
        <f>Policy_Sched!$J53*J53</f>
        <v>0</v>
      </c>
      <c r="U53" s="42">
        <f t="shared" si="30"/>
        <v>0</v>
      </c>
      <c r="V53" s="42">
        <f t="shared" si="31"/>
        <v>0</v>
      </c>
      <c r="W53" s="38">
        <f>IF($A53&gt;LastT,0,N53+W54/(1+Policy_Sched!$K53))</f>
        <v>0</v>
      </c>
      <c r="X53" s="38">
        <f>IF($A53&gt;LastT,0,(-Q53+X54)/(1+Policy_Sched!$K53))</f>
        <v>0</v>
      </c>
      <c r="Y53" s="38">
        <f>IF($A53&gt;LastT,0,-V53+Y54/(1+Policy_Sched!$K53))</f>
        <v>0</v>
      </c>
      <c r="Z53" s="42">
        <f t="shared" si="32"/>
        <v>0</v>
      </c>
      <c r="AA53" s="38">
        <f>IF($A53&gt;LastT,0,N53-V53-Q53/(1+Policy_Sched!$K53)+Z54/(1+Policy_Sched!$K53))</f>
        <v>0</v>
      </c>
    </row>
    <row r="54" spans="1:27" x14ac:dyDescent="0.2">
      <c r="A54" s="30">
        <f t="shared" si="33"/>
        <v>47</v>
      </c>
      <c r="B54" s="31">
        <f t="shared" si="34"/>
        <v>0</v>
      </c>
      <c r="C54" s="31">
        <f>IF($A54&gt;LastT,0,IF(AND($D$3&lt;&gt;0,$A54&gt;=T0,Policy_Sched!$B54&lt;LastAge),1+$D$3*$E$3,1))</f>
        <v>0</v>
      </c>
      <c r="D54" s="36">
        <f>IF($A54&gt;LastT,0,IF($C$3="up",MIN(Policy_Sched!$E54*(1+IF($A54&gt;=T0,$E$3,0)),$F$3),IF($C$3="down",MAX(Policy_Sched!$E54*(1-IF($A54&gt;=T0,$E$3,0)),Policy_Sched!$E54-$F$3),Policy_Sched!$E54)))</f>
        <v>0</v>
      </c>
      <c r="E54" s="37">
        <f t="shared" si="35"/>
        <v>0</v>
      </c>
      <c r="F54" s="37">
        <f t="shared" si="18"/>
        <v>0</v>
      </c>
      <c r="G54" s="37">
        <f t="shared" si="19"/>
        <v>0</v>
      </c>
      <c r="H54" s="37">
        <f t="shared" si="20"/>
        <v>0</v>
      </c>
      <c r="I54" s="37">
        <f t="shared" si="21"/>
        <v>0</v>
      </c>
      <c r="J54" s="37">
        <f t="shared" si="22"/>
        <v>0</v>
      </c>
      <c r="K54" s="37">
        <f>IF($A54&gt;LastT,0,J54*Policy_Sched!$C54*Policy_Sched!$D54*C54)</f>
        <v>0</v>
      </c>
      <c r="L54" s="41">
        <f t="shared" si="23"/>
        <v>0</v>
      </c>
      <c r="M54" s="38">
        <f t="shared" si="24"/>
        <v>0</v>
      </c>
      <c r="N54" s="38">
        <f t="shared" si="25"/>
        <v>0</v>
      </c>
      <c r="O54" s="38">
        <f t="shared" si="26"/>
        <v>0</v>
      </c>
      <c r="P54" s="38">
        <f>Policy_Sched!$I54*(L54+I54)</f>
        <v>0</v>
      </c>
      <c r="Q54" s="42">
        <f t="shared" si="27"/>
        <v>0</v>
      </c>
      <c r="R54" s="38">
        <f t="shared" si="28"/>
        <v>0</v>
      </c>
      <c r="S54" s="38">
        <f t="shared" si="29"/>
        <v>0</v>
      </c>
      <c r="T54" s="38">
        <f>Policy_Sched!$J54*J54</f>
        <v>0</v>
      </c>
      <c r="U54" s="42">
        <f t="shared" si="30"/>
        <v>0</v>
      </c>
      <c r="V54" s="42">
        <f t="shared" si="31"/>
        <v>0</v>
      </c>
      <c r="W54" s="38">
        <f>IF($A54&gt;LastT,0,N54+W55/(1+Policy_Sched!$K54))</f>
        <v>0</v>
      </c>
      <c r="X54" s="38">
        <f>IF($A54&gt;LastT,0,(-Q54+X55)/(1+Policy_Sched!$K54))</f>
        <v>0</v>
      </c>
      <c r="Y54" s="38">
        <f>IF($A54&gt;LastT,0,-V54+Y55/(1+Policy_Sched!$K54))</f>
        <v>0</v>
      </c>
      <c r="Z54" s="42">
        <f t="shared" si="32"/>
        <v>0</v>
      </c>
      <c r="AA54" s="38">
        <f>IF($A54&gt;LastT,0,N54-V54-Q54/(1+Policy_Sched!$K54)+Z55/(1+Policy_Sched!$K54))</f>
        <v>0</v>
      </c>
    </row>
    <row r="55" spans="1:27" x14ac:dyDescent="0.2">
      <c r="A55" s="30">
        <f t="shared" si="33"/>
        <v>48</v>
      </c>
      <c r="B55" s="31">
        <f t="shared" si="34"/>
        <v>0</v>
      </c>
      <c r="C55" s="31">
        <f>IF($A55&gt;LastT,0,IF(AND($D$3&lt;&gt;0,$A55&gt;=T0,Policy_Sched!$B55&lt;LastAge),1+$D$3*$E$3,1))</f>
        <v>0</v>
      </c>
      <c r="D55" s="36">
        <f>IF($A55&gt;LastT,0,IF($C$3="up",MIN(Policy_Sched!$E55*(1+IF($A55&gt;=T0,$E$3,0)),$F$3),IF($C$3="down",MAX(Policy_Sched!$E55*(1-IF($A55&gt;=T0,$E$3,0)),Policy_Sched!$E55-$F$3),Policy_Sched!$E55)))</f>
        <v>0</v>
      </c>
      <c r="E55" s="37">
        <f t="shared" si="35"/>
        <v>0</v>
      </c>
      <c r="F55" s="37">
        <f t="shared" si="18"/>
        <v>0</v>
      </c>
      <c r="G55" s="37">
        <f t="shared" si="19"/>
        <v>0</v>
      </c>
      <c r="H55" s="37">
        <f t="shared" si="20"/>
        <v>0</v>
      </c>
      <c r="I55" s="37">
        <f t="shared" si="21"/>
        <v>0</v>
      </c>
      <c r="J55" s="37">
        <f t="shared" si="22"/>
        <v>0</v>
      </c>
      <c r="K55" s="37">
        <f>IF($A55&gt;LastT,0,J55*Policy_Sched!$C55*Policy_Sched!$D55*C55)</f>
        <v>0</v>
      </c>
      <c r="L55" s="41">
        <f t="shared" si="23"/>
        <v>0</v>
      </c>
      <c r="M55" s="38">
        <f t="shared" si="24"/>
        <v>0</v>
      </c>
      <c r="N55" s="38">
        <f t="shared" si="25"/>
        <v>0</v>
      </c>
      <c r="O55" s="38">
        <f t="shared" si="26"/>
        <v>0</v>
      </c>
      <c r="P55" s="38">
        <f>Policy_Sched!$I55*(L55+I55)</f>
        <v>0</v>
      </c>
      <c r="Q55" s="42">
        <f t="shared" si="27"/>
        <v>0</v>
      </c>
      <c r="R55" s="38">
        <f t="shared" si="28"/>
        <v>0</v>
      </c>
      <c r="S55" s="38">
        <f t="shared" si="29"/>
        <v>0</v>
      </c>
      <c r="T55" s="38">
        <f>Policy_Sched!$J55*J55</f>
        <v>0</v>
      </c>
      <c r="U55" s="42">
        <f t="shared" si="30"/>
        <v>0</v>
      </c>
      <c r="V55" s="42">
        <f t="shared" si="31"/>
        <v>0</v>
      </c>
      <c r="W55" s="38">
        <f>IF($A55&gt;LastT,0,N55+W56/(1+Policy_Sched!$K55))</f>
        <v>0</v>
      </c>
      <c r="X55" s="38">
        <f>IF($A55&gt;LastT,0,(-Q55+X56)/(1+Policy_Sched!$K55))</f>
        <v>0</v>
      </c>
      <c r="Y55" s="38">
        <f>IF($A55&gt;LastT,0,-V55+Y56/(1+Policy_Sched!$K55))</f>
        <v>0</v>
      </c>
      <c r="Z55" s="42">
        <f t="shared" si="32"/>
        <v>0</v>
      </c>
      <c r="AA55" s="38">
        <f>IF($A55&gt;LastT,0,N55-V55-Q55/(1+Policy_Sched!$K55)+Z56/(1+Policy_Sched!$K55))</f>
        <v>0</v>
      </c>
    </row>
    <row r="56" spans="1:27" x14ac:dyDescent="0.2">
      <c r="A56" s="30">
        <f t="shared" si="33"/>
        <v>49</v>
      </c>
      <c r="B56" s="31">
        <f t="shared" si="34"/>
        <v>0</v>
      </c>
      <c r="C56" s="31">
        <f>IF($A56&gt;LastT,0,IF(AND($D$3&lt;&gt;0,$A56&gt;=T0,Policy_Sched!$B56&lt;LastAge),1+$D$3*$E$3,1))</f>
        <v>0</v>
      </c>
      <c r="D56" s="36">
        <f>IF($A56&gt;LastT,0,IF($C$3="up",MIN(Policy_Sched!$E56*(1+IF($A56&gt;=T0,$E$3,0)),$F$3),IF($C$3="down",MAX(Policy_Sched!$E56*(1-IF($A56&gt;=T0,$E$3,0)),Policy_Sched!$E56-$F$3),Policy_Sched!$E56)))</f>
        <v>0</v>
      </c>
      <c r="E56" s="37">
        <f t="shared" si="35"/>
        <v>0</v>
      </c>
      <c r="F56" s="37">
        <f t="shared" si="18"/>
        <v>0</v>
      </c>
      <c r="G56" s="37">
        <f t="shared" si="19"/>
        <v>0</v>
      </c>
      <c r="H56" s="37">
        <f t="shared" si="20"/>
        <v>0</v>
      </c>
      <c r="I56" s="37">
        <f t="shared" si="21"/>
        <v>0</v>
      </c>
      <c r="J56" s="37">
        <f t="shared" si="22"/>
        <v>0</v>
      </c>
      <c r="K56" s="37">
        <f>IF($A56&gt;LastT,0,J56*Policy_Sched!$C56*Policy_Sched!$D56*C56)</f>
        <v>0</v>
      </c>
      <c r="L56" s="41">
        <f t="shared" si="23"/>
        <v>0</v>
      </c>
      <c r="M56" s="38">
        <f t="shared" si="24"/>
        <v>0</v>
      </c>
      <c r="N56" s="38">
        <f t="shared" si="25"/>
        <v>0</v>
      </c>
      <c r="O56" s="38">
        <f t="shared" si="26"/>
        <v>0</v>
      </c>
      <c r="P56" s="38">
        <f>Policy_Sched!$I56*(L56+I56)</f>
        <v>0</v>
      </c>
      <c r="Q56" s="42">
        <f t="shared" si="27"/>
        <v>0</v>
      </c>
      <c r="R56" s="38">
        <f t="shared" si="28"/>
        <v>0</v>
      </c>
      <c r="S56" s="38">
        <f t="shared" si="29"/>
        <v>0</v>
      </c>
      <c r="T56" s="38">
        <f>Policy_Sched!$J56*J56</f>
        <v>0</v>
      </c>
      <c r="U56" s="42">
        <f t="shared" si="30"/>
        <v>0</v>
      </c>
      <c r="V56" s="42">
        <f t="shared" si="31"/>
        <v>0</v>
      </c>
      <c r="W56" s="38">
        <f>IF($A56&gt;LastT,0,N56+W57/(1+Policy_Sched!$K56))</f>
        <v>0</v>
      </c>
      <c r="X56" s="38">
        <f>IF($A56&gt;LastT,0,(-Q56+X57)/(1+Policy_Sched!$K56))</f>
        <v>0</v>
      </c>
      <c r="Y56" s="38">
        <f>IF($A56&gt;LastT,0,-V56+Y57/(1+Policy_Sched!$K56))</f>
        <v>0</v>
      </c>
      <c r="Z56" s="42">
        <f t="shared" si="32"/>
        <v>0</v>
      </c>
      <c r="AA56" s="38">
        <f>IF($A56&gt;LastT,0,N56-V56-Q56/(1+Policy_Sched!$K56)+Z57/(1+Policy_Sched!$K56))</f>
        <v>0</v>
      </c>
    </row>
    <row r="57" spans="1:27" x14ac:dyDescent="0.2">
      <c r="A57" s="30">
        <f t="shared" si="33"/>
        <v>50</v>
      </c>
      <c r="B57" s="31">
        <f t="shared" si="34"/>
        <v>0</v>
      </c>
      <c r="C57" s="31">
        <f>IF($A57&gt;LastT,0,IF(AND($D$3&lt;&gt;0,$A57&gt;=T0,Policy_Sched!$B57&lt;LastAge),1+$D$3*$E$3,1))</f>
        <v>0</v>
      </c>
      <c r="D57" s="36">
        <f>IF($A57&gt;LastT,0,IF($C$3="up",MIN(Policy_Sched!$E57*(1+IF($A57&gt;=T0,$E$3,0)),$F$3),IF($C$3="down",MAX(Policy_Sched!$E57*(1-IF($A57&gt;=T0,$E$3,0)),Policy_Sched!$E57-$F$3),Policy_Sched!$E57)))</f>
        <v>0</v>
      </c>
      <c r="E57" s="37">
        <f t="shared" si="35"/>
        <v>0</v>
      </c>
      <c r="F57" s="37">
        <f t="shared" si="18"/>
        <v>0</v>
      </c>
      <c r="G57" s="37">
        <f t="shared" si="19"/>
        <v>0</v>
      </c>
      <c r="H57" s="37">
        <f t="shared" si="20"/>
        <v>0</v>
      </c>
      <c r="I57" s="37">
        <f t="shared" si="21"/>
        <v>0</v>
      </c>
      <c r="J57" s="37">
        <f t="shared" si="22"/>
        <v>0</v>
      </c>
      <c r="K57" s="37">
        <f>IF($A57&gt;LastT,0,J57*Policy_Sched!$C57*Policy_Sched!$D57*C57)</f>
        <v>0</v>
      </c>
      <c r="L57" s="41">
        <f t="shared" si="23"/>
        <v>0</v>
      </c>
      <c r="M57" s="38">
        <f t="shared" si="24"/>
        <v>0</v>
      </c>
      <c r="N57" s="38">
        <f t="shared" si="25"/>
        <v>0</v>
      </c>
      <c r="O57" s="38">
        <f t="shared" si="26"/>
        <v>0</v>
      </c>
      <c r="P57" s="38">
        <f>Policy_Sched!$I57*(L57+I57)</f>
        <v>0</v>
      </c>
      <c r="Q57" s="42">
        <f t="shared" si="27"/>
        <v>0</v>
      </c>
      <c r="R57" s="38">
        <f t="shared" si="28"/>
        <v>0</v>
      </c>
      <c r="S57" s="38">
        <f t="shared" si="29"/>
        <v>0</v>
      </c>
      <c r="T57" s="38">
        <f>Policy_Sched!$J57*J57</f>
        <v>0</v>
      </c>
      <c r="U57" s="42">
        <f t="shared" si="30"/>
        <v>0</v>
      </c>
      <c r="V57" s="42">
        <f t="shared" si="31"/>
        <v>0</v>
      </c>
      <c r="W57" s="38">
        <f>IF($A57&gt;LastT,0,N57+W58/(1+Policy_Sched!$K57))</f>
        <v>0</v>
      </c>
      <c r="X57" s="38">
        <f>IF($A57&gt;LastT,0,(-Q57+X58)/(1+Policy_Sched!$K57))</f>
        <v>0</v>
      </c>
      <c r="Y57" s="38">
        <f>IF($A57&gt;LastT,0,-V57+Y58/(1+Policy_Sched!$K57))</f>
        <v>0</v>
      </c>
      <c r="Z57" s="42">
        <f t="shared" si="32"/>
        <v>0</v>
      </c>
      <c r="AA57" s="38">
        <f>IF($A57&gt;LastT,0,N57-V57-Q57/(1+Policy_Sched!$K57)+Z58/(1+Policy_Sched!$K57))</f>
        <v>0</v>
      </c>
    </row>
    <row r="58" spans="1:27" x14ac:dyDescent="0.2">
      <c r="A58" s="30">
        <f t="shared" si="33"/>
        <v>51</v>
      </c>
      <c r="B58" s="31">
        <f t="shared" si="34"/>
        <v>0</v>
      </c>
      <c r="C58" s="31">
        <f>IF($A58&gt;LastT,0,IF(AND($D$3&lt;&gt;0,$A58&gt;=T0,Policy_Sched!$B58&lt;LastAge),1+$D$3*$E$3,1))</f>
        <v>0</v>
      </c>
      <c r="D58" s="36">
        <f>IF($A58&gt;LastT,0,IF($C$3="up",MIN(Policy_Sched!$E58*(1+IF($A58&gt;=T0,$E$3,0)),$F$3),IF($C$3="down",MAX(Policy_Sched!$E58*(1-IF($A58&gt;=T0,$E$3,0)),Policy_Sched!$E58-$F$3),Policy_Sched!$E58)))</f>
        <v>0</v>
      </c>
      <c r="E58" s="37">
        <f t="shared" si="35"/>
        <v>0</v>
      </c>
      <c r="F58" s="37">
        <f t="shared" si="18"/>
        <v>0</v>
      </c>
      <c r="G58" s="37">
        <f t="shared" si="19"/>
        <v>0</v>
      </c>
      <c r="H58" s="37">
        <f t="shared" si="20"/>
        <v>0</v>
      </c>
      <c r="I58" s="37">
        <f t="shared" si="21"/>
        <v>0</v>
      </c>
      <c r="J58" s="37">
        <f t="shared" si="22"/>
        <v>0</v>
      </c>
      <c r="K58" s="37">
        <f>IF($A58&gt;LastT,0,J58*Policy_Sched!$C58*Policy_Sched!$D58*C58)</f>
        <v>0</v>
      </c>
      <c r="L58" s="41">
        <f t="shared" si="23"/>
        <v>0</v>
      </c>
      <c r="M58" s="38">
        <f t="shared" si="24"/>
        <v>0</v>
      </c>
      <c r="N58" s="38">
        <f t="shared" si="25"/>
        <v>0</v>
      </c>
      <c r="O58" s="38">
        <f t="shared" si="26"/>
        <v>0</v>
      </c>
      <c r="P58" s="38">
        <f>Policy_Sched!$I58*(L58+I58)</f>
        <v>0</v>
      </c>
      <c r="Q58" s="42">
        <f t="shared" si="27"/>
        <v>0</v>
      </c>
      <c r="R58" s="38">
        <f t="shared" si="28"/>
        <v>0</v>
      </c>
      <c r="S58" s="38">
        <f t="shared" si="29"/>
        <v>0</v>
      </c>
      <c r="T58" s="38">
        <f>Policy_Sched!$J58*J58</f>
        <v>0</v>
      </c>
      <c r="U58" s="42">
        <f t="shared" si="30"/>
        <v>0</v>
      </c>
      <c r="V58" s="42">
        <f t="shared" si="31"/>
        <v>0</v>
      </c>
      <c r="W58" s="38">
        <f>IF($A58&gt;LastT,0,N58+W59/(1+Policy_Sched!$K58))</f>
        <v>0</v>
      </c>
      <c r="X58" s="38">
        <f>IF($A58&gt;LastT,0,(-Q58+X59)/(1+Policy_Sched!$K58))</f>
        <v>0</v>
      </c>
      <c r="Y58" s="38">
        <f>IF($A58&gt;LastT,0,-V58+Y59/(1+Policy_Sched!$K58))</f>
        <v>0</v>
      </c>
      <c r="Z58" s="42">
        <f t="shared" si="32"/>
        <v>0</v>
      </c>
      <c r="AA58" s="38">
        <f>IF($A58&gt;LastT,0,N58-V58-Q58/(1+Policy_Sched!$K58)+Z59/(1+Policy_Sched!$K58))</f>
        <v>0</v>
      </c>
    </row>
    <row r="59" spans="1:27" x14ac:dyDescent="0.2">
      <c r="A59" s="30">
        <f t="shared" si="33"/>
        <v>52</v>
      </c>
      <c r="B59" s="31">
        <f t="shared" si="34"/>
        <v>0</v>
      </c>
      <c r="C59" s="31">
        <f>IF($A59&gt;LastT,0,IF(AND($D$3&lt;&gt;0,$A59&gt;=T0,Policy_Sched!$B59&lt;LastAge),1+$D$3*$E$3,1))</f>
        <v>0</v>
      </c>
      <c r="D59" s="36">
        <f>IF($A59&gt;LastT,0,IF($C$3="up",MIN(Policy_Sched!$E59*(1+IF($A59&gt;=T0,$E$3,0)),$F$3),IF($C$3="down",MAX(Policy_Sched!$E59*(1-IF($A59&gt;=T0,$E$3,0)),Policy_Sched!$E59-$F$3),Policy_Sched!$E59)))</f>
        <v>0</v>
      </c>
      <c r="E59" s="37">
        <f t="shared" si="35"/>
        <v>0</v>
      </c>
      <c r="F59" s="37">
        <f t="shared" si="18"/>
        <v>0</v>
      </c>
      <c r="G59" s="37">
        <f t="shared" si="19"/>
        <v>0</v>
      </c>
      <c r="H59" s="37">
        <f t="shared" si="20"/>
        <v>0</v>
      </c>
      <c r="I59" s="37">
        <f t="shared" si="21"/>
        <v>0</v>
      </c>
      <c r="J59" s="37">
        <f t="shared" si="22"/>
        <v>0</v>
      </c>
      <c r="K59" s="37">
        <f>IF($A59&gt;LastT,0,J59*Policy_Sched!$C59*Policy_Sched!$D59*C59)</f>
        <v>0</v>
      </c>
      <c r="L59" s="41">
        <f t="shared" si="23"/>
        <v>0</v>
      </c>
      <c r="M59" s="38">
        <f t="shared" si="24"/>
        <v>0</v>
      </c>
      <c r="N59" s="38">
        <f t="shared" si="25"/>
        <v>0</v>
      </c>
      <c r="O59" s="38">
        <f t="shared" si="26"/>
        <v>0</v>
      </c>
      <c r="P59" s="38">
        <f>Policy_Sched!$I59*(L59+I59)</f>
        <v>0</v>
      </c>
      <c r="Q59" s="42">
        <f t="shared" si="27"/>
        <v>0</v>
      </c>
      <c r="R59" s="38">
        <f t="shared" si="28"/>
        <v>0</v>
      </c>
      <c r="S59" s="38">
        <f t="shared" si="29"/>
        <v>0</v>
      </c>
      <c r="T59" s="38">
        <f>Policy_Sched!$J59*J59</f>
        <v>0</v>
      </c>
      <c r="U59" s="42">
        <f t="shared" si="30"/>
        <v>0</v>
      </c>
      <c r="V59" s="42">
        <f t="shared" si="31"/>
        <v>0</v>
      </c>
      <c r="W59" s="38">
        <f>IF($A59&gt;LastT,0,N59+W60/(1+Policy_Sched!$K59))</f>
        <v>0</v>
      </c>
      <c r="X59" s="38">
        <f>IF($A59&gt;LastT,0,(-Q59+X60)/(1+Policy_Sched!$K59))</f>
        <v>0</v>
      </c>
      <c r="Y59" s="38">
        <f>IF($A59&gt;LastT,0,-V59+Y60/(1+Policy_Sched!$K59))</f>
        <v>0</v>
      </c>
      <c r="Z59" s="42">
        <f t="shared" si="32"/>
        <v>0</v>
      </c>
      <c r="AA59" s="38">
        <f>IF($A59&gt;LastT,0,N59-V59-Q59/(1+Policy_Sched!$K59)+Z60/(1+Policy_Sched!$K59))</f>
        <v>0</v>
      </c>
    </row>
    <row r="60" spans="1:27" x14ac:dyDescent="0.2">
      <c r="A60" s="30">
        <f t="shared" si="33"/>
        <v>53</v>
      </c>
      <c r="B60" s="31">
        <f t="shared" si="34"/>
        <v>0</v>
      </c>
      <c r="C60" s="31">
        <f>IF($A60&gt;LastT,0,IF(AND($D$3&lt;&gt;0,$A60&gt;=T0,Policy_Sched!$B60&lt;LastAge),1+$D$3*$E$3,1))</f>
        <v>0</v>
      </c>
      <c r="D60" s="36">
        <f>IF($A60&gt;LastT,0,IF($C$3="up",MIN(Policy_Sched!$E60*(1+IF($A60&gt;=T0,$E$3,0)),$F$3),IF($C$3="down",MAX(Policy_Sched!$E60*(1-IF($A60&gt;=T0,$E$3,0)),Policy_Sched!$E60-$F$3),Policy_Sched!$E60)))</f>
        <v>0</v>
      </c>
      <c r="E60" s="37">
        <f t="shared" si="35"/>
        <v>0</v>
      </c>
      <c r="F60" s="37">
        <f t="shared" si="18"/>
        <v>0</v>
      </c>
      <c r="G60" s="37">
        <f t="shared" si="19"/>
        <v>0</v>
      </c>
      <c r="H60" s="37">
        <f t="shared" si="20"/>
        <v>0</v>
      </c>
      <c r="I60" s="37">
        <f t="shared" si="21"/>
        <v>0</v>
      </c>
      <c r="J60" s="37">
        <f t="shared" si="22"/>
        <v>0</v>
      </c>
      <c r="K60" s="37">
        <f>IF($A60&gt;LastT,0,J60*Policy_Sched!$C60*Policy_Sched!$D60*C60)</f>
        <v>0</v>
      </c>
      <c r="L60" s="41">
        <f t="shared" si="23"/>
        <v>0</v>
      </c>
      <c r="M60" s="38">
        <f t="shared" si="24"/>
        <v>0</v>
      </c>
      <c r="N60" s="38">
        <f t="shared" si="25"/>
        <v>0</v>
      </c>
      <c r="O60" s="38">
        <f t="shared" si="26"/>
        <v>0</v>
      </c>
      <c r="P60" s="38">
        <f>Policy_Sched!$I60*(L60+I60)</f>
        <v>0</v>
      </c>
      <c r="Q60" s="42">
        <f t="shared" si="27"/>
        <v>0</v>
      </c>
      <c r="R60" s="38">
        <f t="shared" si="28"/>
        <v>0</v>
      </c>
      <c r="S60" s="38">
        <f t="shared" si="29"/>
        <v>0</v>
      </c>
      <c r="T60" s="38">
        <f>Policy_Sched!$J60*J60</f>
        <v>0</v>
      </c>
      <c r="U60" s="42">
        <f t="shared" si="30"/>
        <v>0</v>
      </c>
      <c r="V60" s="42">
        <f t="shared" si="31"/>
        <v>0</v>
      </c>
      <c r="W60" s="38">
        <f>IF($A60&gt;LastT,0,N60+W61/(1+Policy_Sched!$K60))</f>
        <v>0</v>
      </c>
      <c r="X60" s="38">
        <f>IF($A60&gt;LastT,0,(-Q60+X61)/(1+Policy_Sched!$K60))</f>
        <v>0</v>
      </c>
      <c r="Y60" s="38">
        <f>IF($A60&gt;LastT,0,-V60+Y61/(1+Policy_Sched!$K60))</f>
        <v>0</v>
      </c>
      <c r="Z60" s="42">
        <f t="shared" si="32"/>
        <v>0</v>
      </c>
      <c r="AA60" s="38">
        <f>IF($A60&gt;LastT,0,N60-V60-Q60/(1+Policy_Sched!$K60)+Z61/(1+Policy_Sched!$K60))</f>
        <v>0</v>
      </c>
    </row>
    <row r="61" spans="1:27" x14ac:dyDescent="0.2">
      <c r="A61" s="30">
        <f t="shared" si="33"/>
        <v>54</v>
      </c>
      <c r="B61" s="31">
        <f t="shared" si="34"/>
        <v>0</v>
      </c>
      <c r="C61" s="31">
        <f>IF($A61&gt;LastT,0,IF(AND($D$3&lt;&gt;0,$A61&gt;=T0,Policy_Sched!$B61&lt;LastAge),1+$D$3*$E$3,1))</f>
        <v>0</v>
      </c>
      <c r="D61" s="36">
        <f>IF($A61&gt;LastT,0,IF($C$3="up",MIN(Policy_Sched!$E61*(1+IF($A61&gt;=T0,$E$3,0)),$F$3),IF($C$3="down",MAX(Policy_Sched!$E61*(1-IF($A61&gt;=T0,$E$3,0)),Policy_Sched!$E61-$F$3),Policy_Sched!$E61)))</f>
        <v>0</v>
      </c>
      <c r="E61" s="37">
        <f t="shared" si="35"/>
        <v>0</v>
      </c>
      <c r="F61" s="37">
        <f t="shared" si="18"/>
        <v>0</v>
      </c>
      <c r="G61" s="37">
        <f t="shared" si="19"/>
        <v>0</v>
      </c>
      <c r="H61" s="37">
        <f t="shared" si="20"/>
        <v>0</v>
      </c>
      <c r="I61" s="37">
        <f t="shared" si="21"/>
        <v>0</v>
      </c>
      <c r="J61" s="37">
        <f t="shared" si="22"/>
        <v>0</v>
      </c>
      <c r="K61" s="37">
        <f>IF($A61&gt;LastT,0,J61*Policy_Sched!$C61*Policy_Sched!$D61*C61)</f>
        <v>0</v>
      </c>
      <c r="L61" s="41">
        <f t="shared" si="23"/>
        <v>0</v>
      </c>
      <c r="M61" s="38">
        <f t="shared" si="24"/>
        <v>0</v>
      </c>
      <c r="N61" s="38">
        <f t="shared" si="25"/>
        <v>0</v>
      </c>
      <c r="O61" s="38">
        <f t="shared" si="26"/>
        <v>0</v>
      </c>
      <c r="P61" s="38">
        <f>Policy_Sched!$I61*(L61+I61)</f>
        <v>0</v>
      </c>
      <c r="Q61" s="42">
        <f t="shared" si="27"/>
        <v>0</v>
      </c>
      <c r="R61" s="38">
        <f t="shared" si="28"/>
        <v>0</v>
      </c>
      <c r="S61" s="38">
        <f t="shared" si="29"/>
        <v>0</v>
      </c>
      <c r="T61" s="38">
        <f>Policy_Sched!$J61*J61</f>
        <v>0</v>
      </c>
      <c r="U61" s="42">
        <f t="shared" si="30"/>
        <v>0</v>
      </c>
      <c r="V61" s="42">
        <f t="shared" si="31"/>
        <v>0</v>
      </c>
      <c r="W61" s="38">
        <f>IF($A61&gt;LastT,0,N61+W62/(1+Policy_Sched!$K61))</f>
        <v>0</v>
      </c>
      <c r="X61" s="38">
        <f>IF($A61&gt;LastT,0,(-Q61+X62)/(1+Policy_Sched!$K61))</f>
        <v>0</v>
      </c>
      <c r="Y61" s="38">
        <f>IF($A61&gt;LastT,0,-V61+Y62/(1+Policy_Sched!$K61))</f>
        <v>0</v>
      </c>
      <c r="Z61" s="42">
        <f t="shared" si="32"/>
        <v>0</v>
      </c>
      <c r="AA61" s="38">
        <f>IF($A61&gt;LastT,0,N61-V61-Q61/(1+Policy_Sched!$K61)+Z62/(1+Policy_Sched!$K61))</f>
        <v>0</v>
      </c>
    </row>
    <row r="62" spans="1:27" x14ac:dyDescent="0.2">
      <c r="A62" s="30">
        <f t="shared" si="33"/>
        <v>55</v>
      </c>
      <c r="B62" s="31">
        <f t="shared" si="34"/>
        <v>0</v>
      </c>
      <c r="C62" s="31">
        <f>IF($A62&gt;LastT,0,IF(AND($D$3&lt;&gt;0,$A62&gt;=T0,Policy_Sched!$B62&lt;LastAge),1+$D$3*$E$3,1))</f>
        <v>0</v>
      </c>
      <c r="D62" s="36">
        <f>IF($A62&gt;LastT,0,IF($C$3="up",MIN(Policy_Sched!$E62*(1+IF($A62&gt;=T0,$E$3,0)),$F$3),IF($C$3="down",MAX(Policy_Sched!$E62*(1-IF($A62&gt;=T0,$E$3,0)),Policy_Sched!$E62-$F$3),Policy_Sched!$E62)))</f>
        <v>0</v>
      </c>
      <c r="E62" s="37">
        <f t="shared" si="35"/>
        <v>0</v>
      </c>
      <c r="F62" s="37">
        <f t="shared" si="18"/>
        <v>0</v>
      </c>
      <c r="G62" s="37">
        <f t="shared" si="19"/>
        <v>0</v>
      </c>
      <c r="H62" s="37">
        <f t="shared" si="20"/>
        <v>0</v>
      </c>
      <c r="I62" s="37">
        <f t="shared" si="21"/>
        <v>0</v>
      </c>
      <c r="J62" s="37">
        <f t="shared" si="22"/>
        <v>0</v>
      </c>
      <c r="K62" s="37">
        <f>IF($A62&gt;LastT,0,J62*Policy_Sched!$C62*Policy_Sched!$D62*C62)</f>
        <v>0</v>
      </c>
      <c r="L62" s="41">
        <f t="shared" si="23"/>
        <v>0</v>
      </c>
      <c r="M62" s="38">
        <f t="shared" si="24"/>
        <v>0</v>
      </c>
      <c r="N62" s="38">
        <f t="shared" si="25"/>
        <v>0</v>
      </c>
      <c r="O62" s="38">
        <f t="shared" si="26"/>
        <v>0</v>
      </c>
      <c r="P62" s="38">
        <f>Policy_Sched!$I62*(L62+I62)</f>
        <v>0</v>
      </c>
      <c r="Q62" s="42">
        <f t="shared" si="27"/>
        <v>0</v>
      </c>
      <c r="R62" s="38">
        <f t="shared" si="28"/>
        <v>0</v>
      </c>
      <c r="S62" s="38">
        <f t="shared" si="29"/>
        <v>0</v>
      </c>
      <c r="T62" s="38">
        <f>Policy_Sched!$J62*J62</f>
        <v>0</v>
      </c>
      <c r="U62" s="42">
        <f t="shared" si="30"/>
        <v>0</v>
      </c>
      <c r="V62" s="42">
        <f t="shared" si="31"/>
        <v>0</v>
      </c>
      <c r="W62" s="38">
        <f>IF($A62&gt;LastT,0,N62+W63/(1+Policy_Sched!$K62))</f>
        <v>0</v>
      </c>
      <c r="X62" s="38">
        <f>IF($A62&gt;LastT,0,(-Q62+X63)/(1+Policy_Sched!$K62))</f>
        <v>0</v>
      </c>
      <c r="Y62" s="38">
        <f>IF($A62&gt;LastT,0,-V62+Y63/(1+Policy_Sched!$K62))</f>
        <v>0</v>
      </c>
      <c r="Z62" s="42">
        <f t="shared" si="32"/>
        <v>0</v>
      </c>
      <c r="AA62" s="38">
        <f>IF($A62&gt;LastT,0,N62-V62-Q62/(1+Policy_Sched!$K62)+Z63/(1+Policy_Sched!$K62))</f>
        <v>0</v>
      </c>
    </row>
    <row r="63" spans="1:27" x14ac:dyDescent="0.2">
      <c r="A63" s="30">
        <f t="shared" si="33"/>
        <v>56</v>
      </c>
      <c r="B63" s="31">
        <f t="shared" si="34"/>
        <v>0</v>
      </c>
      <c r="C63" s="31">
        <f>IF($A63&gt;LastT,0,IF(AND($D$3&lt;&gt;0,$A63&gt;=T0,Policy_Sched!$B63&lt;LastAge),1+$D$3*$E$3,1))</f>
        <v>0</v>
      </c>
      <c r="D63" s="36">
        <f>IF($A63&gt;LastT,0,IF($C$3="up",MIN(Policy_Sched!$E63*(1+IF($A63&gt;=T0,$E$3,0)),$F$3),IF($C$3="down",MAX(Policy_Sched!$E63*(1-IF($A63&gt;=T0,$E$3,0)),Policy_Sched!$E63-$F$3),Policy_Sched!$E63)))</f>
        <v>0</v>
      </c>
      <c r="E63" s="37">
        <f t="shared" si="35"/>
        <v>0</v>
      </c>
      <c r="F63" s="37">
        <f t="shared" si="18"/>
        <v>0</v>
      </c>
      <c r="G63" s="37">
        <f t="shared" si="19"/>
        <v>0</v>
      </c>
      <c r="H63" s="37">
        <f t="shared" si="20"/>
        <v>0</v>
      </c>
      <c r="I63" s="37">
        <f t="shared" si="21"/>
        <v>0</v>
      </c>
      <c r="J63" s="37">
        <f t="shared" si="22"/>
        <v>0</v>
      </c>
      <c r="K63" s="37">
        <f>IF($A63&gt;LastT,0,J63*Policy_Sched!$C63*Policy_Sched!$D63*C63)</f>
        <v>0</v>
      </c>
      <c r="L63" s="41">
        <f t="shared" si="23"/>
        <v>0</v>
      </c>
      <c r="M63" s="38">
        <f t="shared" si="24"/>
        <v>0</v>
      </c>
      <c r="N63" s="38">
        <f t="shared" si="25"/>
        <v>0</v>
      </c>
      <c r="O63" s="38">
        <f t="shared" si="26"/>
        <v>0</v>
      </c>
      <c r="P63" s="38">
        <f>Policy_Sched!$I63*(L63+I63)</f>
        <v>0</v>
      </c>
      <c r="Q63" s="42">
        <f t="shared" si="27"/>
        <v>0</v>
      </c>
      <c r="R63" s="38">
        <f t="shared" si="28"/>
        <v>0</v>
      </c>
      <c r="S63" s="38">
        <f t="shared" si="29"/>
        <v>0</v>
      </c>
      <c r="T63" s="38">
        <f>Policy_Sched!$J63*J63</f>
        <v>0</v>
      </c>
      <c r="U63" s="42">
        <f t="shared" si="30"/>
        <v>0</v>
      </c>
      <c r="V63" s="42">
        <f t="shared" si="31"/>
        <v>0</v>
      </c>
      <c r="W63" s="38">
        <f>IF($A63&gt;LastT,0,N63+W64/(1+Policy_Sched!$K63))</f>
        <v>0</v>
      </c>
      <c r="X63" s="38">
        <f>IF($A63&gt;LastT,0,(-Q63+X64)/(1+Policy_Sched!$K63))</f>
        <v>0</v>
      </c>
      <c r="Y63" s="38">
        <f>IF($A63&gt;LastT,0,-V63+Y64/(1+Policy_Sched!$K63))</f>
        <v>0</v>
      </c>
      <c r="Z63" s="42">
        <f t="shared" si="32"/>
        <v>0</v>
      </c>
      <c r="AA63" s="38">
        <f>IF($A63&gt;LastT,0,N63-V63-Q63/(1+Policy_Sched!$K63)+Z64/(1+Policy_Sched!$K63))</f>
        <v>0</v>
      </c>
    </row>
    <row r="64" spans="1:27" x14ac:dyDescent="0.2">
      <c r="A64" s="30">
        <f t="shared" si="33"/>
        <v>57</v>
      </c>
      <c r="B64" s="31">
        <f t="shared" si="34"/>
        <v>0</v>
      </c>
      <c r="C64" s="31">
        <f>IF($A64&gt;LastT,0,IF(AND($D$3&lt;&gt;0,$A64&gt;=T0,Policy_Sched!$B64&lt;LastAge),1+$D$3*$E$3,1))</f>
        <v>0</v>
      </c>
      <c r="D64" s="36">
        <f>IF($A64&gt;LastT,0,IF($C$3="up",MIN(Policy_Sched!$E64*(1+IF($A64&gt;=T0,$E$3,0)),$F$3),IF($C$3="down",MAX(Policy_Sched!$E64*(1-IF($A64&gt;=T0,$E$3,0)),Policy_Sched!$E64-$F$3),Policy_Sched!$E64)))</f>
        <v>0</v>
      </c>
      <c r="E64" s="37">
        <f t="shared" si="35"/>
        <v>0</v>
      </c>
      <c r="F64" s="37">
        <f t="shared" si="18"/>
        <v>0</v>
      </c>
      <c r="G64" s="37">
        <f t="shared" si="19"/>
        <v>0</v>
      </c>
      <c r="H64" s="37">
        <f t="shared" si="20"/>
        <v>0</v>
      </c>
      <c r="I64" s="37">
        <f t="shared" si="21"/>
        <v>0</v>
      </c>
      <c r="J64" s="37">
        <f t="shared" si="22"/>
        <v>0</v>
      </c>
      <c r="K64" s="37">
        <f>IF($A64&gt;LastT,0,J64*Policy_Sched!$C64*Policy_Sched!$D64*C64)</f>
        <v>0</v>
      </c>
      <c r="L64" s="41">
        <f t="shared" si="23"/>
        <v>0</v>
      </c>
      <c r="M64" s="38">
        <f t="shared" si="24"/>
        <v>0</v>
      </c>
      <c r="N64" s="38">
        <f t="shared" si="25"/>
        <v>0</v>
      </c>
      <c r="O64" s="38">
        <f t="shared" si="26"/>
        <v>0</v>
      </c>
      <c r="P64" s="38">
        <f>Policy_Sched!$I64*(L64+I64)</f>
        <v>0</v>
      </c>
      <c r="Q64" s="42">
        <f t="shared" si="27"/>
        <v>0</v>
      </c>
      <c r="R64" s="38">
        <f t="shared" si="28"/>
        <v>0</v>
      </c>
      <c r="S64" s="38">
        <f t="shared" si="29"/>
        <v>0</v>
      </c>
      <c r="T64" s="38">
        <f>Policy_Sched!$J64*J64</f>
        <v>0</v>
      </c>
      <c r="U64" s="42">
        <f t="shared" si="30"/>
        <v>0</v>
      </c>
      <c r="V64" s="42">
        <f t="shared" si="31"/>
        <v>0</v>
      </c>
      <c r="W64" s="38">
        <f>IF($A64&gt;LastT,0,N64+W65/(1+Policy_Sched!$K64))</f>
        <v>0</v>
      </c>
      <c r="X64" s="38">
        <f>IF($A64&gt;LastT,0,(-Q64+X65)/(1+Policy_Sched!$K64))</f>
        <v>0</v>
      </c>
      <c r="Y64" s="38">
        <f>IF($A64&gt;LastT,0,-V64+Y65/(1+Policy_Sched!$K64))</f>
        <v>0</v>
      </c>
      <c r="Z64" s="42">
        <f t="shared" si="32"/>
        <v>0</v>
      </c>
      <c r="AA64" s="38">
        <f>IF($A64&gt;LastT,0,N64-V64-Q64/(1+Policy_Sched!$K64)+Z65/(1+Policy_Sched!$K64))</f>
        <v>0</v>
      </c>
    </row>
    <row r="65" spans="1:27" x14ac:dyDescent="0.2">
      <c r="A65" s="30">
        <f t="shared" si="33"/>
        <v>58</v>
      </c>
      <c r="B65" s="31">
        <f t="shared" si="34"/>
        <v>0</v>
      </c>
      <c r="C65" s="31">
        <f>IF($A65&gt;LastT,0,IF(AND($D$3&lt;&gt;0,$A65&gt;=T0,Policy_Sched!$B65&lt;LastAge),1+$D$3*$E$3,1))</f>
        <v>0</v>
      </c>
      <c r="D65" s="36">
        <f>IF($A65&gt;LastT,0,IF($C$3="up",MIN(Policy_Sched!$E65*(1+IF($A65&gt;=T0,$E$3,0)),$F$3),IF($C$3="down",MAX(Policy_Sched!$E65*(1-IF($A65&gt;=T0,$E$3,0)),Policy_Sched!$E65-$F$3),Policy_Sched!$E65)))</f>
        <v>0</v>
      </c>
      <c r="E65" s="37">
        <f t="shared" si="35"/>
        <v>0</v>
      </c>
      <c r="F65" s="37">
        <f t="shared" si="18"/>
        <v>0</v>
      </c>
      <c r="G65" s="37">
        <f t="shared" si="19"/>
        <v>0</v>
      </c>
      <c r="H65" s="37">
        <f t="shared" si="20"/>
        <v>0</v>
      </c>
      <c r="I65" s="37">
        <f t="shared" si="21"/>
        <v>0</v>
      </c>
      <c r="J65" s="37">
        <f t="shared" si="22"/>
        <v>0</v>
      </c>
      <c r="K65" s="37">
        <f>IF($A65&gt;LastT,0,J65*Policy_Sched!$C65*Policy_Sched!$D65*C65)</f>
        <v>0</v>
      </c>
      <c r="L65" s="41">
        <f t="shared" si="23"/>
        <v>0</v>
      </c>
      <c r="M65" s="38">
        <f t="shared" si="24"/>
        <v>0</v>
      </c>
      <c r="N65" s="38">
        <f t="shared" si="25"/>
        <v>0</v>
      </c>
      <c r="O65" s="38">
        <f t="shared" si="26"/>
        <v>0</v>
      </c>
      <c r="P65" s="38">
        <f>Policy_Sched!$I65*(L65+I65)</f>
        <v>0</v>
      </c>
      <c r="Q65" s="42">
        <f t="shared" si="27"/>
        <v>0</v>
      </c>
      <c r="R65" s="38">
        <f t="shared" si="28"/>
        <v>0</v>
      </c>
      <c r="S65" s="38">
        <f t="shared" si="29"/>
        <v>0</v>
      </c>
      <c r="T65" s="38">
        <f>Policy_Sched!$J65*J65</f>
        <v>0</v>
      </c>
      <c r="U65" s="42">
        <f t="shared" si="30"/>
        <v>0</v>
      </c>
      <c r="V65" s="42">
        <f t="shared" si="31"/>
        <v>0</v>
      </c>
      <c r="W65" s="38">
        <f>IF($A65&gt;LastT,0,N65+W66/(1+Policy_Sched!$K65))</f>
        <v>0</v>
      </c>
      <c r="X65" s="38">
        <f>IF($A65&gt;LastT,0,(-Q65+X66)/(1+Policy_Sched!$K65))</f>
        <v>0</v>
      </c>
      <c r="Y65" s="38">
        <f>IF($A65&gt;LastT,0,-V65+Y66/(1+Policy_Sched!$K65))</f>
        <v>0</v>
      </c>
      <c r="Z65" s="42">
        <f t="shared" si="32"/>
        <v>0</v>
      </c>
      <c r="AA65" s="38">
        <f>IF($A65&gt;LastT,0,N65-V65-Q65/(1+Policy_Sched!$K65)+Z66/(1+Policy_Sched!$K65))</f>
        <v>0</v>
      </c>
    </row>
    <row r="66" spans="1:27" x14ac:dyDescent="0.2">
      <c r="A66" s="30">
        <f t="shared" si="33"/>
        <v>59</v>
      </c>
      <c r="B66" s="31">
        <f t="shared" si="34"/>
        <v>0</v>
      </c>
      <c r="C66" s="31">
        <f>IF($A66&gt;LastT,0,IF(AND($D$3&lt;&gt;0,$A66&gt;=T0,Policy_Sched!$B66&lt;LastAge),1+$D$3*$E$3,1))</f>
        <v>0</v>
      </c>
      <c r="D66" s="36">
        <f>IF($A66&gt;LastT,0,IF($C$3="up",MIN(Policy_Sched!$E66*(1+IF($A66&gt;=T0,$E$3,0)),$F$3),IF($C$3="down",MAX(Policy_Sched!$E66*(1-IF($A66&gt;=T0,$E$3,0)),Policy_Sched!$E66-$F$3),Policy_Sched!$E66)))</f>
        <v>0</v>
      </c>
      <c r="E66" s="37">
        <f t="shared" si="35"/>
        <v>0</v>
      </c>
      <c r="F66" s="37">
        <f t="shared" si="18"/>
        <v>0</v>
      </c>
      <c r="G66" s="37">
        <f t="shared" si="19"/>
        <v>0</v>
      </c>
      <c r="H66" s="37">
        <f t="shared" si="20"/>
        <v>0</v>
      </c>
      <c r="I66" s="37">
        <f t="shared" si="21"/>
        <v>0</v>
      </c>
      <c r="J66" s="37">
        <f t="shared" si="22"/>
        <v>0</v>
      </c>
      <c r="K66" s="37">
        <f>IF($A66&gt;LastT,0,J66*Policy_Sched!$C66*Policy_Sched!$D66*C66)</f>
        <v>0</v>
      </c>
      <c r="L66" s="41">
        <f t="shared" si="23"/>
        <v>0</v>
      </c>
      <c r="M66" s="38">
        <f t="shared" si="24"/>
        <v>0</v>
      </c>
      <c r="N66" s="38">
        <f t="shared" si="25"/>
        <v>0</v>
      </c>
      <c r="O66" s="38">
        <f t="shared" si="26"/>
        <v>0</v>
      </c>
      <c r="P66" s="38">
        <f>Policy_Sched!$I66*(L66+I66)</f>
        <v>0</v>
      </c>
      <c r="Q66" s="42">
        <f t="shared" si="27"/>
        <v>0</v>
      </c>
      <c r="R66" s="38">
        <f t="shared" si="28"/>
        <v>0</v>
      </c>
      <c r="S66" s="38">
        <f t="shared" si="29"/>
        <v>0</v>
      </c>
      <c r="T66" s="38">
        <f>Policy_Sched!$J66*J66</f>
        <v>0</v>
      </c>
      <c r="U66" s="42">
        <f t="shared" si="30"/>
        <v>0</v>
      </c>
      <c r="V66" s="42">
        <f t="shared" si="31"/>
        <v>0</v>
      </c>
      <c r="W66" s="38">
        <f>IF($A66&gt;LastT,0,N66+W67/(1+Policy_Sched!$K66))</f>
        <v>0</v>
      </c>
      <c r="X66" s="38">
        <f>IF($A66&gt;LastT,0,(-Q66+X67)/(1+Policy_Sched!$K66))</f>
        <v>0</v>
      </c>
      <c r="Y66" s="38">
        <f>IF($A66&gt;LastT,0,-V66+Y67/(1+Policy_Sched!$K66))</f>
        <v>0</v>
      </c>
      <c r="Z66" s="42">
        <f t="shared" si="32"/>
        <v>0</v>
      </c>
      <c r="AA66" s="38">
        <f>IF($A66&gt;LastT,0,N66-V66-Q66/(1+Policy_Sched!$K66)+Z67/(1+Policy_Sched!$K66))</f>
        <v>0</v>
      </c>
    </row>
    <row r="67" spans="1:27" x14ac:dyDescent="0.2">
      <c r="A67" s="30">
        <f t="shared" si="33"/>
        <v>60</v>
      </c>
      <c r="B67" s="31">
        <f t="shared" si="34"/>
        <v>0</v>
      </c>
      <c r="C67" s="31">
        <f>IF($A67&gt;LastT,0,IF(AND($D$3&lt;&gt;0,$A67&gt;=T0,Policy_Sched!$B67&lt;LastAge),1+$D$3*$E$3,1))</f>
        <v>0</v>
      </c>
      <c r="D67" s="36">
        <f>IF($A67&gt;LastT,0,IF($C$3="up",MIN(Policy_Sched!$E67*(1+IF($A67&gt;=T0,$E$3,0)),$F$3),IF($C$3="down",MAX(Policy_Sched!$E67*(1-IF($A67&gt;=T0,$E$3,0)),Policy_Sched!$E67-$F$3),Policy_Sched!$E67)))</f>
        <v>0</v>
      </c>
      <c r="E67" s="37">
        <f t="shared" si="35"/>
        <v>0</v>
      </c>
      <c r="F67" s="37">
        <f t="shared" si="18"/>
        <v>0</v>
      </c>
      <c r="G67" s="37">
        <f t="shared" si="19"/>
        <v>0</v>
      </c>
      <c r="H67" s="37">
        <f t="shared" si="20"/>
        <v>0</v>
      </c>
      <c r="I67" s="37">
        <f t="shared" si="21"/>
        <v>0</v>
      </c>
      <c r="J67" s="37">
        <f t="shared" si="22"/>
        <v>0</v>
      </c>
      <c r="K67" s="37">
        <f>IF($A67&gt;LastT,0,J67*Policy_Sched!$C67*Policy_Sched!$D67*C67)</f>
        <v>0</v>
      </c>
      <c r="L67" s="41">
        <f t="shared" si="23"/>
        <v>0</v>
      </c>
      <c r="M67" s="38">
        <f t="shared" si="24"/>
        <v>0</v>
      </c>
      <c r="N67" s="38">
        <f t="shared" si="25"/>
        <v>0</v>
      </c>
      <c r="O67" s="38">
        <f t="shared" si="26"/>
        <v>0</v>
      </c>
      <c r="P67" s="38">
        <f>Policy_Sched!$I67*(L67+I67)</f>
        <v>0</v>
      </c>
      <c r="Q67" s="42">
        <f t="shared" si="27"/>
        <v>0</v>
      </c>
      <c r="R67" s="38">
        <f t="shared" si="28"/>
        <v>0</v>
      </c>
      <c r="S67" s="38">
        <f t="shared" si="29"/>
        <v>0</v>
      </c>
      <c r="T67" s="38">
        <f>Policy_Sched!$J67*J67</f>
        <v>0</v>
      </c>
      <c r="U67" s="42">
        <f t="shared" si="30"/>
        <v>0</v>
      </c>
      <c r="V67" s="42">
        <f t="shared" si="31"/>
        <v>0</v>
      </c>
      <c r="W67" s="38">
        <f>IF($A67&gt;LastT,0,N67+W68/(1+Policy_Sched!$K67))</f>
        <v>0</v>
      </c>
      <c r="X67" s="38">
        <f>IF($A67&gt;LastT,0,(-Q67+X68)/(1+Policy_Sched!$K67))</f>
        <v>0</v>
      </c>
      <c r="Y67" s="38">
        <f>IF($A67&gt;LastT,0,-V67+Y68/(1+Policy_Sched!$K67))</f>
        <v>0</v>
      </c>
      <c r="Z67" s="42">
        <f t="shared" si="32"/>
        <v>0</v>
      </c>
      <c r="AA67" s="38">
        <f>IF($A67&gt;LastT,0,N67-V67-Q67/(1+Policy_Sched!$K67)+Z68/(1+Policy_Sched!$K67))</f>
        <v>0</v>
      </c>
    </row>
    <row r="68" spans="1:27" x14ac:dyDescent="0.2">
      <c r="A68" s="30">
        <f t="shared" si="33"/>
        <v>61</v>
      </c>
      <c r="B68" s="31">
        <f t="shared" si="34"/>
        <v>0</v>
      </c>
      <c r="C68" s="31">
        <f>IF($A68&gt;LastT,0,IF(AND($D$3&lt;&gt;0,$A68&gt;=T0,Policy_Sched!$B68&lt;LastAge),1+$D$3*$E$3,1))</f>
        <v>0</v>
      </c>
      <c r="D68" s="36">
        <f>IF($A68&gt;LastT,0,IF($C$3="up",MIN(Policy_Sched!$E68*(1+IF($A68&gt;=T0,$E$3,0)),$F$3),IF($C$3="down",MAX(Policy_Sched!$E68*(1-IF($A68&gt;=T0,$E$3,0)),Policy_Sched!$E68-$F$3),Policy_Sched!$E68)))</f>
        <v>0</v>
      </c>
      <c r="E68" s="37">
        <f t="shared" si="35"/>
        <v>0</v>
      </c>
      <c r="F68" s="37">
        <f t="shared" si="18"/>
        <v>0</v>
      </c>
      <c r="G68" s="37">
        <f t="shared" si="19"/>
        <v>0</v>
      </c>
      <c r="H68" s="37">
        <f t="shared" si="20"/>
        <v>0</v>
      </c>
      <c r="I68" s="37">
        <f t="shared" si="21"/>
        <v>0</v>
      </c>
      <c r="J68" s="37">
        <f t="shared" si="22"/>
        <v>0</v>
      </c>
      <c r="K68" s="37">
        <f>IF($A68&gt;LastT,0,J68*Policy_Sched!$C68*Policy_Sched!$D68*C68)</f>
        <v>0</v>
      </c>
      <c r="L68" s="41">
        <f t="shared" si="23"/>
        <v>0</v>
      </c>
      <c r="M68" s="38">
        <f t="shared" si="24"/>
        <v>0</v>
      </c>
      <c r="N68" s="38">
        <f t="shared" si="25"/>
        <v>0</v>
      </c>
      <c r="O68" s="38">
        <f t="shared" si="26"/>
        <v>0</v>
      </c>
      <c r="P68" s="38">
        <f>Policy_Sched!$I68*(L68+I68)</f>
        <v>0</v>
      </c>
      <c r="Q68" s="42">
        <f t="shared" si="27"/>
        <v>0</v>
      </c>
      <c r="R68" s="38">
        <f t="shared" si="28"/>
        <v>0</v>
      </c>
      <c r="S68" s="38">
        <f t="shared" si="29"/>
        <v>0</v>
      </c>
      <c r="T68" s="38">
        <f>Policy_Sched!$J68*J68</f>
        <v>0</v>
      </c>
      <c r="U68" s="42">
        <f t="shared" si="30"/>
        <v>0</v>
      </c>
      <c r="V68" s="42">
        <f t="shared" si="31"/>
        <v>0</v>
      </c>
      <c r="W68" s="38">
        <f>IF($A68&gt;LastT,0,N68+W69/(1+Policy_Sched!$K68))</f>
        <v>0</v>
      </c>
      <c r="X68" s="38">
        <f>IF($A68&gt;LastT,0,(-Q68+X69)/(1+Policy_Sched!$K68))</f>
        <v>0</v>
      </c>
      <c r="Y68" s="38">
        <f>IF($A68&gt;LastT,0,-V68+Y69/(1+Policy_Sched!$K68))</f>
        <v>0</v>
      </c>
      <c r="Z68" s="42">
        <f t="shared" si="32"/>
        <v>0</v>
      </c>
      <c r="AA68" s="38">
        <f>IF($A68&gt;LastT,0,N68-V68-Q68/(1+Policy_Sched!$K68)+Z69/(1+Policy_Sched!$K68))</f>
        <v>0</v>
      </c>
    </row>
    <row r="69" spans="1:27" x14ac:dyDescent="0.2">
      <c r="A69" s="30">
        <f t="shared" si="33"/>
        <v>62</v>
      </c>
      <c r="B69" s="31">
        <f t="shared" si="34"/>
        <v>0</v>
      </c>
      <c r="C69" s="31">
        <f>IF($A69&gt;LastT,0,IF(AND($D$3&lt;&gt;0,$A69&gt;=T0,Policy_Sched!$B69&lt;LastAge),1+$D$3*$E$3,1))</f>
        <v>0</v>
      </c>
      <c r="D69" s="36">
        <f>IF($A69&gt;LastT,0,IF($C$3="up",MIN(Policy_Sched!$E69*(1+IF($A69&gt;=T0,$E$3,0)),$F$3),IF($C$3="down",MAX(Policy_Sched!$E69*(1-IF($A69&gt;=T0,$E$3,0)),Policy_Sched!$E69-$F$3),Policy_Sched!$E69)))</f>
        <v>0</v>
      </c>
      <c r="E69" s="37">
        <f t="shared" si="35"/>
        <v>0</v>
      </c>
      <c r="F69" s="37">
        <f t="shared" si="18"/>
        <v>0</v>
      </c>
      <c r="G69" s="37">
        <f t="shared" si="19"/>
        <v>0</v>
      </c>
      <c r="H69" s="37">
        <f t="shared" si="20"/>
        <v>0</v>
      </c>
      <c r="I69" s="37">
        <f t="shared" si="21"/>
        <v>0</v>
      </c>
      <c r="J69" s="37">
        <f t="shared" si="22"/>
        <v>0</v>
      </c>
      <c r="K69" s="37">
        <f>IF($A69&gt;LastT,0,J69*Policy_Sched!$C69*Policy_Sched!$D69*C69)</f>
        <v>0</v>
      </c>
      <c r="L69" s="41">
        <f t="shared" si="23"/>
        <v>0</v>
      </c>
      <c r="M69" s="38">
        <f t="shared" si="24"/>
        <v>0</v>
      </c>
      <c r="N69" s="38">
        <f t="shared" si="25"/>
        <v>0</v>
      </c>
      <c r="O69" s="38">
        <f t="shared" si="26"/>
        <v>0</v>
      </c>
      <c r="P69" s="38">
        <f>Policy_Sched!$I69*(L69+I69)</f>
        <v>0</v>
      </c>
      <c r="Q69" s="42">
        <f t="shared" si="27"/>
        <v>0</v>
      </c>
      <c r="R69" s="38">
        <f t="shared" si="28"/>
        <v>0</v>
      </c>
      <c r="S69" s="38">
        <f t="shared" si="29"/>
        <v>0</v>
      </c>
      <c r="T69" s="38">
        <f>Policy_Sched!$J69*J69</f>
        <v>0</v>
      </c>
      <c r="U69" s="42">
        <f t="shared" si="30"/>
        <v>0</v>
      </c>
      <c r="V69" s="42">
        <f t="shared" si="31"/>
        <v>0</v>
      </c>
      <c r="W69" s="38">
        <f>IF($A69&gt;LastT,0,N69+W70/(1+Policy_Sched!$K69))</f>
        <v>0</v>
      </c>
      <c r="X69" s="38">
        <f>IF($A69&gt;LastT,0,(-Q69+X70)/(1+Policy_Sched!$K69))</f>
        <v>0</v>
      </c>
      <c r="Y69" s="38">
        <f>IF($A69&gt;LastT,0,-V69+Y70/(1+Policy_Sched!$K69))</f>
        <v>0</v>
      </c>
      <c r="Z69" s="42">
        <f t="shared" si="32"/>
        <v>0</v>
      </c>
      <c r="AA69" s="38">
        <f>IF($A69&gt;LastT,0,N69-V69-Q69/(1+Policy_Sched!$K69)+Z70/(1+Policy_Sched!$K69))</f>
        <v>0</v>
      </c>
    </row>
    <row r="70" spans="1:27" x14ac:dyDescent="0.2">
      <c r="A70" s="30">
        <f t="shared" si="33"/>
        <v>63</v>
      </c>
      <c r="B70" s="31">
        <f t="shared" si="34"/>
        <v>0</v>
      </c>
      <c r="C70" s="31">
        <f>IF($A70&gt;LastT,0,IF(AND($D$3&lt;&gt;0,$A70&gt;=T0,Policy_Sched!$B70&lt;LastAge),1+$D$3*$E$3,1))</f>
        <v>0</v>
      </c>
      <c r="D70" s="36">
        <f>IF($A70&gt;LastT,0,IF($C$3="up",MIN(Policy_Sched!$E70*(1+IF($A70&gt;=T0,$E$3,0)),$F$3),IF($C$3="down",MAX(Policy_Sched!$E70*(1-IF($A70&gt;=T0,$E$3,0)),Policy_Sched!$E70-$F$3),Policy_Sched!$E70)))</f>
        <v>0</v>
      </c>
      <c r="E70" s="37">
        <f t="shared" si="35"/>
        <v>0</v>
      </c>
      <c r="F70" s="37">
        <f t="shared" si="18"/>
        <v>0</v>
      </c>
      <c r="G70" s="37">
        <f t="shared" si="19"/>
        <v>0</v>
      </c>
      <c r="H70" s="37">
        <f t="shared" si="20"/>
        <v>0</v>
      </c>
      <c r="I70" s="37">
        <f t="shared" si="21"/>
        <v>0</v>
      </c>
      <c r="J70" s="37">
        <f t="shared" si="22"/>
        <v>0</v>
      </c>
      <c r="K70" s="37">
        <f>IF($A70&gt;LastT,0,J70*Policy_Sched!$C70*Policy_Sched!$D70*C70)</f>
        <v>0</v>
      </c>
      <c r="L70" s="41">
        <f t="shared" si="23"/>
        <v>0</v>
      </c>
      <c r="M70" s="38">
        <f t="shared" si="24"/>
        <v>0</v>
      </c>
      <c r="N70" s="38">
        <f t="shared" si="25"/>
        <v>0</v>
      </c>
      <c r="O70" s="38">
        <f t="shared" si="26"/>
        <v>0</v>
      </c>
      <c r="P70" s="38">
        <f>Policy_Sched!$I70*(L70+I70)</f>
        <v>0</v>
      </c>
      <c r="Q70" s="42">
        <f t="shared" si="27"/>
        <v>0</v>
      </c>
      <c r="R70" s="38">
        <f t="shared" si="28"/>
        <v>0</v>
      </c>
      <c r="S70" s="38">
        <f t="shared" si="29"/>
        <v>0</v>
      </c>
      <c r="T70" s="38">
        <f>Policy_Sched!$J70*J70</f>
        <v>0</v>
      </c>
      <c r="U70" s="42">
        <f t="shared" si="30"/>
        <v>0</v>
      </c>
      <c r="V70" s="42">
        <f t="shared" si="31"/>
        <v>0</v>
      </c>
      <c r="W70" s="38">
        <f>IF($A70&gt;LastT,0,N70+W71/(1+Policy_Sched!$K70))</f>
        <v>0</v>
      </c>
      <c r="X70" s="38">
        <f>IF($A70&gt;LastT,0,(-Q70+X71)/(1+Policy_Sched!$K70))</f>
        <v>0</v>
      </c>
      <c r="Y70" s="38">
        <f>IF($A70&gt;LastT,0,-V70+Y71/(1+Policy_Sched!$K70))</f>
        <v>0</v>
      </c>
      <c r="Z70" s="42">
        <f t="shared" si="32"/>
        <v>0</v>
      </c>
      <c r="AA70" s="38">
        <f>IF($A70&gt;LastT,0,N70-V70-Q70/(1+Policy_Sched!$K70)+Z71/(1+Policy_Sched!$K70))</f>
        <v>0</v>
      </c>
    </row>
    <row r="71" spans="1:27" x14ac:dyDescent="0.2">
      <c r="A71" s="30">
        <f t="shared" si="33"/>
        <v>64</v>
      </c>
      <c r="B71" s="31">
        <f t="shared" si="34"/>
        <v>0</v>
      </c>
      <c r="C71" s="31">
        <f>IF($A71&gt;LastT,0,IF(AND($D$3&lt;&gt;0,$A71&gt;=T0,Policy_Sched!$B71&lt;LastAge),1+$D$3*$E$3,1))</f>
        <v>0</v>
      </c>
      <c r="D71" s="36">
        <f>IF($A71&gt;LastT,0,IF($C$3="up",MIN(Policy_Sched!$E71*(1+IF($A71&gt;=T0,$E$3,0)),$F$3),IF($C$3="down",MAX(Policy_Sched!$E71*(1-IF($A71&gt;=T0,$E$3,0)),Policy_Sched!$E71-$F$3),Policy_Sched!$E71)))</f>
        <v>0</v>
      </c>
      <c r="E71" s="37">
        <f t="shared" si="35"/>
        <v>0</v>
      </c>
      <c r="F71" s="37">
        <f t="shared" ref="F71:F102" si="36">IF($A71&gt;LastT,0,IF($A71=PolicyTerm,E71,0))</f>
        <v>0</v>
      </c>
      <c r="G71" s="37">
        <f t="shared" ref="G71:G102" si="37">IF($A71&gt;LastT,0,E71-F71)</f>
        <v>0</v>
      </c>
      <c r="H71" s="37">
        <f t="shared" ref="H71:H102" si="38">IF($A71=0,PolicyCount,0)</f>
        <v>0</v>
      </c>
      <c r="I71" s="37">
        <f t="shared" ref="I71:I102" si="39">IF($A71&gt;LastT,0,IF(AND($C$3="mass",$A71=T0),(G71+H71)*$E$3,0))</f>
        <v>0</v>
      </c>
      <c r="J71" s="37">
        <f t="shared" ref="J71:J102" si="40">IF($A71&gt;LastT,0,G71+H71-I71)</f>
        <v>0</v>
      </c>
      <c r="K71" s="37">
        <f>IF($A71&gt;LastT,0,J71*Policy_Sched!$C71*Policy_Sched!$D71*C71)</f>
        <v>0</v>
      </c>
      <c r="L71" s="41">
        <f t="shared" ref="L71:L102" si="41">J71*D71</f>
        <v>0</v>
      </c>
      <c r="M71" s="38">
        <f t="shared" ref="M71:M102" si="42">IF($A71&gt;LastT,0,(SizeAnnPrem*ExpsMaintAnnPrem+(SumAssured*ExpsMaintSA+ExpsMaintPol)*B71)*(1+IF($B$3="exps",$E$3,0)))</f>
        <v>0</v>
      </c>
      <c r="N71" s="38">
        <f t="shared" ref="N71:N102" si="43">SizePremium*J71</f>
        <v>0</v>
      </c>
      <c r="O71" s="38">
        <f t="shared" ref="O71:O102" si="44">SumAssured*K71</f>
        <v>0</v>
      </c>
      <c r="P71" s="38">
        <f>Policy_Sched!$I71*(L71+I71)</f>
        <v>0</v>
      </c>
      <c r="Q71" s="42">
        <f t="shared" ref="Q71:Q102" si="45">O71+P71</f>
        <v>0</v>
      </c>
      <c r="R71" s="38">
        <f t="shared" ref="R71:R102" si="46">IF($A71=0,SizeExpsAcq0*H71,0)</f>
        <v>0</v>
      </c>
      <c r="S71" s="38">
        <f t="shared" ref="S71:S102" si="47">IF($A71=0,SizeExpsCommInit0*J71,0)</f>
        <v>0</v>
      </c>
      <c r="T71" s="38">
        <f>Policy_Sched!$J71*J71</f>
        <v>0</v>
      </c>
      <c r="U71" s="42">
        <f t="shared" ref="U71:U102" si="48">M71*J71</f>
        <v>0</v>
      </c>
      <c r="V71" s="42">
        <f t="shared" ref="V71:V102" si="49">S71+T71+R71+U71</f>
        <v>0</v>
      </c>
      <c r="W71" s="38">
        <f>IF($A71&gt;LastT,0,N71+W72/(1+Policy_Sched!$K71))</f>
        <v>0</v>
      </c>
      <c r="X71" s="38">
        <f>IF($A71&gt;LastT,0,(-Q71+X72)/(1+Policy_Sched!$K71))</f>
        <v>0</v>
      </c>
      <c r="Y71" s="38">
        <f>IF($A71&gt;LastT,0,-V71+Y72/(1+Policy_Sched!$K71))</f>
        <v>0</v>
      </c>
      <c r="Z71" s="42">
        <f t="shared" ref="Z71:Z102" si="50">W71+Y71+X71</f>
        <v>0</v>
      </c>
      <c r="AA71" s="38">
        <f>IF($A71&gt;LastT,0,N71-V71-Q71/(1+Policy_Sched!$K71)+Z72/(1+Policy_Sched!$K71))</f>
        <v>0</v>
      </c>
    </row>
    <row r="72" spans="1:27" x14ac:dyDescent="0.2">
      <c r="A72" s="30">
        <f t="shared" ref="A72:A103" si="51">A71+1</f>
        <v>65</v>
      </c>
      <c r="B72" s="31">
        <f t="shared" ref="B72:B103" si="52">IF($A72&gt;LastT,0,IF($B$3="exps",B71*(1+InflRate+IF($A72&gt;=T0,$G$3,0)),B71/(1+InflRate)))</f>
        <v>0</v>
      </c>
      <c r="C72" s="31">
        <f>IF($A72&gt;LastT,0,IF(AND($D$3&lt;&gt;0,$A72&gt;=T0,Policy_Sched!$B72&lt;LastAge),1+$D$3*$E$3,1))</f>
        <v>0</v>
      </c>
      <c r="D72" s="36">
        <f>IF($A72&gt;LastT,0,IF($C$3="up",MIN(Policy_Sched!$E72*(1+IF($A72&gt;=T0,$E$3,0)),$F$3),IF($C$3="down",MAX(Policy_Sched!$E72*(1-IF($A72&gt;=T0,$E$3,0)),Policy_Sched!$E72-$F$3),Policy_Sched!$E72)))</f>
        <v>0</v>
      </c>
      <c r="E72" s="37">
        <f t="shared" ref="E72:E103" si="53">IF($A72&gt;LastT,0,J71-K71-L71)</f>
        <v>0</v>
      </c>
      <c r="F72" s="37">
        <f t="shared" si="36"/>
        <v>0</v>
      </c>
      <c r="G72" s="37">
        <f t="shared" si="37"/>
        <v>0</v>
      </c>
      <c r="H72" s="37">
        <f t="shared" si="38"/>
        <v>0</v>
      </c>
      <c r="I72" s="37">
        <f t="shared" si="39"/>
        <v>0</v>
      </c>
      <c r="J72" s="37">
        <f t="shared" si="40"/>
        <v>0</v>
      </c>
      <c r="K72" s="37">
        <f>IF($A72&gt;LastT,0,J72*Policy_Sched!$C72*Policy_Sched!$D72*C72)</f>
        <v>0</v>
      </c>
      <c r="L72" s="41">
        <f t="shared" si="41"/>
        <v>0</v>
      </c>
      <c r="M72" s="38">
        <f t="shared" si="42"/>
        <v>0</v>
      </c>
      <c r="N72" s="38">
        <f t="shared" si="43"/>
        <v>0</v>
      </c>
      <c r="O72" s="38">
        <f t="shared" si="44"/>
        <v>0</v>
      </c>
      <c r="P72" s="38">
        <f>Policy_Sched!$I72*(L72+I72)</f>
        <v>0</v>
      </c>
      <c r="Q72" s="42">
        <f t="shared" si="45"/>
        <v>0</v>
      </c>
      <c r="R72" s="38">
        <f t="shared" si="46"/>
        <v>0</v>
      </c>
      <c r="S72" s="38">
        <f t="shared" si="47"/>
        <v>0</v>
      </c>
      <c r="T72" s="38">
        <f>Policy_Sched!$J72*J72</f>
        <v>0</v>
      </c>
      <c r="U72" s="42">
        <f t="shared" si="48"/>
        <v>0</v>
      </c>
      <c r="V72" s="42">
        <f t="shared" si="49"/>
        <v>0</v>
      </c>
      <c r="W72" s="38">
        <f>IF($A72&gt;LastT,0,N72+W73/(1+Policy_Sched!$K72))</f>
        <v>0</v>
      </c>
      <c r="X72" s="38">
        <f>IF($A72&gt;LastT,0,(-Q72+X73)/(1+Policy_Sched!$K72))</f>
        <v>0</v>
      </c>
      <c r="Y72" s="38">
        <f>IF($A72&gt;LastT,0,-V72+Y73/(1+Policy_Sched!$K72))</f>
        <v>0</v>
      </c>
      <c r="Z72" s="42">
        <f t="shared" si="50"/>
        <v>0</v>
      </c>
      <c r="AA72" s="38">
        <f>IF($A72&gt;LastT,0,N72-V72-Q72/(1+Policy_Sched!$K72)+Z73/(1+Policy_Sched!$K72))</f>
        <v>0</v>
      </c>
    </row>
    <row r="73" spans="1:27" x14ac:dyDescent="0.2">
      <c r="A73" s="30">
        <f t="shared" si="51"/>
        <v>66</v>
      </c>
      <c r="B73" s="31">
        <f t="shared" si="52"/>
        <v>0</v>
      </c>
      <c r="C73" s="31">
        <f>IF($A73&gt;LastT,0,IF(AND($D$3&lt;&gt;0,$A73&gt;=T0,Policy_Sched!$B73&lt;LastAge),1+$D$3*$E$3,1))</f>
        <v>0</v>
      </c>
      <c r="D73" s="36">
        <f>IF($A73&gt;LastT,0,IF($C$3="up",MIN(Policy_Sched!$E73*(1+IF($A73&gt;=T0,$E$3,0)),$F$3),IF($C$3="down",MAX(Policy_Sched!$E73*(1-IF($A73&gt;=T0,$E$3,0)),Policy_Sched!$E73-$F$3),Policy_Sched!$E73)))</f>
        <v>0</v>
      </c>
      <c r="E73" s="37">
        <f t="shared" si="53"/>
        <v>0</v>
      </c>
      <c r="F73" s="37">
        <f t="shared" si="36"/>
        <v>0</v>
      </c>
      <c r="G73" s="37">
        <f t="shared" si="37"/>
        <v>0</v>
      </c>
      <c r="H73" s="37">
        <f t="shared" si="38"/>
        <v>0</v>
      </c>
      <c r="I73" s="37">
        <f t="shared" si="39"/>
        <v>0</v>
      </c>
      <c r="J73" s="37">
        <f t="shared" si="40"/>
        <v>0</v>
      </c>
      <c r="K73" s="37">
        <f>IF($A73&gt;LastT,0,J73*Policy_Sched!$C73*Policy_Sched!$D73*C73)</f>
        <v>0</v>
      </c>
      <c r="L73" s="41">
        <f t="shared" si="41"/>
        <v>0</v>
      </c>
      <c r="M73" s="38">
        <f t="shared" si="42"/>
        <v>0</v>
      </c>
      <c r="N73" s="38">
        <f t="shared" si="43"/>
        <v>0</v>
      </c>
      <c r="O73" s="38">
        <f t="shared" si="44"/>
        <v>0</v>
      </c>
      <c r="P73" s="38">
        <f>Policy_Sched!$I73*(L73+I73)</f>
        <v>0</v>
      </c>
      <c r="Q73" s="42">
        <f t="shared" si="45"/>
        <v>0</v>
      </c>
      <c r="R73" s="38">
        <f t="shared" si="46"/>
        <v>0</v>
      </c>
      <c r="S73" s="38">
        <f t="shared" si="47"/>
        <v>0</v>
      </c>
      <c r="T73" s="38">
        <f>Policy_Sched!$J73*J73</f>
        <v>0</v>
      </c>
      <c r="U73" s="42">
        <f t="shared" si="48"/>
        <v>0</v>
      </c>
      <c r="V73" s="42">
        <f t="shared" si="49"/>
        <v>0</v>
      </c>
      <c r="W73" s="38">
        <f>IF($A73&gt;LastT,0,N73+W74/(1+Policy_Sched!$K73))</f>
        <v>0</v>
      </c>
      <c r="X73" s="38">
        <f>IF($A73&gt;LastT,0,(-Q73+X74)/(1+Policy_Sched!$K73))</f>
        <v>0</v>
      </c>
      <c r="Y73" s="38">
        <f>IF($A73&gt;LastT,0,-V73+Y74/(1+Policy_Sched!$K73))</f>
        <v>0</v>
      </c>
      <c r="Z73" s="42">
        <f t="shared" si="50"/>
        <v>0</v>
      </c>
      <c r="AA73" s="38">
        <f>IF($A73&gt;LastT,0,N73-V73-Q73/(1+Policy_Sched!$K73)+Z74/(1+Policy_Sched!$K73))</f>
        <v>0</v>
      </c>
    </row>
    <row r="74" spans="1:27" x14ac:dyDescent="0.2">
      <c r="A74" s="30">
        <f t="shared" si="51"/>
        <v>67</v>
      </c>
      <c r="B74" s="31">
        <f t="shared" si="52"/>
        <v>0</v>
      </c>
      <c r="C74" s="31">
        <f>IF($A74&gt;LastT,0,IF(AND($D$3&lt;&gt;0,$A74&gt;=T0,Policy_Sched!$B74&lt;LastAge),1+$D$3*$E$3,1))</f>
        <v>0</v>
      </c>
      <c r="D74" s="36">
        <f>IF($A74&gt;LastT,0,IF($C$3="up",MIN(Policy_Sched!$E74*(1+IF($A74&gt;=T0,$E$3,0)),$F$3),IF($C$3="down",MAX(Policy_Sched!$E74*(1-IF($A74&gt;=T0,$E$3,0)),Policy_Sched!$E74-$F$3),Policy_Sched!$E74)))</f>
        <v>0</v>
      </c>
      <c r="E74" s="37">
        <f t="shared" si="53"/>
        <v>0</v>
      </c>
      <c r="F74" s="37">
        <f t="shared" si="36"/>
        <v>0</v>
      </c>
      <c r="G74" s="37">
        <f t="shared" si="37"/>
        <v>0</v>
      </c>
      <c r="H74" s="37">
        <f t="shared" si="38"/>
        <v>0</v>
      </c>
      <c r="I74" s="37">
        <f t="shared" si="39"/>
        <v>0</v>
      </c>
      <c r="J74" s="37">
        <f t="shared" si="40"/>
        <v>0</v>
      </c>
      <c r="K74" s="37">
        <f>IF($A74&gt;LastT,0,J74*Policy_Sched!$C74*Policy_Sched!$D74*C74)</f>
        <v>0</v>
      </c>
      <c r="L74" s="41">
        <f t="shared" si="41"/>
        <v>0</v>
      </c>
      <c r="M74" s="38">
        <f t="shared" si="42"/>
        <v>0</v>
      </c>
      <c r="N74" s="38">
        <f t="shared" si="43"/>
        <v>0</v>
      </c>
      <c r="O74" s="38">
        <f t="shared" si="44"/>
        <v>0</v>
      </c>
      <c r="P74" s="38">
        <f>Policy_Sched!$I74*(L74+I74)</f>
        <v>0</v>
      </c>
      <c r="Q74" s="42">
        <f t="shared" si="45"/>
        <v>0</v>
      </c>
      <c r="R74" s="38">
        <f t="shared" si="46"/>
        <v>0</v>
      </c>
      <c r="S74" s="38">
        <f t="shared" si="47"/>
        <v>0</v>
      </c>
      <c r="T74" s="38">
        <f>Policy_Sched!$J74*J74</f>
        <v>0</v>
      </c>
      <c r="U74" s="42">
        <f t="shared" si="48"/>
        <v>0</v>
      </c>
      <c r="V74" s="42">
        <f t="shared" si="49"/>
        <v>0</v>
      </c>
      <c r="W74" s="38">
        <f>IF($A74&gt;LastT,0,N74+W75/(1+Policy_Sched!$K74))</f>
        <v>0</v>
      </c>
      <c r="X74" s="38">
        <f>IF($A74&gt;LastT,0,(-Q74+X75)/(1+Policy_Sched!$K74))</f>
        <v>0</v>
      </c>
      <c r="Y74" s="38">
        <f>IF($A74&gt;LastT,0,-V74+Y75/(1+Policy_Sched!$K74))</f>
        <v>0</v>
      </c>
      <c r="Z74" s="42">
        <f t="shared" si="50"/>
        <v>0</v>
      </c>
      <c r="AA74" s="38">
        <f>IF($A74&gt;LastT,0,N74-V74-Q74/(1+Policy_Sched!$K74)+Z75/(1+Policy_Sched!$K74))</f>
        <v>0</v>
      </c>
    </row>
    <row r="75" spans="1:27" x14ac:dyDescent="0.2">
      <c r="A75" s="30">
        <f t="shared" si="51"/>
        <v>68</v>
      </c>
      <c r="B75" s="31">
        <f t="shared" si="52"/>
        <v>0</v>
      </c>
      <c r="C75" s="31">
        <f>IF($A75&gt;LastT,0,IF(AND($D$3&lt;&gt;0,$A75&gt;=T0,Policy_Sched!$B75&lt;LastAge),1+$D$3*$E$3,1))</f>
        <v>0</v>
      </c>
      <c r="D75" s="36">
        <f>IF($A75&gt;LastT,0,IF($C$3="up",MIN(Policy_Sched!$E75*(1+IF($A75&gt;=T0,$E$3,0)),$F$3),IF($C$3="down",MAX(Policy_Sched!$E75*(1-IF($A75&gt;=T0,$E$3,0)),Policy_Sched!$E75-$F$3),Policy_Sched!$E75)))</f>
        <v>0</v>
      </c>
      <c r="E75" s="37">
        <f t="shared" si="53"/>
        <v>0</v>
      </c>
      <c r="F75" s="37">
        <f t="shared" si="36"/>
        <v>0</v>
      </c>
      <c r="G75" s="37">
        <f t="shared" si="37"/>
        <v>0</v>
      </c>
      <c r="H75" s="37">
        <f t="shared" si="38"/>
        <v>0</v>
      </c>
      <c r="I75" s="37">
        <f t="shared" si="39"/>
        <v>0</v>
      </c>
      <c r="J75" s="37">
        <f t="shared" si="40"/>
        <v>0</v>
      </c>
      <c r="K75" s="37">
        <f>IF($A75&gt;LastT,0,J75*Policy_Sched!$C75*Policy_Sched!$D75*C75)</f>
        <v>0</v>
      </c>
      <c r="L75" s="41">
        <f t="shared" si="41"/>
        <v>0</v>
      </c>
      <c r="M75" s="38">
        <f t="shared" si="42"/>
        <v>0</v>
      </c>
      <c r="N75" s="38">
        <f t="shared" si="43"/>
        <v>0</v>
      </c>
      <c r="O75" s="38">
        <f t="shared" si="44"/>
        <v>0</v>
      </c>
      <c r="P75" s="38">
        <f>Policy_Sched!$I75*(L75+I75)</f>
        <v>0</v>
      </c>
      <c r="Q75" s="42">
        <f t="shared" si="45"/>
        <v>0</v>
      </c>
      <c r="R75" s="38">
        <f t="shared" si="46"/>
        <v>0</v>
      </c>
      <c r="S75" s="38">
        <f t="shared" si="47"/>
        <v>0</v>
      </c>
      <c r="T75" s="38">
        <f>Policy_Sched!$J75*J75</f>
        <v>0</v>
      </c>
      <c r="U75" s="42">
        <f t="shared" si="48"/>
        <v>0</v>
      </c>
      <c r="V75" s="42">
        <f t="shared" si="49"/>
        <v>0</v>
      </c>
      <c r="W75" s="38">
        <f>IF($A75&gt;LastT,0,N75+W76/(1+Policy_Sched!$K75))</f>
        <v>0</v>
      </c>
      <c r="X75" s="38">
        <f>IF($A75&gt;LastT,0,(-Q75+X76)/(1+Policy_Sched!$K75))</f>
        <v>0</v>
      </c>
      <c r="Y75" s="38">
        <f>IF($A75&gt;LastT,0,-V75+Y76/(1+Policy_Sched!$K75))</f>
        <v>0</v>
      </c>
      <c r="Z75" s="42">
        <f t="shared" si="50"/>
        <v>0</v>
      </c>
      <c r="AA75" s="38">
        <f>IF($A75&gt;LastT,0,N75-V75-Q75/(1+Policy_Sched!$K75)+Z76/(1+Policy_Sched!$K75))</f>
        <v>0</v>
      </c>
    </row>
    <row r="76" spans="1:27" x14ac:dyDescent="0.2">
      <c r="A76" s="30">
        <f t="shared" si="51"/>
        <v>69</v>
      </c>
      <c r="B76" s="31">
        <f t="shared" si="52"/>
        <v>0</v>
      </c>
      <c r="C76" s="31">
        <f>IF($A76&gt;LastT,0,IF(AND($D$3&lt;&gt;0,$A76&gt;=T0,Policy_Sched!$B76&lt;LastAge),1+$D$3*$E$3,1))</f>
        <v>0</v>
      </c>
      <c r="D76" s="36">
        <f>IF($A76&gt;LastT,0,IF($C$3="up",MIN(Policy_Sched!$E76*(1+IF($A76&gt;=T0,$E$3,0)),$F$3),IF($C$3="down",MAX(Policy_Sched!$E76*(1-IF($A76&gt;=T0,$E$3,0)),Policy_Sched!$E76-$F$3),Policy_Sched!$E76)))</f>
        <v>0</v>
      </c>
      <c r="E76" s="37">
        <f t="shared" si="53"/>
        <v>0</v>
      </c>
      <c r="F76" s="37">
        <f t="shared" si="36"/>
        <v>0</v>
      </c>
      <c r="G76" s="37">
        <f t="shared" si="37"/>
        <v>0</v>
      </c>
      <c r="H76" s="37">
        <f t="shared" si="38"/>
        <v>0</v>
      </c>
      <c r="I76" s="37">
        <f t="shared" si="39"/>
        <v>0</v>
      </c>
      <c r="J76" s="37">
        <f t="shared" si="40"/>
        <v>0</v>
      </c>
      <c r="K76" s="37">
        <f>IF($A76&gt;LastT,0,J76*Policy_Sched!$C76*Policy_Sched!$D76*C76)</f>
        <v>0</v>
      </c>
      <c r="L76" s="41">
        <f t="shared" si="41"/>
        <v>0</v>
      </c>
      <c r="M76" s="38">
        <f t="shared" si="42"/>
        <v>0</v>
      </c>
      <c r="N76" s="38">
        <f t="shared" si="43"/>
        <v>0</v>
      </c>
      <c r="O76" s="38">
        <f t="shared" si="44"/>
        <v>0</v>
      </c>
      <c r="P76" s="38">
        <f>Policy_Sched!$I76*(L76+I76)</f>
        <v>0</v>
      </c>
      <c r="Q76" s="42">
        <f t="shared" si="45"/>
        <v>0</v>
      </c>
      <c r="R76" s="38">
        <f t="shared" si="46"/>
        <v>0</v>
      </c>
      <c r="S76" s="38">
        <f t="shared" si="47"/>
        <v>0</v>
      </c>
      <c r="T76" s="38">
        <f>Policy_Sched!$J76*J76</f>
        <v>0</v>
      </c>
      <c r="U76" s="42">
        <f t="shared" si="48"/>
        <v>0</v>
      </c>
      <c r="V76" s="42">
        <f t="shared" si="49"/>
        <v>0</v>
      </c>
      <c r="W76" s="38">
        <f>IF($A76&gt;LastT,0,N76+W77/(1+Policy_Sched!$K76))</f>
        <v>0</v>
      </c>
      <c r="X76" s="38">
        <f>IF($A76&gt;LastT,0,(-Q76+X77)/(1+Policy_Sched!$K76))</f>
        <v>0</v>
      </c>
      <c r="Y76" s="38">
        <f>IF($A76&gt;LastT,0,-V76+Y77/(1+Policy_Sched!$K76))</f>
        <v>0</v>
      </c>
      <c r="Z76" s="42">
        <f t="shared" si="50"/>
        <v>0</v>
      </c>
      <c r="AA76" s="38">
        <f>IF($A76&gt;LastT,0,N76-V76-Q76/(1+Policy_Sched!$K76)+Z77/(1+Policy_Sched!$K76))</f>
        <v>0</v>
      </c>
    </row>
    <row r="77" spans="1:27" x14ac:dyDescent="0.2">
      <c r="A77" s="30">
        <f t="shared" si="51"/>
        <v>70</v>
      </c>
      <c r="B77" s="31">
        <f t="shared" si="52"/>
        <v>0</v>
      </c>
      <c r="C77" s="31">
        <f>IF($A77&gt;LastT,0,IF(AND($D$3&lt;&gt;0,$A77&gt;=T0,Policy_Sched!$B77&lt;LastAge),1+$D$3*$E$3,1))</f>
        <v>0</v>
      </c>
      <c r="D77" s="36">
        <f>IF($A77&gt;LastT,0,IF($C$3="up",MIN(Policy_Sched!$E77*(1+IF($A77&gt;=T0,$E$3,0)),$F$3),IF($C$3="down",MAX(Policy_Sched!$E77*(1-IF($A77&gt;=T0,$E$3,0)),Policy_Sched!$E77-$F$3),Policy_Sched!$E77)))</f>
        <v>0</v>
      </c>
      <c r="E77" s="37">
        <f t="shared" si="53"/>
        <v>0</v>
      </c>
      <c r="F77" s="37">
        <f t="shared" si="36"/>
        <v>0</v>
      </c>
      <c r="G77" s="37">
        <f t="shared" si="37"/>
        <v>0</v>
      </c>
      <c r="H77" s="37">
        <f t="shared" si="38"/>
        <v>0</v>
      </c>
      <c r="I77" s="37">
        <f t="shared" si="39"/>
        <v>0</v>
      </c>
      <c r="J77" s="37">
        <f t="shared" si="40"/>
        <v>0</v>
      </c>
      <c r="K77" s="37">
        <f>IF($A77&gt;LastT,0,J77*Policy_Sched!$C77*Policy_Sched!$D77*C77)</f>
        <v>0</v>
      </c>
      <c r="L77" s="41">
        <f t="shared" si="41"/>
        <v>0</v>
      </c>
      <c r="M77" s="38">
        <f t="shared" si="42"/>
        <v>0</v>
      </c>
      <c r="N77" s="38">
        <f t="shared" si="43"/>
        <v>0</v>
      </c>
      <c r="O77" s="38">
        <f t="shared" si="44"/>
        <v>0</v>
      </c>
      <c r="P77" s="38">
        <f>Policy_Sched!$I77*(L77+I77)</f>
        <v>0</v>
      </c>
      <c r="Q77" s="42">
        <f t="shared" si="45"/>
        <v>0</v>
      </c>
      <c r="R77" s="38">
        <f t="shared" si="46"/>
        <v>0</v>
      </c>
      <c r="S77" s="38">
        <f t="shared" si="47"/>
        <v>0</v>
      </c>
      <c r="T77" s="38">
        <f>Policy_Sched!$J77*J77</f>
        <v>0</v>
      </c>
      <c r="U77" s="42">
        <f t="shared" si="48"/>
        <v>0</v>
      </c>
      <c r="V77" s="42">
        <f t="shared" si="49"/>
        <v>0</v>
      </c>
      <c r="W77" s="38">
        <f>IF($A77&gt;LastT,0,N77+W78/(1+Policy_Sched!$K77))</f>
        <v>0</v>
      </c>
      <c r="X77" s="38">
        <f>IF($A77&gt;LastT,0,(-Q77+X78)/(1+Policy_Sched!$K77))</f>
        <v>0</v>
      </c>
      <c r="Y77" s="38">
        <f>IF($A77&gt;LastT,0,-V77+Y78/(1+Policy_Sched!$K77))</f>
        <v>0</v>
      </c>
      <c r="Z77" s="42">
        <f t="shared" si="50"/>
        <v>0</v>
      </c>
      <c r="AA77" s="38">
        <f>IF($A77&gt;LastT,0,N77-V77-Q77/(1+Policy_Sched!$K77)+Z78/(1+Policy_Sched!$K77))</f>
        <v>0</v>
      </c>
    </row>
    <row r="78" spans="1:27" x14ac:dyDescent="0.2">
      <c r="A78" s="30">
        <f t="shared" si="51"/>
        <v>71</v>
      </c>
      <c r="B78" s="31">
        <f t="shared" si="52"/>
        <v>0</v>
      </c>
      <c r="C78" s="31">
        <f>IF($A78&gt;LastT,0,IF(AND($D$3&lt;&gt;0,$A78&gt;=T0,Policy_Sched!$B78&lt;LastAge),1+$D$3*$E$3,1))</f>
        <v>0</v>
      </c>
      <c r="D78" s="36">
        <f>IF($A78&gt;LastT,0,IF($C$3="up",MIN(Policy_Sched!$E78*(1+IF($A78&gt;=T0,$E$3,0)),$F$3),IF($C$3="down",MAX(Policy_Sched!$E78*(1-IF($A78&gt;=T0,$E$3,0)),Policy_Sched!$E78-$F$3),Policy_Sched!$E78)))</f>
        <v>0</v>
      </c>
      <c r="E78" s="37">
        <f t="shared" si="53"/>
        <v>0</v>
      </c>
      <c r="F78" s="37">
        <f t="shared" si="36"/>
        <v>0</v>
      </c>
      <c r="G78" s="37">
        <f t="shared" si="37"/>
        <v>0</v>
      </c>
      <c r="H78" s="37">
        <f t="shared" si="38"/>
        <v>0</v>
      </c>
      <c r="I78" s="37">
        <f t="shared" si="39"/>
        <v>0</v>
      </c>
      <c r="J78" s="37">
        <f t="shared" si="40"/>
        <v>0</v>
      </c>
      <c r="K78" s="37">
        <f>IF($A78&gt;LastT,0,J78*Policy_Sched!$C78*Policy_Sched!$D78*C78)</f>
        <v>0</v>
      </c>
      <c r="L78" s="41">
        <f t="shared" si="41"/>
        <v>0</v>
      </c>
      <c r="M78" s="38">
        <f t="shared" si="42"/>
        <v>0</v>
      </c>
      <c r="N78" s="38">
        <f t="shared" si="43"/>
        <v>0</v>
      </c>
      <c r="O78" s="38">
        <f t="shared" si="44"/>
        <v>0</v>
      </c>
      <c r="P78" s="38">
        <f>Policy_Sched!$I78*(L78+I78)</f>
        <v>0</v>
      </c>
      <c r="Q78" s="42">
        <f t="shared" si="45"/>
        <v>0</v>
      </c>
      <c r="R78" s="38">
        <f t="shared" si="46"/>
        <v>0</v>
      </c>
      <c r="S78" s="38">
        <f t="shared" si="47"/>
        <v>0</v>
      </c>
      <c r="T78" s="38">
        <f>Policy_Sched!$J78*J78</f>
        <v>0</v>
      </c>
      <c r="U78" s="42">
        <f t="shared" si="48"/>
        <v>0</v>
      </c>
      <c r="V78" s="42">
        <f t="shared" si="49"/>
        <v>0</v>
      </c>
      <c r="W78" s="38">
        <f>IF($A78&gt;LastT,0,N78+W79/(1+Policy_Sched!$K78))</f>
        <v>0</v>
      </c>
      <c r="X78" s="38">
        <f>IF($A78&gt;LastT,0,(-Q78+X79)/(1+Policy_Sched!$K78))</f>
        <v>0</v>
      </c>
      <c r="Y78" s="38">
        <f>IF($A78&gt;LastT,0,-V78+Y79/(1+Policy_Sched!$K78))</f>
        <v>0</v>
      </c>
      <c r="Z78" s="42">
        <f t="shared" si="50"/>
        <v>0</v>
      </c>
      <c r="AA78" s="38">
        <f>IF($A78&gt;LastT,0,N78-V78-Q78/(1+Policy_Sched!$K78)+Z79/(1+Policy_Sched!$K78))</f>
        <v>0</v>
      </c>
    </row>
    <row r="79" spans="1:27" x14ac:dyDescent="0.2">
      <c r="A79" s="30">
        <f t="shared" si="51"/>
        <v>72</v>
      </c>
      <c r="B79" s="31">
        <f t="shared" si="52"/>
        <v>0</v>
      </c>
      <c r="C79" s="31">
        <f>IF($A79&gt;LastT,0,IF(AND($D$3&lt;&gt;0,$A79&gt;=T0,Policy_Sched!$B79&lt;LastAge),1+$D$3*$E$3,1))</f>
        <v>0</v>
      </c>
      <c r="D79" s="36">
        <f>IF($A79&gt;LastT,0,IF($C$3="up",MIN(Policy_Sched!$E79*(1+IF($A79&gt;=T0,$E$3,0)),$F$3),IF($C$3="down",MAX(Policy_Sched!$E79*(1-IF($A79&gt;=T0,$E$3,0)),Policy_Sched!$E79-$F$3),Policy_Sched!$E79)))</f>
        <v>0</v>
      </c>
      <c r="E79" s="37">
        <f t="shared" si="53"/>
        <v>0</v>
      </c>
      <c r="F79" s="37">
        <f t="shared" si="36"/>
        <v>0</v>
      </c>
      <c r="G79" s="37">
        <f t="shared" si="37"/>
        <v>0</v>
      </c>
      <c r="H79" s="37">
        <f t="shared" si="38"/>
        <v>0</v>
      </c>
      <c r="I79" s="37">
        <f t="shared" si="39"/>
        <v>0</v>
      </c>
      <c r="J79" s="37">
        <f t="shared" si="40"/>
        <v>0</v>
      </c>
      <c r="K79" s="37">
        <f>IF($A79&gt;LastT,0,J79*Policy_Sched!$C79*Policy_Sched!$D79*C79)</f>
        <v>0</v>
      </c>
      <c r="L79" s="41">
        <f t="shared" si="41"/>
        <v>0</v>
      </c>
      <c r="M79" s="38">
        <f t="shared" si="42"/>
        <v>0</v>
      </c>
      <c r="N79" s="38">
        <f t="shared" si="43"/>
        <v>0</v>
      </c>
      <c r="O79" s="38">
        <f t="shared" si="44"/>
        <v>0</v>
      </c>
      <c r="P79" s="38">
        <f>Policy_Sched!$I79*(L79+I79)</f>
        <v>0</v>
      </c>
      <c r="Q79" s="42">
        <f t="shared" si="45"/>
        <v>0</v>
      </c>
      <c r="R79" s="38">
        <f t="shared" si="46"/>
        <v>0</v>
      </c>
      <c r="S79" s="38">
        <f t="shared" si="47"/>
        <v>0</v>
      </c>
      <c r="T79" s="38">
        <f>Policy_Sched!$J79*J79</f>
        <v>0</v>
      </c>
      <c r="U79" s="42">
        <f t="shared" si="48"/>
        <v>0</v>
      </c>
      <c r="V79" s="42">
        <f t="shared" si="49"/>
        <v>0</v>
      </c>
      <c r="W79" s="38">
        <f>IF($A79&gt;LastT,0,N79+W80/(1+Policy_Sched!$K79))</f>
        <v>0</v>
      </c>
      <c r="X79" s="38">
        <f>IF($A79&gt;LastT,0,(-Q79+X80)/(1+Policy_Sched!$K79))</f>
        <v>0</v>
      </c>
      <c r="Y79" s="38">
        <f>IF($A79&gt;LastT,0,-V79+Y80/(1+Policy_Sched!$K79))</f>
        <v>0</v>
      </c>
      <c r="Z79" s="42">
        <f t="shared" si="50"/>
        <v>0</v>
      </c>
      <c r="AA79" s="38">
        <f>IF($A79&gt;LastT,0,N79-V79-Q79/(1+Policy_Sched!$K79)+Z80/(1+Policy_Sched!$K79))</f>
        <v>0</v>
      </c>
    </row>
    <row r="80" spans="1:27" x14ac:dyDescent="0.2">
      <c r="A80" s="30">
        <f t="shared" si="51"/>
        <v>73</v>
      </c>
      <c r="B80" s="31">
        <f t="shared" si="52"/>
        <v>0</v>
      </c>
      <c r="C80" s="31">
        <f>IF($A80&gt;LastT,0,IF(AND($D$3&lt;&gt;0,$A80&gt;=T0,Policy_Sched!$B80&lt;LastAge),1+$D$3*$E$3,1))</f>
        <v>0</v>
      </c>
      <c r="D80" s="36">
        <f>IF($A80&gt;LastT,0,IF($C$3="up",MIN(Policy_Sched!$E80*(1+IF($A80&gt;=T0,$E$3,0)),$F$3),IF($C$3="down",MAX(Policy_Sched!$E80*(1-IF($A80&gt;=T0,$E$3,0)),Policy_Sched!$E80-$F$3),Policy_Sched!$E80)))</f>
        <v>0</v>
      </c>
      <c r="E80" s="37">
        <f t="shared" si="53"/>
        <v>0</v>
      </c>
      <c r="F80" s="37">
        <f t="shared" si="36"/>
        <v>0</v>
      </c>
      <c r="G80" s="37">
        <f t="shared" si="37"/>
        <v>0</v>
      </c>
      <c r="H80" s="37">
        <f t="shared" si="38"/>
        <v>0</v>
      </c>
      <c r="I80" s="37">
        <f t="shared" si="39"/>
        <v>0</v>
      </c>
      <c r="J80" s="37">
        <f t="shared" si="40"/>
        <v>0</v>
      </c>
      <c r="K80" s="37">
        <f>IF($A80&gt;LastT,0,J80*Policy_Sched!$C80*Policy_Sched!$D80*C80)</f>
        <v>0</v>
      </c>
      <c r="L80" s="41">
        <f t="shared" si="41"/>
        <v>0</v>
      </c>
      <c r="M80" s="38">
        <f t="shared" si="42"/>
        <v>0</v>
      </c>
      <c r="N80" s="38">
        <f t="shared" si="43"/>
        <v>0</v>
      </c>
      <c r="O80" s="38">
        <f t="shared" si="44"/>
        <v>0</v>
      </c>
      <c r="P80" s="38">
        <f>Policy_Sched!$I80*(L80+I80)</f>
        <v>0</v>
      </c>
      <c r="Q80" s="42">
        <f t="shared" si="45"/>
        <v>0</v>
      </c>
      <c r="R80" s="38">
        <f t="shared" si="46"/>
        <v>0</v>
      </c>
      <c r="S80" s="38">
        <f t="shared" si="47"/>
        <v>0</v>
      </c>
      <c r="T80" s="38">
        <f>Policy_Sched!$J80*J80</f>
        <v>0</v>
      </c>
      <c r="U80" s="42">
        <f t="shared" si="48"/>
        <v>0</v>
      </c>
      <c r="V80" s="42">
        <f t="shared" si="49"/>
        <v>0</v>
      </c>
      <c r="W80" s="38">
        <f>IF($A80&gt;LastT,0,N80+W81/(1+Policy_Sched!$K80))</f>
        <v>0</v>
      </c>
      <c r="X80" s="38">
        <f>IF($A80&gt;LastT,0,(-Q80+X81)/(1+Policy_Sched!$K80))</f>
        <v>0</v>
      </c>
      <c r="Y80" s="38">
        <f>IF($A80&gt;LastT,0,-V80+Y81/(1+Policy_Sched!$K80))</f>
        <v>0</v>
      </c>
      <c r="Z80" s="42">
        <f t="shared" si="50"/>
        <v>0</v>
      </c>
      <c r="AA80" s="38">
        <f>IF($A80&gt;LastT,0,N80-V80-Q80/(1+Policy_Sched!$K80)+Z81/(1+Policy_Sched!$K80))</f>
        <v>0</v>
      </c>
    </row>
    <row r="81" spans="1:27" x14ac:dyDescent="0.2">
      <c r="A81" s="30">
        <f t="shared" si="51"/>
        <v>74</v>
      </c>
      <c r="B81" s="31">
        <f t="shared" si="52"/>
        <v>0</v>
      </c>
      <c r="C81" s="31">
        <f>IF($A81&gt;LastT,0,IF(AND($D$3&lt;&gt;0,$A81&gt;=T0,Policy_Sched!$B81&lt;LastAge),1+$D$3*$E$3,1))</f>
        <v>0</v>
      </c>
      <c r="D81" s="36">
        <f>IF($A81&gt;LastT,0,IF($C$3="up",MIN(Policy_Sched!$E81*(1+IF($A81&gt;=T0,$E$3,0)),$F$3),IF($C$3="down",MAX(Policy_Sched!$E81*(1-IF($A81&gt;=T0,$E$3,0)),Policy_Sched!$E81-$F$3),Policy_Sched!$E81)))</f>
        <v>0</v>
      </c>
      <c r="E81" s="37">
        <f t="shared" si="53"/>
        <v>0</v>
      </c>
      <c r="F81" s="37">
        <f t="shared" si="36"/>
        <v>0</v>
      </c>
      <c r="G81" s="37">
        <f t="shared" si="37"/>
        <v>0</v>
      </c>
      <c r="H81" s="37">
        <f t="shared" si="38"/>
        <v>0</v>
      </c>
      <c r="I81" s="37">
        <f t="shared" si="39"/>
        <v>0</v>
      </c>
      <c r="J81" s="37">
        <f t="shared" si="40"/>
        <v>0</v>
      </c>
      <c r="K81" s="37">
        <f>IF($A81&gt;LastT,0,J81*Policy_Sched!$C81*Policy_Sched!$D81*C81)</f>
        <v>0</v>
      </c>
      <c r="L81" s="41">
        <f t="shared" si="41"/>
        <v>0</v>
      </c>
      <c r="M81" s="38">
        <f t="shared" si="42"/>
        <v>0</v>
      </c>
      <c r="N81" s="38">
        <f t="shared" si="43"/>
        <v>0</v>
      </c>
      <c r="O81" s="38">
        <f t="shared" si="44"/>
        <v>0</v>
      </c>
      <c r="P81" s="38">
        <f>Policy_Sched!$I81*(L81+I81)</f>
        <v>0</v>
      </c>
      <c r="Q81" s="42">
        <f t="shared" si="45"/>
        <v>0</v>
      </c>
      <c r="R81" s="38">
        <f t="shared" si="46"/>
        <v>0</v>
      </c>
      <c r="S81" s="38">
        <f t="shared" si="47"/>
        <v>0</v>
      </c>
      <c r="T81" s="38">
        <f>Policy_Sched!$J81*J81</f>
        <v>0</v>
      </c>
      <c r="U81" s="42">
        <f t="shared" si="48"/>
        <v>0</v>
      </c>
      <c r="V81" s="42">
        <f t="shared" si="49"/>
        <v>0</v>
      </c>
      <c r="W81" s="38">
        <f>IF($A81&gt;LastT,0,N81+W82/(1+Policy_Sched!$K81))</f>
        <v>0</v>
      </c>
      <c r="X81" s="38">
        <f>IF($A81&gt;LastT,0,(-Q81+X82)/(1+Policy_Sched!$K81))</f>
        <v>0</v>
      </c>
      <c r="Y81" s="38">
        <f>IF($A81&gt;LastT,0,-V81+Y82/(1+Policy_Sched!$K81))</f>
        <v>0</v>
      </c>
      <c r="Z81" s="42">
        <f t="shared" si="50"/>
        <v>0</v>
      </c>
      <c r="AA81" s="38">
        <f>IF($A81&gt;LastT,0,N81-V81-Q81/(1+Policy_Sched!$K81)+Z82/(1+Policy_Sched!$K81))</f>
        <v>0</v>
      </c>
    </row>
    <row r="82" spans="1:27" x14ac:dyDescent="0.2">
      <c r="A82" s="30">
        <f t="shared" si="51"/>
        <v>75</v>
      </c>
      <c r="B82" s="31">
        <f t="shared" si="52"/>
        <v>0</v>
      </c>
      <c r="C82" s="31">
        <f>IF($A82&gt;LastT,0,IF(AND($D$3&lt;&gt;0,$A82&gt;=T0,Policy_Sched!$B82&lt;LastAge),1+$D$3*$E$3,1))</f>
        <v>0</v>
      </c>
      <c r="D82" s="36">
        <f>IF($A82&gt;LastT,0,IF($C$3="up",MIN(Policy_Sched!$E82*(1+IF($A82&gt;=T0,$E$3,0)),$F$3),IF($C$3="down",MAX(Policy_Sched!$E82*(1-IF($A82&gt;=T0,$E$3,0)),Policy_Sched!$E82-$F$3),Policy_Sched!$E82)))</f>
        <v>0</v>
      </c>
      <c r="E82" s="37">
        <f t="shared" si="53"/>
        <v>0</v>
      </c>
      <c r="F82" s="37">
        <f t="shared" si="36"/>
        <v>0</v>
      </c>
      <c r="G82" s="37">
        <f t="shared" si="37"/>
        <v>0</v>
      </c>
      <c r="H82" s="37">
        <f t="shared" si="38"/>
        <v>0</v>
      </c>
      <c r="I82" s="37">
        <f t="shared" si="39"/>
        <v>0</v>
      </c>
      <c r="J82" s="37">
        <f t="shared" si="40"/>
        <v>0</v>
      </c>
      <c r="K82" s="37">
        <f>IF($A82&gt;LastT,0,J82*Policy_Sched!$C82*Policy_Sched!$D82*C82)</f>
        <v>0</v>
      </c>
      <c r="L82" s="41">
        <f t="shared" si="41"/>
        <v>0</v>
      </c>
      <c r="M82" s="38">
        <f t="shared" si="42"/>
        <v>0</v>
      </c>
      <c r="N82" s="38">
        <f t="shared" si="43"/>
        <v>0</v>
      </c>
      <c r="O82" s="38">
        <f t="shared" si="44"/>
        <v>0</v>
      </c>
      <c r="P82" s="38">
        <f>Policy_Sched!$I82*(L82+I82)</f>
        <v>0</v>
      </c>
      <c r="Q82" s="42">
        <f t="shared" si="45"/>
        <v>0</v>
      </c>
      <c r="R82" s="38">
        <f t="shared" si="46"/>
        <v>0</v>
      </c>
      <c r="S82" s="38">
        <f t="shared" si="47"/>
        <v>0</v>
      </c>
      <c r="T82" s="38">
        <f>Policy_Sched!$J82*J82</f>
        <v>0</v>
      </c>
      <c r="U82" s="42">
        <f t="shared" si="48"/>
        <v>0</v>
      </c>
      <c r="V82" s="42">
        <f t="shared" si="49"/>
        <v>0</v>
      </c>
      <c r="W82" s="38">
        <f>IF($A82&gt;LastT,0,N82+W83/(1+Policy_Sched!$K82))</f>
        <v>0</v>
      </c>
      <c r="X82" s="38">
        <f>IF($A82&gt;LastT,0,(-Q82+X83)/(1+Policy_Sched!$K82))</f>
        <v>0</v>
      </c>
      <c r="Y82" s="38">
        <f>IF($A82&gt;LastT,0,-V82+Y83/(1+Policy_Sched!$K82))</f>
        <v>0</v>
      </c>
      <c r="Z82" s="42">
        <f t="shared" si="50"/>
        <v>0</v>
      </c>
      <c r="AA82" s="38">
        <f>IF($A82&gt;LastT,0,N82-V82-Q82/(1+Policy_Sched!$K82)+Z83/(1+Policy_Sched!$K82))</f>
        <v>0</v>
      </c>
    </row>
    <row r="83" spans="1:27" x14ac:dyDescent="0.2">
      <c r="A83" s="30">
        <f t="shared" si="51"/>
        <v>76</v>
      </c>
      <c r="B83" s="31">
        <f t="shared" si="52"/>
        <v>0</v>
      </c>
      <c r="C83" s="31">
        <f>IF($A83&gt;LastT,0,IF(AND($D$3&lt;&gt;0,$A83&gt;=T0,Policy_Sched!$B83&lt;LastAge),1+$D$3*$E$3,1))</f>
        <v>0</v>
      </c>
      <c r="D83" s="36">
        <f>IF($A83&gt;LastT,0,IF($C$3="up",MIN(Policy_Sched!$E83*(1+IF($A83&gt;=T0,$E$3,0)),$F$3),IF($C$3="down",MAX(Policy_Sched!$E83*(1-IF($A83&gt;=T0,$E$3,0)),Policy_Sched!$E83-$F$3),Policy_Sched!$E83)))</f>
        <v>0</v>
      </c>
      <c r="E83" s="37">
        <f t="shared" si="53"/>
        <v>0</v>
      </c>
      <c r="F83" s="37">
        <f t="shared" si="36"/>
        <v>0</v>
      </c>
      <c r="G83" s="37">
        <f t="shared" si="37"/>
        <v>0</v>
      </c>
      <c r="H83" s="37">
        <f t="shared" si="38"/>
        <v>0</v>
      </c>
      <c r="I83" s="37">
        <f t="shared" si="39"/>
        <v>0</v>
      </c>
      <c r="J83" s="37">
        <f t="shared" si="40"/>
        <v>0</v>
      </c>
      <c r="K83" s="37">
        <f>IF($A83&gt;LastT,0,J83*Policy_Sched!$C83*Policy_Sched!$D83*C83)</f>
        <v>0</v>
      </c>
      <c r="L83" s="41">
        <f t="shared" si="41"/>
        <v>0</v>
      </c>
      <c r="M83" s="38">
        <f t="shared" si="42"/>
        <v>0</v>
      </c>
      <c r="N83" s="38">
        <f t="shared" si="43"/>
        <v>0</v>
      </c>
      <c r="O83" s="38">
        <f t="shared" si="44"/>
        <v>0</v>
      </c>
      <c r="P83" s="38">
        <f>Policy_Sched!$I83*(L83+I83)</f>
        <v>0</v>
      </c>
      <c r="Q83" s="42">
        <f t="shared" si="45"/>
        <v>0</v>
      </c>
      <c r="R83" s="38">
        <f t="shared" si="46"/>
        <v>0</v>
      </c>
      <c r="S83" s="38">
        <f t="shared" si="47"/>
        <v>0</v>
      </c>
      <c r="T83" s="38">
        <f>Policy_Sched!$J83*J83</f>
        <v>0</v>
      </c>
      <c r="U83" s="42">
        <f t="shared" si="48"/>
        <v>0</v>
      </c>
      <c r="V83" s="42">
        <f t="shared" si="49"/>
        <v>0</v>
      </c>
      <c r="W83" s="38">
        <f>IF($A83&gt;LastT,0,N83+W84/(1+Policy_Sched!$K83))</f>
        <v>0</v>
      </c>
      <c r="X83" s="38">
        <f>IF($A83&gt;LastT,0,(-Q83+X84)/(1+Policy_Sched!$K83))</f>
        <v>0</v>
      </c>
      <c r="Y83" s="38">
        <f>IF($A83&gt;LastT,0,-V83+Y84/(1+Policy_Sched!$K83))</f>
        <v>0</v>
      </c>
      <c r="Z83" s="42">
        <f t="shared" si="50"/>
        <v>0</v>
      </c>
      <c r="AA83" s="38">
        <f>IF($A83&gt;LastT,0,N83-V83-Q83/(1+Policy_Sched!$K83)+Z84/(1+Policy_Sched!$K83))</f>
        <v>0</v>
      </c>
    </row>
    <row r="84" spans="1:27" x14ac:dyDescent="0.2">
      <c r="A84" s="30">
        <f t="shared" si="51"/>
        <v>77</v>
      </c>
      <c r="B84" s="31">
        <f t="shared" si="52"/>
        <v>0</v>
      </c>
      <c r="C84" s="31">
        <f>IF($A84&gt;LastT,0,IF(AND($D$3&lt;&gt;0,$A84&gt;=T0,Policy_Sched!$B84&lt;LastAge),1+$D$3*$E$3,1))</f>
        <v>0</v>
      </c>
      <c r="D84" s="36">
        <f>IF($A84&gt;LastT,0,IF($C$3="up",MIN(Policy_Sched!$E84*(1+IF($A84&gt;=T0,$E$3,0)),$F$3),IF($C$3="down",MAX(Policy_Sched!$E84*(1-IF($A84&gt;=T0,$E$3,0)),Policy_Sched!$E84-$F$3),Policy_Sched!$E84)))</f>
        <v>0</v>
      </c>
      <c r="E84" s="37">
        <f t="shared" si="53"/>
        <v>0</v>
      </c>
      <c r="F84" s="37">
        <f t="shared" si="36"/>
        <v>0</v>
      </c>
      <c r="G84" s="37">
        <f t="shared" si="37"/>
        <v>0</v>
      </c>
      <c r="H84" s="37">
        <f t="shared" si="38"/>
        <v>0</v>
      </c>
      <c r="I84" s="37">
        <f t="shared" si="39"/>
        <v>0</v>
      </c>
      <c r="J84" s="37">
        <f t="shared" si="40"/>
        <v>0</v>
      </c>
      <c r="K84" s="37">
        <f>IF($A84&gt;LastT,0,J84*Policy_Sched!$C84*Policy_Sched!$D84*C84)</f>
        <v>0</v>
      </c>
      <c r="L84" s="41">
        <f t="shared" si="41"/>
        <v>0</v>
      </c>
      <c r="M84" s="38">
        <f t="shared" si="42"/>
        <v>0</v>
      </c>
      <c r="N84" s="38">
        <f t="shared" si="43"/>
        <v>0</v>
      </c>
      <c r="O84" s="38">
        <f t="shared" si="44"/>
        <v>0</v>
      </c>
      <c r="P84" s="38">
        <f>Policy_Sched!$I84*(L84+I84)</f>
        <v>0</v>
      </c>
      <c r="Q84" s="42">
        <f t="shared" si="45"/>
        <v>0</v>
      </c>
      <c r="R84" s="38">
        <f t="shared" si="46"/>
        <v>0</v>
      </c>
      <c r="S84" s="38">
        <f t="shared" si="47"/>
        <v>0</v>
      </c>
      <c r="T84" s="38">
        <f>Policy_Sched!$J84*J84</f>
        <v>0</v>
      </c>
      <c r="U84" s="42">
        <f t="shared" si="48"/>
        <v>0</v>
      </c>
      <c r="V84" s="42">
        <f t="shared" si="49"/>
        <v>0</v>
      </c>
      <c r="W84" s="38">
        <f>IF($A84&gt;LastT,0,N84+W85/(1+Policy_Sched!$K84))</f>
        <v>0</v>
      </c>
      <c r="X84" s="38">
        <f>IF($A84&gt;LastT,0,(-Q84+X85)/(1+Policy_Sched!$K84))</f>
        <v>0</v>
      </c>
      <c r="Y84" s="38">
        <f>IF($A84&gt;LastT,0,-V84+Y85/(1+Policy_Sched!$K84))</f>
        <v>0</v>
      </c>
      <c r="Z84" s="42">
        <f t="shared" si="50"/>
        <v>0</v>
      </c>
      <c r="AA84" s="38">
        <f>IF($A84&gt;LastT,0,N84-V84-Q84/(1+Policy_Sched!$K84)+Z85/(1+Policy_Sched!$K84))</f>
        <v>0</v>
      </c>
    </row>
    <row r="85" spans="1:27" x14ac:dyDescent="0.2">
      <c r="A85" s="30">
        <f t="shared" si="51"/>
        <v>78</v>
      </c>
      <c r="B85" s="31">
        <f t="shared" si="52"/>
        <v>0</v>
      </c>
      <c r="C85" s="31">
        <f>IF($A85&gt;LastT,0,IF(AND($D$3&lt;&gt;0,$A85&gt;=T0,Policy_Sched!$B85&lt;LastAge),1+$D$3*$E$3,1))</f>
        <v>0</v>
      </c>
      <c r="D85" s="36">
        <f>IF($A85&gt;LastT,0,IF($C$3="up",MIN(Policy_Sched!$E85*(1+IF($A85&gt;=T0,$E$3,0)),$F$3),IF($C$3="down",MAX(Policy_Sched!$E85*(1-IF($A85&gt;=T0,$E$3,0)),Policy_Sched!$E85-$F$3),Policy_Sched!$E85)))</f>
        <v>0</v>
      </c>
      <c r="E85" s="37">
        <f t="shared" si="53"/>
        <v>0</v>
      </c>
      <c r="F85" s="37">
        <f t="shared" si="36"/>
        <v>0</v>
      </c>
      <c r="G85" s="37">
        <f t="shared" si="37"/>
        <v>0</v>
      </c>
      <c r="H85" s="37">
        <f t="shared" si="38"/>
        <v>0</v>
      </c>
      <c r="I85" s="37">
        <f t="shared" si="39"/>
        <v>0</v>
      </c>
      <c r="J85" s="37">
        <f t="shared" si="40"/>
        <v>0</v>
      </c>
      <c r="K85" s="37">
        <f>IF($A85&gt;LastT,0,J85*Policy_Sched!$C85*Policy_Sched!$D85*C85)</f>
        <v>0</v>
      </c>
      <c r="L85" s="41">
        <f t="shared" si="41"/>
        <v>0</v>
      </c>
      <c r="M85" s="38">
        <f t="shared" si="42"/>
        <v>0</v>
      </c>
      <c r="N85" s="38">
        <f t="shared" si="43"/>
        <v>0</v>
      </c>
      <c r="O85" s="38">
        <f t="shared" si="44"/>
        <v>0</v>
      </c>
      <c r="P85" s="38">
        <f>Policy_Sched!$I85*(L85+I85)</f>
        <v>0</v>
      </c>
      <c r="Q85" s="42">
        <f t="shared" si="45"/>
        <v>0</v>
      </c>
      <c r="R85" s="38">
        <f t="shared" si="46"/>
        <v>0</v>
      </c>
      <c r="S85" s="38">
        <f t="shared" si="47"/>
        <v>0</v>
      </c>
      <c r="T85" s="38">
        <f>Policy_Sched!$J85*J85</f>
        <v>0</v>
      </c>
      <c r="U85" s="42">
        <f t="shared" si="48"/>
        <v>0</v>
      </c>
      <c r="V85" s="42">
        <f t="shared" si="49"/>
        <v>0</v>
      </c>
      <c r="W85" s="38">
        <f>IF($A85&gt;LastT,0,N85+W86/(1+Policy_Sched!$K85))</f>
        <v>0</v>
      </c>
      <c r="X85" s="38">
        <f>IF($A85&gt;LastT,0,(-Q85+X86)/(1+Policy_Sched!$K85))</f>
        <v>0</v>
      </c>
      <c r="Y85" s="38">
        <f>IF($A85&gt;LastT,0,-V85+Y86/(1+Policy_Sched!$K85))</f>
        <v>0</v>
      </c>
      <c r="Z85" s="42">
        <f t="shared" si="50"/>
        <v>0</v>
      </c>
      <c r="AA85" s="38">
        <f>IF($A85&gt;LastT,0,N85-V85-Q85/(1+Policy_Sched!$K85)+Z86/(1+Policy_Sched!$K85))</f>
        <v>0</v>
      </c>
    </row>
    <row r="86" spans="1:27" x14ac:dyDescent="0.2">
      <c r="A86" s="30">
        <f t="shared" si="51"/>
        <v>79</v>
      </c>
      <c r="B86" s="31">
        <f t="shared" si="52"/>
        <v>0</v>
      </c>
      <c r="C86" s="31">
        <f>IF($A86&gt;LastT,0,IF(AND($D$3&lt;&gt;0,$A86&gt;=T0,Policy_Sched!$B86&lt;LastAge),1+$D$3*$E$3,1))</f>
        <v>0</v>
      </c>
      <c r="D86" s="36">
        <f>IF($A86&gt;LastT,0,IF($C$3="up",MIN(Policy_Sched!$E86*(1+IF($A86&gt;=T0,$E$3,0)),$F$3),IF($C$3="down",MAX(Policy_Sched!$E86*(1-IF($A86&gt;=T0,$E$3,0)),Policy_Sched!$E86-$F$3),Policy_Sched!$E86)))</f>
        <v>0</v>
      </c>
      <c r="E86" s="37">
        <f t="shared" si="53"/>
        <v>0</v>
      </c>
      <c r="F86" s="37">
        <f t="shared" si="36"/>
        <v>0</v>
      </c>
      <c r="G86" s="37">
        <f t="shared" si="37"/>
        <v>0</v>
      </c>
      <c r="H86" s="37">
        <f t="shared" si="38"/>
        <v>0</v>
      </c>
      <c r="I86" s="37">
        <f t="shared" si="39"/>
        <v>0</v>
      </c>
      <c r="J86" s="37">
        <f t="shared" si="40"/>
        <v>0</v>
      </c>
      <c r="K86" s="37">
        <f>IF($A86&gt;LastT,0,J86*Policy_Sched!$C86*Policy_Sched!$D86*C86)</f>
        <v>0</v>
      </c>
      <c r="L86" s="41">
        <f t="shared" si="41"/>
        <v>0</v>
      </c>
      <c r="M86" s="38">
        <f t="shared" si="42"/>
        <v>0</v>
      </c>
      <c r="N86" s="38">
        <f t="shared" si="43"/>
        <v>0</v>
      </c>
      <c r="O86" s="38">
        <f t="shared" si="44"/>
        <v>0</v>
      </c>
      <c r="P86" s="38">
        <f>Policy_Sched!$I86*(L86+I86)</f>
        <v>0</v>
      </c>
      <c r="Q86" s="42">
        <f t="shared" si="45"/>
        <v>0</v>
      </c>
      <c r="R86" s="38">
        <f t="shared" si="46"/>
        <v>0</v>
      </c>
      <c r="S86" s="38">
        <f t="shared" si="47"/>
        <v>0</v>
      </c>
      <c r="T86" s="38">
        <f>Policy_Sched!$J86*J86</f>
        <v>0</v>
      </c>
      <c r="U86" s="42">
        <f t="shared" si="48"/>
        <v>0</v>
      </c>
      <c r="V86" s="42">
        <f t="shared" si="49"/>
        <v>0</v>
      </c>
      <c r="W86" s="38">
        <f>IF($A86&gt;LastT,0,N86+W87/(1+Policy_Sched!$K86))</f>
        <v>0</v>
      </c>
      <c r="X86" s="38">
        <f>IF($A86&gt;LastT,0,(-Q86+X87)/(1+Policy_Sched!$K86))</f>
        <v>0</v>
      </c>
      <c r="Y86" s="38">
        <f>IF($A86&gt;LastT,0,-V86+Y87/(1+Policy_Sched!$K86))</f>
        <v>0</v>
      </c>
      <c r="Z86" s="42">
        <f t="shared" si="50"/>
        <v>0</v>
      </c>
      <c r="AA86" s="38">
        <f>IF($A86&gt;LastT,0,N86-V86-Q86/(1+Policy_Sched!$K86)+Z87/(1+Policy_Sched!$K86))</f>
        <v>0</v>
      </c>
    </row>
    <row r="87" spans="1:27" x14ac:dyDescent="0.2">
      <c r="A87" s="30">
        <f t="shared" si="51"/>
        <v>80</v>
      </c>
      <c r="B87" s="31">
        <f t="shared" si="52"/>
        <v>0</v>
      </c>
      <c r="C87" s="31">
        <f>IF($A87&gt;LastT,0,IF(AND($D$3&lt;&gt;0,$A87&gt;=T0,Policy_Sched!$B87&lt;LastAge),1+$D$3*$E$3,1))</f>
        <v>0</v>
      </c>
      <c r="D87" s="36">
        <f>IF($A87&gt;LastT,0,IF($C$3="up",MIN(Policy_Sched!$E87*(1+IF($A87&gt;=T0,$E$3,0)),$F$3),IF($C$3="down",MAX(Policy_Sched!$E87*(1-IF($A87&gt;=T0,$E$3,0)),Policy_Sched!$E87-$F$3),Policy_Sched!$E87)))</f>
        <v>0</v>
      </c>
      <c r="E87" s="37">
        <f t="shared" si="53"/>
        <v>0</v>
      </c>
      <c r="F87" s="37">
        <f t="shared" si="36"/>
        <v>0</v>
      </c>
      <c r="G87" s="37">
        <f t="shared" si="37"/>
        <v>0</v>
      </c>
      <c r="H87" s="37">
        <f t="shared" si="38"/>
        <v>0</v>
      </c>
      <c r="I87" s="37">
        <f t="shared" si="39"/>
        <v>0</v>
      </c>
      <c r="J87" s="37">
        <f t="shared" si="40"/>
        <v>0</v>
      </c>
      <c r="K87" s="37">
        <f>IF($A87&gt;LastT,0,J87*Policy_Sched!$C87*Policy_Sched!$D87*C87)</f>
        <v>0</v>
      </c>
      <c r="L87" s="41">
        <f t="shared" si="41"/>
        <v>0</v>
      </c>
      <c r="M87" s="38">
        <f t="shared" si="42"/>
        <v>0</v>
      </c>
      <c r="N87" s="38">
        <f t="shared" si="43"/>
        <v>0</v>
      </c>
      <c r="O87" s="38">
        <f t="shared" si="44"/>
        <v>0</v>
      </c>
      <c r="P87" s="38">
        <f>Policy_Sched!$I87*(L87+I87)</f>
        <v>0</v>
      </c>
      <c r="Q87" s="42">
        <f t="shared" si="45"/>
        <v>0</v>
      </c>
      <c r="R87" s="38">
        <f t="shared" si="46"/>
        <v>0</v>
      </c>
      <c r="S87" s="38">
        <f t="shared" si="47"/>
        <v>0</v>
      </c>
      <c r="T87" s="38">
        <f>Policy_Sched!$J87*J87</f>
        <v>0</v>
      </c>
      <c r="U87" s="42">
        <f t="shared" si="48"/>
        <v>0</v>
      </c>
      <c r="V87" s="42">
        <f t="shared" si="49"/>
        <v>0</v>
      </c>
      <c r="W87" s="38">
        <f>IF($A87&gt;LastT,0,N87+W88/(1+Policy_Sched!$K87))</f>
        <v>0</v>
      </c>
      <c r="X87" s="38">
        <f>IF($A87&gt;LastT,0,(-Q87+X88)/(1+Policy_Sched!$K87))</f>
        <v>0</v>
      </c>
      <c r="Y87" s="38">
        <f>IF($A87&gt;LastT,0,-V87+Y88/(1+Policy_Sched!$K87))</f>
        <v>0</v>
      </c>
      <c r="Z87" s="42">
        <f t="shared" si="50"/>
        <v>0</v>
      </c>
      <c r="AA87" s="38">
        <f>IF($A87&gt;LastT,0,N87-V87-Q87/(1+Policy_Sched!$K87)+Z88/(1+Policy_Sched!$K87))</f>
        <v>0</v>
      </c>
    </row>
    <row r="88" spans="1:27" x14ac:dyDescent="0.2">
      <c r="A88" s="30">
        <f t="shared" si="51"/>
        <v>81</v>
      </c>
      <c r="B88" s="31">
        <f t="shared" si="52"/>
        <v>0</v>
      </c>
      <c r="C88" s="31">
        <f>IF($A88&gt;LastT,0,IF(AND($D$3&lt;&gt;0,$A88&gt;=T0,Policy_Sched!$B88&lt;LastAge),1+$D$3*$E$3,1))</f>
        <v>0</v>
      </c>
      <c r="D88" s="36">
        <f>IF($A88&gt;LastT,0,IF($C$3="up",MIN(Policy_Sched!$E88*(1+IF($A88&gt;=T0,$E$3,0)),$F$3),IF($C$3="down",MAX(Policy_Sched!$E88*(1-IF($A88&gt;=T0,$E$3,0)),Policy_Sched!$E88-$F$3),Policy_Sched!$E88)))</f>
        <v>0</v>
      </c>
      <c r="E88" s="37">
        <f t="shared" si="53"/>
        <v>0</v>
      </c>
      <c r="F88" s="37">
        <f t="shared" si="36"/>
        <v>0</v>
      </c>
      <c r="G88" s="37">
        <f t="shared" si="37"/>
        <v>0</v>
      </c>
      <c r="H88" s="37">
        <f t="shared" si="38"/>
        <v>0</v>
      </c>
      <c r="I88" s="37">
        <f t="shared" si="39"/>
        <v>0</v>
      </c>
      <c r="J88" s="37">
        <f t="shared" si="40"/>
        <v>0</v>
      </c>
      <c r="K88" s="37">
        <f>IF($A88&gt;LastT,0,J88*Policy_Sched!$C88*Policy_Sched!$D88*C88)</f>
        <v>0</v>
      </c>
      <c r="L88" s="41">
        <f t="shared" si="41"/>
        <v>0</v>
      </c>
      <c r="M88" s="38">
        <f t="shared" si="42"/>
        <v>0</v>
      </c>
      <c r="N88" s="38">
        <f t="shared" si="43"/>
        <v>0</v>
      </c>
      <c r="O88" s="38">
        <f t="shared" si="44"/>
        <v>0</v>
      </c>
      <c r="P88" s="38">
        <f>Policy_Sched!$I88*(L88+I88)</f>
        <v>0</v>
      </c>
      <c r="Q88" s="42">
        <f t="shared" si="45"/>
        <v>0</v>
      </c>
      <c r="R88" s="38">
        <f t="shared" si="46"/>
        <v>0</v>
      </c>
      <c r="S88" s="38">
        <f t="shared" si="47"/>
        <v>0</v>
      </c>
      <c r="T88" s="38">
        <f>Policy_Sched!$J88*J88</f>
        <v>0</v>
      </c>
      <c r="U88" s="42">
        <f t="shared" si="48"/>
        <v>0</v>
      </c>
      <c r="V88" s="42">
        <f t="shared" si="49"/>
        <v>0</v>
      </c>
      <c r="W88" s="38">
        <f>IF($A88&gt;LastT,0,N88+W89/(1+Policy_Sched!$K88))</f>
        <v>0</v>
      </c>
      <c r="X88" s="38">
        <f>IF($A88&gt;LastT,0,(-Q88+X89)/(1+Policy_Sched!$K88))</f>
        <v>0</v>
      </c>
      <c r="Y88" s="38">
        <f>IF($A88&gt;LastT,0,-V88+Y89/(1+Policy_Sched!$K88))</f>
        <v>0</v>
      </c>
      <c r="Z88" s="42">
        <f t="shared" si="50"/>
        <v>0</v>
      </c>
      <c r="AA88" s="38">
        <f>IF($A88&gt;LastT,0,N88-V88-Q88/(1+Policy_Sched!$K88)+Z89/(1+Policy_Sched!$K88))</f>
        <v>0</v>
      </c>
    </row>
    <row r="89" spans="1:27" x14ac:dyDescent="0.2">
      <c r="A89" s="30">
        <f t="shared" si="51"/>
        <v>82</v>
      </c>
      <c r="B89" s="31">
        <f t="shared" si="52"/>
        <v>0</v>
      </c>
      <c r="C89" s="31">
        <f>IF($A89&gt;LastT,0,IF(AND($D$3&lt;&gt;0,$A89&gt;=T0,Policy_Sched!$B89&lt;LastAge),1+$D$3*$E$3,1))</f>
        <v>0</v>
      </c>
      <c r="D89" s="36">
        <f>IF($A89&gt;LastT,0,IF($C$3="up",MIN(Policy_Sched!$E89*(1+IF($A89&gt;=T0,$E$3,0)),$F$3),IF($C$3="down",MAX(Policy_Sched!$E89*(1-IF($A89&gt;=T0,$E$3,0)),Policy_Sched!$E89-$F$3),Policy_Sched!$E89)))</f>
        <v>0</v>
      </c>
      <c r="E89" s="37">
        <f t="shared" si="53"/>
        <v>0</v>
      </c>
      <c r="F89" s="37">
        <f t="shared" si="36"/>
        <v>0</v>
      </c>
      <c r="G89" s="37">
        <f t="shared" si="37"/>
        <v>0</v>
      </c>
      <c r="H89" s="37">
        <f t="shared" si="38"/>
        <v>0</v>
      </c>
      <c r="I89" s="37">
        <f t="shared" si="39"/>
        <v>0</v>
      </c>
      <c r="J89" s="37">
        <f t="shared" si="40"/>
        <v>0</v>
      </c>
      <c r="K89" s="37">
        <f>IF($A89&gt;LastT,0,J89*Policy_Sched!$C89*Policy_Sched!$D89*C89)</f>
        <v>0</v>
      </c>
      <c r="L89" s="41">
        <f t="shared" si="41"/>
        <v>0</v>
      </c>
      <c r="M89" s="38">
        <f t="shared" si="42"/>
        <v>0</v>
      </c>
      <c r="N89" s="38">
        <f t="shared" si="43"/>
        <v>0</v>
      </c>
      <c r="O89" s="38">
        <f t="shared" si="44"/>
        <v>0</v>
      </c>
      <c r="P89" s="38">
        <f>Policy_Sched!$I89*(L89+I89)</f>
        <v>0</v>
      </c>
      <c r="Q89" s="42">
        <f t="shared" si="45"/>
        <v>0</v>
      </c>
      <c r="R89" s="38">
        <f t="shared" si="46"/>
        <v>0</v>
      </c>
      <c r="S89" s="38">
        <f t="shared" si="47"/>
        <v>0</v>
      </c>
      <c r="T89" s="38">
        <f>Policy_Sched!$J89*J89</f>
        <v>0</v>
      </c>
      <c r="U89" s="42">
        <f t="shared" si="48"/>
        <v>0</v>
      </c>
      <c r="V89" s="42">
        <f t="shared" si="49"/>
        <v>0</v>
      </c>
      <c r="W89" s="38">
        <f>IF($A89&gt;LastT,0,N89+W90/(1+Policy_Sched!$K89))</f>
        <v>0</v>
      </c>
      <c r="X89" s="38">
        <f>IF($A89&gt;LastT,0,(-Q89+X90)/(1+Policy_Sched!$K89))</f>
        <v>0</v>
      </c>
      <c r="Y89" s="38">
        <f>IF($A89&gt;LastT,0,-V89+Y90/(1+Policy_Sched!$K89))</f>
        <v>0</v>
      </c>
      <c r="Z89" s="42">
        <f t="shared" si="50"/>
        <v>0</v>
      </c>
      <c r="AA89" s="38">
        <f>IF($A89&gt;LastT,0,N89-V89-Q89/(1+Policy_Sched!$K89)+Z90/(1+Policy_Sched!$K89))</f>
        <v>0</v>
      </c>
    </row>
    <row r="90" spans="1:27" x14ac:dyDescent="0.2">
      <c r="A90" s="30">
        <f t="shared" si="51"/>
        <v>83</v>
      </c>
      <c r="B90" s="31">
        <f t="shared" si="52"/>
        <v>0</v>
      </c>
      <c r="C90" s="31">
        <f>IF($A90&gt;LastT,0,IF(AND($D$3&lt;&gt;0,$A90&gt;=T0,Policy_Sched!$B90&lt;LastAge),1+$D$3*$E$3,1))</f>
        <v>0</v>
      </c>
      <c r="D90" s="36">
        <f>IF($A90&gt;LastT,0,IF($C$3="up",MIN(Policy_Sched!$E90*(1+IF($A90&gt;=T0,$E$3,0)),$F$3),IF($C$3="down",MAX(Policy_Sched!$E90*(1-IF($A90&gt;=T0,$E$3,0)),Policy_Sched!$E90-$F$3),Policy_Sched!$E90)))</f>
        <v>0</v>
      </c>
      <c r="E90" s="37">
        <f t="shared" si="53"/>
        <v>0</v>
      </c>
      <c r="F90" s="37">
        <f t="shared" si="36"/>
        <v>0</v>
      </c>
      <c r="G90" s="37">
        <f t="shared" si="37"/>
        <v>0</v>
      </c>
      <c r="H90" s="37">
        <f t="shared" si="38"/>
        <v>0</v>
      </c>
      <c r="I90" s="37">
        <f t="shared" si="39"/>
        <v>0</v>
      </c>
      <c r="J90" s="37">
        <f t="shared" si="40"/>
        <v>0</v>
      </c>
      <c r="K90" s="37">
        <f>IF($A90&gt;LastT,0,J90*Policy_Sched!$C90*Policy_Sched!$D90*C90)</f>
        <v>0</v>
      </c>
      <c r="L90" s="41">
        <f t="shared" si="41"/>
        <v>0</v>
      </c>
      <c r="M90" s="38">
        <f t="shared" si="42"/>
        <v>0</v>
      </c>
      <c r="N90" s="38">
        <f t="shared" si="43"/>
        <v>0</v>
      </c>
      <c r="O90" s="38">
        <f t="shared" si="44"/>
        <v>0</v>
      </c>
      <c r="P90" s="38">
        <f>Policy_Sched!$I90*(L90+I90)</f>
        <v>0</v>
      </c>
      <c r="Q90" s="42">
        <f t="shared" si="45"/>
        <v>0</v>
      </c>
      <c r="R90" s="38">
        <f t="shared" si="46"/>
        <v>0</v>
      </c>
      <c r="S90" s="38">
        <f t="shared" si="47"/>
        <v>0</v>
      </c>
      <c r="T90" s="38">
        <f>Policy_Sched!$J90*J90</f>
        <v>0</v>
      </c>
      <c r="U90" s="42">
        <f t="shared" si="48"/>
        <v>0</v>
      </c>
      <c r="V90" s="42">
        <f t="shared" si="49"/>
        <v>0</v>
      </c>
      <c r="W90" s="38">
        <f>IF($A90&gt;LastT,0,N90+W91/(1+Policy_Sched!$K90))</f>
        <v>0</v>
      </c>
      <c r="X90" s="38">
        <f>IF($A90&gt;LastT,0,(-Q90+X91)/(1+Policy_Sched!$K90))</f>
        <v>0</v>
      </c>
      <c r="Y90" s="38">
        <f>IF($A90&gt;LastT,0,-V90+Y91/(1+Policy_Sched!$K90))</f>
        <v>0</v>
      </c>
      <c r="Z90" s="42">
        <f t="shared" si="50"/>
        <v>0</v>
      </c>
      <c r="AA90" s="38">
        <f>IF($A90&gt;LastT,0,N90-V90-Q90/(1+Policy_Sched!$K90)+Z91/(1+Policy_Sched!$K90))</f>
        <v>0</v>
      </c>
    </row>
    <row r="91" spans="1:27" x14ac:dyDescent="0.2">
      <c r="A91" s="30">
        <f t="shared" si="51"/>
        <v>84</v>
      </c>
      <c r="B91" s="31">
        <f t="shared" si="52"/>
        <v>0</v>
      </c>
      <c r="C91" s="31">
        <f>IF($A91&gt;LastT,0,IF(AND($D$3&lt;&gt;0,$A91&gt;=T0,Policy_Sched!$B91&lt;LastAge),1+$D$3*$E$3,1))</f>
        <v>0</v>
      </c>
      <c r="D91" s="36">
        <f>IF($A91&gt;LastT,0,IF($C$3="up",MIN(Policy_Sched!$E91*(1+IF($A91&gt;=T0,$E$3,0)),$F$3),IF($C$3="down",MAX(Policy_Sched!$E91*(1-IF($A91&gt;=T0,$E$3,0)),Policy_Sched!$E91-$F$3),Policy_Sched!$E91)))</f>
        <v>0</v>
      </c>
      <c r="E91" s="37">
        <f t="shared" si="53"/>
        <v>0</v>
      </c>
      <c r="F91" s="37">
        <f t="shared" si="36"/>
        <v>0</v>
      </c>
      <c r="G91" s="37">
        <f t="shared" si="37"/>
        <v>0</v>
      </c>
      <c r="H91" s="37">
        <f t="shared" si="38"/>
        <v>0</v>
      </c>
      <c r="I91" s="37">
        <f t="shared" si="39"/>
        <v>0</v>
      </c>
      <c r="J91" s="37">
        <f t="shared" si="40"/>
        <v>0</v>
      </c>
      <c r="K91" s="37">
        <f>IF($A91&gt;LastT,0,J91*Policy_Sched!$C91*Policy_Sched!$D91*C91)</f>
        <v>0</v>
      </c>
      <c r="L91" s="41">
        <f t="shared" si="41"/>
        <v>0</v>
      </c>
      <c r="M91" s="38">
        <f t="shared" si="42"/>
        <v>0</v>
      </c>
      <c r="N91" s="38">
        <f t="shared" si="43"/>
        <v>0</v>
      </c>
      <c r="O91" s="38">
        <f t="shared" si="44"/>
        <v>0</v>
      </c>
      <c r="P91" s="38">
        <f>Policy_Sched!$I91*(L91+I91)</f>
        <v>0</v>
      </c>
      <c r="Q91" s="42">
        <f t="shared" si="45"/>
        <v>0</v>
      </c>
      <c r="R91" s="38">
        <f t="shared" si="46"/>
        <v>0</v>
      </c>
      <c r="S91" s="38">
        <f t="shared" si="47"/>
        <v>0</v>
      </c>
      <c r="T91" s="38">
        <f>Policy_Sched!$J91*J91</f>
        <v>0</v>
      </c>
      <c r="U91" s="42">
        <f t="shared" si="48"/>
        <v>0</v>
      </c>
      <c r="V91" s="42">
        <f t="shared" si="49"/>
        <v>0</v>
      </c>
      <c r="W91" s="38">
        <f>IF($A91&gt;LastT,0,N91+W92/(1+Policy_Sched!$K91))</f>
        <v>0</v>
      </c>
      <c r="X91" s="38">
        <f>IF($A91&gt;LastT,0,(-Q91+X92)/(1+Policy_Sched!$K91))</f>
        <v>0</v>
      </c>
      <c r="Y91" s="38">
        <f>IF($A91&gt;LastT,0,-V91+Y92/(1+Policy_Sched!$K91))</f>
        <v>0</v>
      </c>
      <c r="Z91" s="42">
        <f t="shared" si="50"/>
        <v>0</v>
      </c>
      <c r="AA91" s="38">
        <f>IF($A91&gt;LastT,0,N91-V91-Q91/(1+Policy_Sched!$K91)+Z92/(1+Policy_Sched!$K91))</f>
        <v>0</v>
      </c>
    </row>
    <row r="92" spans="1:27" x14ac:dyDescent="0.2">
      <c r="A92" s="30">
        <f t="shared" si="51"/>
        <v>85</v>
      </c>
      <c r="B92" s="31">
        <f t="shared" si="52"/>
        <v>0</v>
      </c>
      <c r="C92" s="31">
        <f>IF($A92&gt;LastT,0,IF(AND($D$3&lt;&gt;0,$A92&gt;=T0,Policy_Sched!$B92&lt;LastAge),1+$D$3*$E$3,1))</f>
        <v>0</v>
      </c>
      <c r="D92" s="36">
        <f>IF($A92&gt;LastT,0,IF($C$3="up",MIN(Policy_Sched!$E92*(1+IF($A92&gt;=T0,$E$3,0)),$F$3),IF($C$3="down",MAX(Policy_Sched!$E92*(1-IF($A92&gt;=T0,$E$3,0)),Policy_Sched!$E92-$F$3),Policy_Sched!$E92)))</f>
        <v>0</v>
      </c>
      <c r="E92" s="37">
        <f t="shared" si="53"/>
        <v>0</v>
      </c>
      <c r="F92" s="37">
        <f t="shared" si="36"/>
        <v>0</v>
      </c>
      <c r="G92" s="37">
        <f t="shared" si="37"/>
        <v>0</v>
      </c>
      <c r="H92" s="37">
        <f t="shared" si="38"/>
        <v>0</v>
      </c>
      <c r="I92" s="37">
        <f t="shared" si="39"/>
        <v>0</v>
      </c>
      <c r="J92" s="37">
        <f t="shared" si="40"/>
        <v>0</v>
      </c>
      <c r="K92" s="37">
        <f>IF($A92&gt;LastT,0,J92*Policy_Sched!$C92*Policy_Sched!$D92*C92)</f>
        <v>0</v>
      </c>
      <c r="L92" s="41">
        <f t="shared" si="41"/>
        <v>0</v>
      </c>
      <c r="M92" s="38">
        <f t="shared" si="42"/>
        <v>0</v>
      </c>
      <c r="N92" s="38">
        <f t="shared" si="43"/>
        <v>0</v>
      </c>
      <c r="O92" s="38">
        <f t="shared" si="44"/>
        <v>0</v>
      </c>
      <c r="P92" s="38">
        <f>Policy_Sched!$I92*(L92+I92)</f>
        <v>0</v>
      </c>
      <c r="Q92" s="42">
        <f t="shared" si="45"/>
        <v>0</v>
      </c>
      <c r="R92" s="38">
        <f t="shared" si="46"/>
        <v>0</v>
      </c>
      <c r="S92" s="38">
        <f t="shared" si="47"/>
        <v>0</v>
      </c>
      <c r="T92" s="38">
        <f>Policy_Sched!$J92*J92</f>
        <v>0</v>
      </c>
      <c r="U92" s="42">
        <f t="shared" si="48"/>
        <v>0</v>
      </c>
      <c r="V92" s="42">
        <f t="shared" si="49"/>
        <v>0</v>
      </c>
      <c r="W92" s="38">
        <f>IF($A92&gt;LastT,0,N92+W93/(1+Policy_Sched!$K92))</f>
        <v>0</v>
      </c>
      <c r="X92" s="38">
        <f>IF($A92&gt;LastT,0,(-Q92+X93)/(1+Policy_Sched!$K92))</f>
        <v>0</v>
      </c>
      <c r="Y92" s="38">
        <f>IF($A92&gt;LastT,0,-V92+Y93/(1+Policy_Sched!$K92))</f>
        <v>0</v>
      </c>
      <c r="Z92" s="42">
        <f t="shared" si="50"/>
        <v>0</v>
      </c>
      <c r="AA92" s="38">
        <f>IF($A92&gt;LastT,0,N92-V92-Q92/(1+Policy_Sched!$K92)+Z93/(1+Policy_Sched!$K92))</f>
        <v>0</v>
      </c>
    </row>
    <row r="93" spans="1:27" x14ac:dyDescent="0.2">
      <c r="A93" s="30">
        <f t="shared" si="51"/>
        <v>86</v>
      </c>
      <c r="B93" s="31">
        <f t="shared" si="52"/>
        <v>0</v>
      </c>
      <c r="C93" s="31">
        <f>IF($A93&gt;LastT,0,IF(AND($D$3&lt;&gt;0,$A93&gt;=T0,Policy_Sched!$B93&lt;LastAge),1+$D$3*$E$3,1))</f>
        <v>0</v>
      </c>
      <c r="D93" s="36">
        <f>IF($A93&gt;LastT,0,IF($C$3="up",MIN(Policy_Sched!$E93*(1+IF($A93&gt;=T0,$E$3,0)),$F$3),IF($C$3="down",MAX(Policy_Sched!$E93*(1-IF($A93&gt;=T0,$E$3,0)),Policy_Sched!$E93-$F$3),Policy_Sched!$E93)))</f>
        <v>0</v>
      </c>
      <c r="E93" s="37">
        <f t="shared" si="53"/>
        <v>0</v>
      </c>
      <c r="F93" s="37">
        <f t="shared" si="36"/>
        <v>0</v>
      </c>
      <c r="G93" s="37">
        <f t="shared" si="37"/>
        <v>0</v>
      </c>
      <c r="H93" s="37">
        <f t="shared" si="38"/>
        <v>0</v>
      </c>
      <c r="I93" s="37">
        <f t="shared" si="39"/>
        <v>0</v>
      </c>
      <c r="J93" s="37">
        <f t="shared" si="40"/>
        <v>0</v>
      </c>
      <c r="K93" s="37">
        <f>IF($A93&gt;LastT,0,J93*Policy_Sched!$C93*Policy_Sched!$D93*C93)</f>
        <v>0</v>
      </c>
      <c r="L93" s="41">
        <f t="shared" si="41"/>
        <v>0</v>
      </c>
      <c r="M93" s="38">
        <f t="shared" si="42"/>
        <v>0</v>
      </c>
      <c r="N93" s="38">
        <f t="shared" si="43"/>
        <v>0</v>
      </c>
      <c r="O93" s="38">
        <f t="shared" si="44"/>
        <v>0</v>
      </c>
      <c r="P93" s="38">
        <f>Policy_Sched!$I93*(L93+I93)</f>
        <v>0</v>
      </c>
      <c r="Q93" s="42">
        <f t="shared" si="45"/>
        <v>0</v>
      </c>
      <c r="R93" s="38">
        <f t="shared" si="46"/>
        <v>0</v>
      </c>
      <c r="S93" s="38">
        <f t="shared" si="47"/>
        <v>0</v>
      </c>
      <c r="T93" s="38">
        <f>Policy_Sched!$J93*J93</f>
        <v>0</v>
      </c>
      <c r="U93" s="42">
        <f t="shared" si="48"/>
        <v>0</v>
      </c>
      <c r="V93" s="42">
        <f t="shared" si="49"/>
        <v>0</v>
      </c>
      <c r="W93" s="38">
        <f>IF($A93&gt;LastT,0,N93+W94/(1+Policy_Sched!$K93))</f>
        <v>0</v>
      </c>
      <c r="X93" s="38">
        <f>IF($A93&gt;LastT,0,(-Q93+X94)/(1+Policy_Sched!$K93))</f>
        <v>0</v>
      </c>
      <c r="Y93" s="38">
        <f>IF($A93&gt;LastT,0,-V93+Y94/(1+Policy_Sched!$K93))</f>
        <v>0</v>
      </c>
      <c r="Z93" s="42">
        <f t="shared" si="50"/>
        <v>0</v>
      </c>
      <c r="AA93" s="38">
        <f>IF($A93&gt;LastT,0,N93-V93-Q93/(1+Policy_Sched!$K93)+Z94/(1+Policy_Sched!$K93))</f>
        <v>0</v>
      </c>
    </row>
    <row r="94" spans="1:27" x14ac:dyDescent="0.2">
      <c r="A94" s="30">
        <f t="shared" si="51"/>
        <v>87</v>
      </c>
      <c r="B94" s="31">
        <f t="shared" si="52"/>
        <v>0</v>
      </c>
      <c r="C94" s="31">
        <f>IF($A94&gt;LastT,0,IF(AND($D$3&lt;&gt;0,$A94&gt;=T0,Policy_Sched!$B94&lt;LastAge),1+$D$3*$E$3,1))</f>
        <v>0</v>
      </c>
      <c r="D94" s="36">
        <f>IF($A94&gt;LastT,0,IF($C$3="up",MIN(Policy_Sched!$E94*(1+IF($A94&gt;=T0,$E$3,0)),$F$3),IF($C$3="down",MAX(Policy_Sched!$E94*(1-IF($A94&gt;=T0,$E$3,0)),Policy_Sched!$E94-$F$3),Policy_Sched!$E94)))</f>
        <v>0</v>
      </c>
      <c r="E94" s="37">
        <f t="shared" si="53"/>
        <v>0</v>
      </c>
      <c r="F94" s="37">
        <f t="shared" si="36"/>
        <v>0</v>
      </c>
      <c r="G94" s="37">
        <f t="shared" si="37"/>
        <v>0</v>
      </c>
      <c r="H94" s="37">
        <f t="shared" si="38"/>
        <v>0</v>
      </c>
      <c r="I94" s="37">
        <f t="shared" si="39"/>
        <v>0</v>
      </c>
      <c r="J94" s="37">
        <f t="shared" si="40"/>
        <v>0</v>
      </c>
      <c r="K94" s="37">
        <f>IF($A94&gt;LastT,0,J94*Policy_Sched!$C94*Policy_Sched!$D94*C94)</f>
        <v>0</v>
      </c>
      <c r="L94" s="41">
        <f t="shared" si="41"/>
        <v>0</v>
      </c>
      <c r="M94" s="38">
        <f t="shared" si="42"/>
        <v>0</v>
      </c>
      <c r="N94" s="38">
        <f t="shared" si="43"/>
        <v>0</v>
      </c>
      <c r="O94" s="38">
        <f t="shared" si="44"/>
        <v>0</v>
      </c>
      <c r="P94" s="38">
        <f>Policy_Sched!$I94*(L94+I94)</f>
        <v>0</v>
      </c>
      <c r="Q94" s="42">
        <f t="shared" si="45"/>
        <v>0</v>
      </c>
      <c r="R94" s="38">
        <f t="shared" si="46"/>
        <v>0</v>
      </c>
      <c r="S94" s="38">
        <f t="shared" si="47"/>
        <v>0</v>
      </c>
      <c r="T94" s="38">
        <f>Policy_Sched!$J94*J94</f>
        <v>0</v>
      </c>
      <c r="U94" s="42">
        <f t="shared" si="48"/>
        <v>0</v>
      </c>
      <c r="V94" s="42">
        <f t="shared" si="49"/>
        <v>0</v>
      </c>
      <c r="W94" s="38">
        <f>IF($A94&gt;LastT,0,N94+W95/(1+Policy_Sched!$K94))</f>
        <v>0</v>
      </c>
      <c r="X94" s="38">
        <f>IF($A94&gt;LastT,0,(-Q94+X95)/(1+Policy_Sched!$K94))</f>
        <v>0</v>
      </c>
      <c r="Y94" s="38">
        <f>IF($A94&gt;LastT,0,-V94+Y95/(1+Policy_Sched!$K94))</f>
        <v>0</v>
      </c>
      <c r="Z94" s="42">
        <f t="shared" si="50"/>
        <v>0</v>
      </c>
      <c r="AA94" s="38">
        <f>IF($A94&gt;LastT,0,N94-V94-Q94/(1+Policy_Sched!$K94)+Z95/(1+Policy_Sched!$K94))</f>
        <v>0</v>
      </c>
    </row>
    <row r="95" spans="1:27" x14ac:dyDescent="0.2">
      <c r="A95" s="30">
        <f t="shared" si="51"/>
        <v>88</v>
      </c>
      <c r="B95" s="31">
        <f t="shared" si="52"/>
        <v>0</v>
      </c>
      <c r="C95" s="31">
        <f>IF($A95&gt;LastT,0,IF(AND($D$3&lt;&gt;0,$A95&gt;=T0,Policy_Sched!$B95&lt;LastAge),1+$D$3*$E$3,1))</f>
        <v>0</v>
      </c>
      <c r="D95" s="36">
        <f>IF($A95&gt;LastT,0,IF($C$3="up",MIN(Policy_Sched!$E95*(1+IF($A95&gt;=T0,$E$3,0)),$F$3),IF($C$3="down",MAX(Policy_Sched!$E95*(1-IF($A95&gt;=T0,$E$3,0)),Policy_Sched!$E95-$F$3),Policy_Sched!$E95)))</f>
        <v>0</v>
      </c>
      <c r="E95" s="37">
        <f t="shared" si="53"/>
        <v>0</v>
      </c>
      <c r="F95" s="37">
        <f t="shared" si="36"/>
        <v>0</v>
      </c>
      <c r="G95" s="37">
        <f t="shared" si="37"/>
        <v>0</v>
      </c>
      <c r="H95" s="37">
        <f t="shared" si="38"/>
        <v>0</v>
      </c>
      <c r="I95" s="37">
        <f t="shared" si="39"/>
        <v>0</v>
      </c>
      <c r="J95" s="37">
        <f t="shared" si="40"/>
        <v>0</v>
      </c>
      <c r="K95" s="37">
        <f>IF($A95&gt;LastT,0,J95*Policy_Sched!$C95*Policy_Sched!$D95*C95)</f>
        <v>0</v>
      </c>
      <c r="L95" s="41">
        <f t="shared" si="41"/>
        <v>0</v>
      </c>
      <c r="M95" s="38">
        <f t="shared" si="42"/>
        <v>0</v>
      </c>
      <c r="N95" s="38">
        <f t="shared" si="43"/>
        <v>0</v>
      </c>
      <c r="O95" s="38">
        <f t="shared" si="44"/>
        <v>0</v>
      </c>
      <c r="P95" s="38">
        <f>Policy_Sched!$I95*(L95+I95)</f>
        <v>0</v>
      </c>
      <c r="Q95" s="42">
        <f t="shared" si="45"/>
        <v>0</v>
      </c>
      <c r="R95" s="38">
        <f t="shared" si="46"/>
        <v>0</v>
      </c>
      <c r="S95" s="38">
        <f t="shared" si="47"/>
        <v>0</v>
      </c>
      <c r="T95" s="38">
        <f>Policy_Sched!$J95*J95</f>
        <v>0</v>
      </c>
      <c r="U95" s="42">
        <f t="shared" si="48"/>
        <v>0</v>
      </c>
      <c r="V95" s="42">
        <f t="shared" si="49"/>
        <v>0</v>
      </c>
      <c r="W95" s="38">
        <f>IF($A95&gt;LastT,0,N95+W96/(1+Policy_Sched!$K95))</f>
        <v>0</v>
      </c>
      <c r="X95" s="38">
        <f>IF($A95&gt;LastT,0,(-Q95+X96)/(1+Policy_Sched!$K95))</f>
        <v>0</v>
      </c>
      <c r="Y95" s="38">
        <f>IF($A95&gt;LastT,0,-V95+Y96/(1+Policy_Sched!$K95))</f>
        <v>0</v>
      </c>
      <c r="Z95" s="42">
        <f t="shared" si="50"/>
        <v>0</v>
      </c>
      <c r="AA95" s="38">
        <f>IF($A95&gt;LastT,0,N95-V95-Q95/(1+Policy_Sched!$K95)+Z96/(1+Policy_Sched!$K95))</f>
        <v>0</v>
      </c>
    </row>
    <row r="96" spans="1:27" x14ac:dyDescent="0.2">
      <c r="A96" s="30">
        <f t="shared" si="51"/>
        <v>89</v>
      </c>
      <c r="B96" s="31">
        <f t="shared" si="52"/>
        <v>0</v>
      </c>
      <c r="C96" s="31">
        <f>IF($A96&gt;LastT,0,IF(AND($D$3&lt;&gt;0,$A96&gt;=T0,Policy_Sched!$B96&lt;LastAge),1+$D$3*$E$3,1))</f>
        <v>0</v>
      </c>
      <c r="D96" s="36">
        <f>IF($A96&gt;LastT,0,IF($C$3="up",MIN(Policy_Sched!$E96*(1+IF($A96&gt;=T0,$E$3,0)),$F$3),IF($C$3="down",MAX(Policy_Sched!$E96*(1-IF($A96&gt;=T0,$E$3,0)),Policy_Sched!$E96-$F$3),Policy_Sched!$E96)))</f>
        <v>0</v>
      </c>
      <c r="E96" s="37">
        <f t="shared" si="53"/>
        <v>0</v>
      </c>
      <c r="F96" s="37">
        <f t="shared" si="36"/>
        <v>0</v>
      </c>
      <c r="G96" s="37">
        <f t="shared" si="37"/>
        <v>0</v>
      </c>
      <c r="H96" s="37">
        <f t="shared" si="38"/>
        <v>0</v>
      </c>
      <c r="I96" s="37">
        <f t="shared" si="39"/>
        <v>0</v>
      </c>
      <c r="J96" s="37">
        <f t="shared" si="40"/>
        <v>0</v>
      </c>
      <c r="K96" s="37">
        <f>IF($A96&gt;LastT,0,J96*Policy_Sched!$C96*Policy_Sched!$D96*C96)</f>
        <v>0</v>
      </c>
      <c r="L96" s="41">
        <f t="shared" si="41"/>
        <v>0</v>
      </c>
      <c r="M96" s="38">
        <f t="shared" si="42"/>
        <v>0</v>
      </c>
      <c r="N96" s="38">
        <f t="shared" si="43"/>
        <v>0</v>
      </c>
      <c r="O96" s="38">
        <f t="shared" si="44"/>
        <v>0</v>
      </c>
      <c r="P96" s="38">
        <f>Policy_Sched!$I96*(L96+I96)</f>
        <v>0</v>
      </c>
      <c r="Q96" s="42">
        <f t="shared" si="45"/>
        <v>0</v>
      </c>
      <c r="R96" s="38">
        <f t="shared" si="46"/>
        <v>0</v>
      </c>
      <c r="S96" s="38">
        <f t="shared" si="47"/>
        <v>0</v>
      </c>
      <c r="T96" s="38">
        <f>Policy_Sched!$J96*J96</f>
        <v>0</v>
      </c>
      <c r="U96" s="42">
        <f t="shared" si="48"/>
        <v>0</v>
      </c>
      <c r="V96" s="42">
        <f t="shared" si="49"/>
        <v>0</v>
      </c>
      <c r="W96" s="38">
        <f>IF($A96&gt;LastT,0,N96+W97/(1+Policy_Sched!$K96))</f>
        <v>0</v>
      </c>
      <c r="X96" s="38">
        <f>IF($A96&gt;LastT,0,(-Q96+X97)/(1+Policy_Sched!$K96))</f>
        <v>0</v>
      </c>
      <c r="Y96" s="38">
        <f>IF($A96&gt;LastT,0,-V96+Y97/(1+Policy_Sched!$K96))</f>
        <v>0</v>
      </c>
      <c r="Z96" s="42">
        <f t="shared" si="50"/>
        <v>0</v>
      </c>
      <c r="AA96" s="38">
        <f>IF($A96&gt;LastT,0,N96-V96-Q96/(1+Policy_Sched!$K96)+Z97/(1+Policy_Sched!$K96))</f>
        <v>0</v>
      </c>
    </row>
    <row r="97" spans="1:27" x14ac:dyDescent="0.2">
      <c r="A97" s="30">
        <f t="shared" si="51"/>
        <v>90</v>
      </c>
      <c r="B97" s="31">
        <f t="shared" si="52"/>
        <v>0</v>
      </c>
      <c r="C97" s="31">
        <f>IF($A97&gt;LastT,0,IF(AND($D$3&lt;&gt;0,$A97&gt;=T0,Policy_Sched!$B97&lt;LastAge),1+$D$3*$E$3,1))</f>
        <v>0</v>
      </c>
      <c r="D97" s="36">
        <f>IF($A97&gt;LastT,0,IF($C$3="up",MIN(Policy_Sched!$E97*(1+IF($A97&gt;=T0,$E$3,0)),$F$3),IF($C$3="down",MAX(Policy_Sched!$E97*(1-IF($A97&gt;=T0,$E$3,0)),Policy_Sched!$E97-$F$3),Policy_Sched!$E97)))</f>
        <v>0</v>
      </c>
      <c r="E97" s="37">
        <f t="shared" si="53"/>
        <v>0</v>
      </c>
      <c r="F97" s="37">
        <f t="shared" si="36"/>
        <v>0</v>
      </c>
      <c r="G97" s="37">
        <f t="shared" si="37"/>
        <v>0</v>
      </c>
      <c r="H97" s="37">
        <f t="shared" si="38"/>
        <v>0</v>
      </c>
      <c r="I97" s="37">
        <f t="shared" si="39"/>
        <v>0</v>
      </c>
      <c r="J97" s="37">
        <f t="shared" si="40"/>
        <v>0</v>
      </c>
      <c r="K97" s="37">
        <f>IF($A97&gt;LastT,0,J97*Policy_Sched!$C97*Policy_Sched!$D97*C97)</f>
        <v>0</v>
      </c>
      <c r="L97" s="41">
        <f t="shared" si="41"/>
        <v>0</v>
      </c>
      <c r="M97" s="38">
        <f t="shared" si="42"/>
        <v>0</v>
      </c>
      <c r="N97" s="38">
        <f t="shared" si="43"/>
        <v>0</v>
      </c>
      <c r="O97" s="38">
        <f t="shared" si="44"/>
        <v>0</v>
      </c>
      <c r="P97" s="38">
        <f>Policy_Sched!$I97*(L97+I97)</f>
        <v>0</v>
      </c>
      <c r="Q97" s="42">
        <f t="shared" si="45"/>
        <v>0</v>
      </c>
      <c r="R97" s="38">
        <f t="shared" si="46"/>
        <v>0</v>
      </c>
      <c r="S97" s="38">
        <f t="shared" si="47"/>
        <v>0</v>
      </c>
      <c r="T97" s="38">
        <f>Policy_Sched!$J97*J97</f>
        <v>0</v>
      </c>
      <c r="U97" s="42">
        <f t="shared" si="48"/>
        <v>0</v>
      </c>
      <c r="V97" s="42">
        <f t="shared" si="49"/>
        <v>0</v>
      </c>
      <c r="W97" s="38">
        <f>IF($A97&gt;LastT,0,N97+W98/(1+Policy_Sched!$K97))</f>
        <v>0</v>
      </c>
      <c r="X97" s="38">
        <f>IF($A97&gt;LastT,0,(-Q97+X98)/(1+Policy_Sched!$K97))</f>
        <v>0</v>
      </c>
      <c r="Y97" s="38">
        <f>IF($A97&gt;LastT,0,-V97+Y98/(1+Policy_Sched!$K97))</f>
        <v>0</v>
      </c>
      <c r="Z97" s="42">
        <f t="shared" si="50"/>
        <v>0</v>
      </c>
      <c r="AA97" s="38">
        <f>IF($A97&gt;LastT,0,N97-V97-Q97/(1+Policy_Sched!$K97)+Z98/(1+Policy_Sched!$K97))</f>
        <v>0</v>
      </c>
    </row>
    <row r="98" spans="1:27" x14ac:dyDescent="0.2">
      <c r="A98" s="30">
        <f t="shared" si="51"/>
        <v>91</v>
      </c>
      <c r="B98" s="31">
        <f t="shared" si="52"/>
        <v>0</v>
      </c>
      <c r="C98" s="31">
        <f>IF($A98&gt;LastT,0,IF(AND($D$3&lt;&gt;0,$A98&gt;=T0,Policy_Sched!$B98&lt;LastAge),1+$D$3*$E$3,1))</f>
        <v>0</v>
      </c>
      <c r="D98" s="36">
        <f>IF($A98&gt;LastT,0,IF($C$3="up",MIN(Policy_Sched!$E98*(1+IF($A98&gt;=T0,$E$3,0)),$F$3),IF($C$3="down",MAX(Policy_Sched!$E98*(1-IF($A98&gt;=T0,$E$3,0)),Policy_Sched!$E98-$F$3),Policy_Sched!$E98)))</f>
        <v>0</v>
      </c>
      <c r="E98" s="37">
        <f t="shared" si="53"/>
        <v>0</v>
      </c>
      <c r="F98" s="37">
        <f t="shared" si="36"/>
        <v>0</v>
      </c>
      <c r="G98" s="37">
        <f t="shared" si="37"/>
        <v>0</v>
      </c>
      <c r="H98" s="37">
        <f t="shared" si="38"/>
        <v>0</v>
      </c>
      <c r="I98" s="37">
        <f t="shared" si="39"/>
        <v>0</v>
      </c>
      <c r="J98" s="37">
        <f t="shared" si="40"/>
        <v>0</v>
      </c>
      <c r="K98" s="37">
        <f>IF($A98&gt;LastT,0,J98*Policy_Sched!$C98*Policy_Sched!$D98*C98)</f>
        <v>0</v>
      </c>
      <c r="L98" s="41">
        <f t="shared" si="41"/>
        <v>0</v>
      </c>
      <c r="M98" s="38">
        <f t="shared" si="42"/>
        <v>0</v>
      </c>
      <c r="N98" s="38">
        <f t="shared" si="43"/>
        <v>0</v>
      </c>
      <c r="O98" s="38">
        <f t="shared" si="44"/>
        <v>0</v>
      </c>
      <c r="P98" s="38">
        <f>Policy_Sched!$I98*(L98+I98)</f>
        <v>0</v>
      </c>
      <c r="Q98" s="42">
        <f t="shared" si="45"/>
        <v>0</v>
      </c>
      <c r="R98" s="38">
        <f t="shared" si="46"/>
        <v>0</v>
      </c>
      <c r="S98" s="38">
        <f t="shared" si="47"/>
        <v>0</v>
      </c>
      <c r="T98" s="38">
        <f>Policy_Sched!$J98*J98</f>
        <v>0</v>
      </c>
      <c r="U98" s="42">
        <f t="shared" si="48"/>
        <v>0</v>
      </c>
      <c r="V98" s="42">
        <f t="shared" si="49"/>
        <v>0</v>
      </c>
      <c r="W98" s="38">
        <f>IF($A98&gt;LastT,0,N98+W99/(1+Policy_Sched!$K98))</f>
        <v>0</v>
      </c>
      <c r="X98" s="38">
        <f>IF($A98&gt;LastT,0,(-Q98+X99)/(1+Policy_Sched!$K98))</f>
        <v>0</v>
      </c>
      <c r="Y98" s="38">
        <f>IF($A98&gt;LastT,0,-V98+Y99/(1+Policy_Sched!$K98))</f>
        <v>0</v>
      </c>
      <c r="Z98" s="42">
        <f t="shared" si="50"/>
        <v>0</v>
      </c>
      <c r="AA98" s="38">
        <f>IF($A98&gt;LastT,0,N98-V98-Q98/(1+Policy_Sched!$K98)+Z99/(1+Policy_Sched!$K98))</f>
        <v>0</v>
      </c>
    </row>
    <row r="99" spans="1:27" x14ac:dyDescent="0.2">
      <c r="A99" s="30">
        <f t="shared" si="51"/>
        <v>92</v>
      </c>
      <c r="B99" s="31">
        <f t="shared" si="52"/>
        <v>0</v>
      </c>
      <c r="C99" s="31">
        <f>IF($A99&gt;LastT,0,IF(AND($D$3&lt;&gt;0,$A99&gt;=T0,Policy_Sched!$B99&lt;LastAge),1+$D$3*$E$3,1))</f>
        <v>0</v>
      </c>
      <c r="D99" s="36">
        <f>IF($A99&gt;LastT,0,IF($C$3="up",MIN(Policy_Sched!$E99*(1+IF($A99&gt;=T0,$E$3,0)),$F$3),IF($C$3="down",MAX(Policy_Sched!$E99*(1-IF($A99&gt;=T0,$E$3,0)),Policy_Sched!$E99-$F$3),Policy_Sched!$E99)))</f>
        <v>0</v>
      </c>
      <c r="E99" s="37">
        <f t="shared" si="53"/>
        <v>0</v>
      </c>
      <c r="F99" s="37">
        <f t="shared" si="36"/>
        <v>0</v>
      </c>
      <c r="G99" s="37">
        <f t="shared" si="37"/>
        <v>0</v>
      </c>
      <c r="H99" s="37">
        <f t="shared" si="38"/>
        <v>0</v>
      </c>
      <c r="I99" s="37">
        <f t="shared" si="39"/>
        <v>0</v>
      </c>
      <c r="J99" s="37">
        <f t="shared" si="40"/>
        <v>0</v>
      </c>
      <c r="K99" s="37">
        <f>IF($A99&gt;LastT,0,J99*Policy_Sched!$C99*Policy_Sched!$D99*C99)</f>
        <v>0</v>
      </c>
      <c r="L99" s="41">
        <f t="shared" si="41"/>
        <v>0</v>
      </c>
      <c r="M99" s="38">
        <f t="shared" si="42"/>
        <v>0</v>
      </c>
      <c r="N99" s="38">
        <f t="shared" si="43"/>
        <v>0</v>
      </c>
      <c r="O99" s="38">
        <f t="shared" si="44"/>
        <v>0</v>
      </c>
      <c r="P99" s="38">
        <f>Policy_Sched!$I99*(L99+I99)</f>
        <v>0</v>
      </c>
      <c r="Q99" s="42">
        <f t="shared" si="45"/>
        <v>0</v>
      </c>
      <c r="R99" s="38">
        <f t="shared" si="46"/>
        <v>0</v>
      </c>
      <c r="S99" s="38">
        <f t="shared" si="47"/>
        <v>0</v>
      </c>
      <c r="T99" s="38">
        <f>Policy_Sched!$J99*J99</f>
        <v>0</v>
      </c>
      <c r="U99" s="42">
        <f t="shared" si="48"/>
        <v>0</v>
      </c>
      <c r="V99" s="42">
        <f t="shared" si="49"/>
        <v>0</v>
      </c>
      <c r="W99" s="38">
        <f>IF($A99&gt;LastT,0,N99+W100/(1+Policy_Sched!$K99))</f>
        <v>0</v>
      </c>
      <c r="X99" s="38">
        <f>IF($A99&gt;LastT,0,(-Q99+X100)/(1+Policy_Sched!$K99))</f>
        <v>0</v>
      </c>
      <c r="Y99" s="38">
        <f>IF($A99&gt;LastT,0,-V99+Y100/(1+Policy_Sched!$K99))</f>
        <v>0</v>
      </c>
      <c r="Z99" s="42">
        <f t="shared" si="50"/>
        <v>0</v>
      </c>
      <c r="AA99" s="38">
        <f>IF($A99&gt;LastT,0,N99-V99-Q99/(1+Policy_Sched!$K99)+Z100/(1+Policy_Sched!$K99))</f>
        <v>0</v>
      </c>
    </row>
    <row r="100" spans="1:27" x14ac:dyDescent="0.2">
      <c r="A100" s="30">
        <f t="shared" si="51"/>
        <v>93</v>
      </c>
      <c r="B100" s="31">
        <f t="shared" si="52"/>
        <v>0</v>
      </c>
      <c r="C100" s="31">
        <f>IF($A100&gt;LastT,0,IF(AND($D$3&lt;&gt;0,$A100&gt;=T0,Policy_Sched!$B100&lt;LastAge),1+$D$3*$E$3,1))</f>
        <v>0</v>
      </c>
      <c r="D100" s="36">
        <f>IF($A100&gt;LastT,0,IF($C$3="up",MIN(Policy_Sched!$E100*(1+IF($A100&gt;=T0,$E$3,0)),$F$3),IF($C$3="down",MAX(Policy_Sched!$E100*(1-IF($A100&gt;=T0,$E$3,0)),Policy_Sched!$E100-$F$3),Policy_Sched!$E100)))</f>
        <v>0</v>
      </c>
      <c r="E100" s="37">
        <f t="shared" si="53"/>
        <v>0</v>
      </c>
      <c r="F100" s="37">
        <f t="shared" si="36"/>
        <v>0</v>
      </c>
      <c r="G100" s="37">
        <f t="shared" si="37"/>
        <v>0</v>
      </c>
      <c r="H100" s="37">
        <f t="shared" si="38"/>
        <v>0</v>
      </c>
      <c r="I100" s="37">
        <f t="shared" si="39"/>
        <v>0</v>
      </c>
      <c r="J100" s="37">
        <f t="shared" si="40"/>
        <v>0</v>
      </c>
      <c r="K100" s="37">
        <f>IF($A100&gt;LastT,0,J100*Policy_Sched!$C100*Policy_Sched!$D100*C100)</f>
        <v>0</v>
      </c>
      <c r="L100" s="41">
        <f t="shared" si="41"/>
        <v>0</v>
      </c>
      <c r="M100" s="38">
        <f t="shared" si="42"/>
        <v>0</v>
      </c>
      <c r="N100" s="38">
        <f t="shared" si="43"/>
        <v>0</v>
      </c>
      <c r="O100" s="38">
        <f t="shared" si="44"/>
        <v>0</v>
      </c>
      <c r="P100" s="38">
        <f>Policy_Sched!$I100*(L100+I100)</f>
        <v>0</v>
      </c>
      <c r="Q100" s="42">
        <f t="shared" si="45"/>
        <v>0</v>
      </c>
      <c r="R100" s="38">
        <f t="shared" si="46"/>
        <v>0</v>
      </c>
      <c r="S100" s="38">
        <f t="shared" si="47"/>
        <v>0</v>
      </c>
      <c r="T100" s="38">
        <f>Policy_Sched!$J100*J100</f>
        <v>0</v>
      </c>
      <c r="U100" s="42">
        <f t="shared" si="48"/>
        <v>0</v>
      </c>
      <c r="V100" s="42">
        <f t="shared" si="49"/>
        <v>0</v>
      </c>
      <c r="W100" s="38">
        <f>IF($A100&gt;LastT,0,N100+W101/(1+Policy_Sched!$K100))</f>
        <v>0</v>
      </c>
      <c r="X100" s="38">
        <f>IF($A100&gt;LastT,0,(-Q100+X101)/(1+Policy_Sched!$K100))</f>
        <v>0</v>
      </c>
      <c r="Y100" s="38">
        <f>IF($A100&gt;LastT,0,-V100+Y101/(1+Policy_Sched!$K100))</f>
        <v>0</v>
      </c>
      <c r="Z100" s="42">
        <f t="shared" si="50"/>
        <v>0</v>
      </c>
      <c r="AA100" s="38">
        <f>IF($A100&gt;LastT,0,N100-V100-Q100/(1+Policy_Sched!$K100)+Z101/(1+Policy_Sched!$K100))</f>
        <v>0</v>
      </c>
    </row>
    <row r="101" spans="1:27" x14ac:dyDescent="0.2">
      <c r="A101" s="30">
        <f t="shared" si="51"/>
        <v>94</v>
      </c>
      <c r="B101" s="31">
        <f t="shared" si="52"/>
        <v>0</v>
      </c>
      <c r="C101" s="31">
        <f>IF($A101&gt;LastT,0,IF(AND($D$3&lt;&gt;0,$A101&gt;=T0,Policy_Sched!$B101&lt;LastAge),1+$D$3*$E$3,1))</f>
        <v>0</v>
      </c>
      <c r="D101" s="36">
        <f>IF($A101&gt;LastT,0,IF($C$3="up",MIN(Policy_Sched!$E101*(1+IF($A101&gt;=T0,$E$3,0)),$F$3),IF($C$3="down",MAX(Policy_Sched!$E101*(1-IF($A101&gt;=T0,$E$3,0)),Policy_Sched!$E101-$F$3),Policy_Sched!$E101)))</f>
        <v>0</v>
      </c>
      <c r="E101" s="37">
        <f t="shared" si="53"/>
        <v>0</v>
      </c>
      <c r="F101" s="37">
        <f t="shared" si="36"/>
        <v>0</v>
      </c>
      <c r="G101" s="37">
        <f t="shared" si="37"/>
        <v>0</v>
      </c>
      <c r="H101" s="37">
        <f t="shared" si="38"/>
        <v>0</v>
      </c>
      <c r="I101" s="37">
        <f t="shared" si="39"/>
        <v>0</v>
      </c>
      <c r="J101" s="37">
        <f t="shared" si="40"/>
        <v>0</v>
      </c>
      <c r="K101" s="37">
        <f>IF($A101&gt;LastT,0,J101*Policy_Sched!$C101*Policy_Sched!$D101*C101)</f>
        <v>0</v>
      </c>
      <c r="L101" s="41">
        <f t="shared" si="41"/>
        <v>0</v>
      </c>
      <c r="M101" s="38">
        <f t="shared" si="42"/>
        <v>0</v>
      </c>
      <c r="N101" s="38">
        <f t="shared" si="43"/>
        <v>0</v>
      </c>
      <c r="O101" s="38">
        <f t="shared" si="44"/>
        <v>0</v>
      </c>
      <c r="P101" s="38">
        <f>Policy_Sched!$I101*(L101+I101)</f>
        <v>0</v>
      </c>
      <c r="Q101" s="42">
        <f t="shared" si="45"/>
        <v>0</v>
      </c>
      <c r="R101" s="38">
        <f t="shared" si="46"/>
        <v>0</v>
      </c>
      <c r="S101" s="38">
        <f t="shared" si="47"/>
        <v>0</v>
      </c>
      <c r="T101" s="38">
        <f>Policy_Sched!$J101*J101</f>
        <v>0</v>
      </c>
      <c r="U101" s="42">
        <f t="shared" si="48"/>
        <v>0</v>
      </c>
      <c r="V101" s="42">
        <f t="shared" si="49"/>
        <v>0</v>
      </c>
      <c r="W101" s="38">
        <f>IF($A101&gt;LastT,0,N101+W102/(1+Policy_Sched!$K101))</f>
        <v>0</v>
      </c>
      <c r="X101" s="38">
        <f>IF($A101&gt;LastT,0,(-Q101+X102)/(1+Policy_Sched!$K101))</f>
        <v>0</v>
      </c>
      <c r="Y101" s="38">
        <f>IF($A101&gt;LastT,0,-V101+Y102/(1+Policy_Sched!$K101))</f>
        <v>0</v>
      </c>
      <c r="Z101" s="42">
        <f t="shared" si="50"/>
        <v>0</v>
      </c>
      <c r="AA101" s="38">
        <f>IF($A101&gt;LastT,0,N101-V101-Q101/(1+Policy_Sched!$K101)+Z102/(1+Policy_Sched!$K101))</f>
        <v>0</v>
      </c>
    </row>
    <row r="102" spans="1:27" x14ac:dyDescent="0.2">
      <c r="A102" s="30">
        <f t="shared" si="51"/>
        <v>95</v>
      </c>
      <c r="B102" s="31">
        <f t="shared" si="52"/>
        <v>0</v>
      </c>
      <c r="C102" s="31">
        <f>IF($A102&gt;LastT,0,IF(AND($D$3&lt;&gt;0,$A102&gt;=T0,Policy_Sched!$B102&lt;LastAge),1+$D$3*$E$3,1))</f>
        <v>0</v>
      </c>
      <c r="D102" s="36">
        <f>IF($A102&gt;LastT,0,IF($C$3="up",MIN(Policy_Sched!$E102*(1+IF($A102&gt;=T0,$E$3,0)),$F$3),IF($C$3="down",MAX(Policy_Sched!$E102*(1-IF($A102&gt;=T0,$E$3,0)),Policy_Sched!$E102-$F$3),Policy_Sched!$E102)))</f>
        <v>0</v>
      </c>
      <c r="E102" s="37">
        <f t="shared" si="53"/>
        <v>0</v>
      </c>
      <c r="F102" s="37">
        <f t="shared" si="36"/>
        <v>0</v>
      </c>
      <c r="G102" s="37">
        <f t="shared" si="37"/>
        <v>0</v>
      </c>
      <c r="H102" s="37">
        <f t="shared" si="38"/>
        <v>0</v>
      </c>
      <c r="I102" s="37">
        <f t="shared" si="39"/>
        <v>0</v>
      </c>
      <c r="J102" s="37">
        <f t="shared" si="40"/>
        <v>0</v>
      </c>
      <c r="K102" s="37">
        <f>IF($A102&gt;LastT,0,J102*Policy_Sched!$C102*Policy_Sched!$D102*C102)</f>
        <v>0</v>
      </c>
      <c r="L102" s="41">
        <f t="shared" si="41"/>
        <v>0</v>
      </c>
      <c r="M102" s="38">
        <f t="shared" si="42"/>
        <v>0</v>
      </c>
      <c r="N102" s="38">
        <f t="shared" si="43"/>
        <v>0</v>
      </c>
      <c r="O102" s="38">
        <f t="shared" si="44"/>
        <v>0</v>
      </c>
      <c r="P102" s="38">
        <f>Policy_Sched!$I102*(L102+I102)</f>
        <v>0</v>
      </c>
      <c r="Q102" s="42">
        <f t="shared" si="45"/>
        <v>0</v>
      </c>
      <c r="R102" s="38">
        <f t="shared" si="46"/>
        <v>0</v>
      </c>
      <c r="S102" s="38">
        <f t="shared" si="47"/>
        <v>0</v>
      </c>
      <c r="T102" s="38">
        <f>Policy_Sched!$J102*J102</f>
        <v>0</v>
      </c>
      <c r="U102" s="42">
        <f t="shared" si="48"/>
        <v>0</v>
      </c>
      <c r="V102" s="42">
        <f t="shared" si="49"/>
        <v>0</v>
      </c>
      <c r="W102" s="38">
        <f>IF($A102&gt;LastT,0,N102+W103/(1+Policy_Sched!$K102))</f>
        <v>0</v>
      </c>
      <c r="X102" s="38">
        <f>IF($A102&gt;LastT,0,(-Q102+X103)/(1+Policy_Sched!$K102))</f>
        <v>0</v>
      </c>
      <c r="Y102" s="38">
        <f>IF($A102&gt;LastT,0,-V102+Y103/(1+Policy_Sched!$K102))</f>
        <v>0</v>
      </c>
      <c r="Z102" s="42">
        <f t="shared" si="50"/>
        <v>0</v>
      </c>
      <c r="AA102" s="38">
        <f>IF($A102&gt;LastT,0,N102-V102-Q102/(1+Policy_Sched!$K102)+Z103/(1+Policy_Sched!$K102))</f>
        <v>0</v>
      </c>
    </row>
    <row r="103" spans="1:27" x14ac:dyDescent="0.2">
      <c r="A103" s="30">
        <f t="shared" si="51"/>
        <v>96</v>
      </c>
      <c r="B103" s="31">
        <f t="shared" si="52"/>
        <v>0</v>
      </c>
      <c r="C103" s="31">
        <f>IF($A103&gt;LastT,0,IF(AND($D$3&lt;&gt;0,$A103&gt;=T0,Policy_Sched!$B103&lt;LastAge),1+$D$3*$E$3,1))</f>
        <v>0</v>
      </c>
      <c r="D103" s="36">
        <f>IF($A103&gt;LastT,0,IF($C$3="up",MIN(Policy_Sched!$E103*(1+IF($A103&gt;=T0,$E$3,0)),$F$3),IF($C$3="down",MAX(Policy_Sched!$E103*(1-IF($A103&gt;=T0,$E$3,0)),Policy_Sched!$E103-$F$3),Policy_Sched!$E103)))</f>
        <v>0</v>
      </c>
      <c r="E103" s="37">
        <f t="shared" si="53"/>
        <v>0</v>
      </c>
      <c r="F103" s="37">
        <f t="shared" ref="F103:F110" si="54">IF($A103&gt;LastT,0,IF($A103=PolicyTerm,E103,0))</f>
        <v>0</v>
      </c>
      <c r="G103" s="37">
        <f t="shared" ref="G103:G110" si="55">IF($A103&gt;LastT,0,E103-F103)</f>
        <v>0</v>
      </c>
      <c r="H103" s="37">
        <f t="shared" ref="H103:H110" si="56">IF($A103=0,PolicyCount,0)</f>
        <v>0</v>
      </c>
      <c r="I103" s="37">
        <f t="shared" ref="I103:I110" si="57">IF($A103&gt;LastT,0,IF(AND($C$3="mass",$A103=T0),(G103+H103)*$E$3,0))</f>
        <v>0</v>
      </c>
      <c r="J103" s="37">
        <f t="shared" ref="J103:J110" si="58">IF($A103&gt;LastT,0,G103+H103-I103)</f>
        <v>0</v>
      </c>
      <c r="K103" s="37">
        <f>IF($A103&gt;LastT,0,J103*Policy_Sched!$C103*Policy_Sched!$D103*C103)</f>
        <v>0</v>
      </c>
      <c r="L103" s="41">
        <f t="shared" ref="L103:L110" si="59">J103*D103</f>
        <v>0</v>
      </c>
      <c r="M103" s="38">
        <f t="shared" ref="M103:M110" si="60">IF($A103&gt;LastT,0,(SizeAnnPrem*ExpsMaintAnnPrem+(SumAssured*ExpsMaintSA+ExpsMaintPol)*B103)*(1+IF($B$3="exps",$E$3,0)))</f>
        <v>0</v>
      </c>
      <c r="N103" s="38">
        <f t="shared" ref="N103:N110" si="61">SizePremium*J103</f>
        <v>0</v>
      </c>
      <c r="O103" s="38">
        <f t="shared" ref="O103:O110" si="62">SumAssured*K103</f>
        <v>0</v>
      </c>
      <c r="P103" s="38">
        <f>Policy_Sched!$I103*(L103+I103)</f>
        <v>0</v>
      </c>
      <c r="Q103" s="42">
        <f t="shared" ref="Q103:Q110" si="63">O103+P103</f>
        <v>0</v>
      </c>
      <c r="R103" s="38">
        <f t="shared" ref="R103:R110" si="64">IF($A103=0,SizeExpsAcq0*H103,0)</f>
        <v>0</v>
      </c>
      <c r="S103" s="38">
        <f t="shared" ref="S103:S110" si="65">IF($A103=0,SizeExpsCommInit0*J103,0)</f>
        <v>0</v>
      </c>
      <c r="T103" s="38">
        <f>Policy_Sched!$J103*J103</f>
        <v>0</v>
      </c>
      <c r="U103" s="42">
        <f t="shared" ref="U103:U110" si="66">M103*J103</f>
        <v>0</v>
      </c>
      <c r="V103" s="42">
        <f t="shared" ref="V103:V110" si="67">S103+T103+R103+U103</f>
        <v>0</v>
      </c>
      <c r="W103" s="38">
        <f>IF($A103&gt;LastT,0,N103+W104/(1+Policy_Sched!$K103))</f>
        <v>0</v>
      </c>
      <c r="X103" s="38">
        <f>IF($A103&gt;LastT,0,(-Q103+X104)/(1+Policy_Sched!$K103))</f>
        <v>0</v>
      </c>
      <c r="Y103" s="38">
        <f>IF($A103&gt;LastT,0,-V103+Y104/(1+Policy_Sched!$K103))</f>
        <v>0</v>
      </c>
      <c r="Z103" s="42">
        <f t="shared" ref="Z103:Z110" si="68">W103+Y103+X103</f>
        <v>0</v>
      </c>
      <c r="AA103" s="38">
        <f>IF($A103&gt;LastT,0,N103-V103-Q103/(1+Policy_Sched!$K103)+Z104/(1+Policy_Sched!$K103))</f>
        <v>0</v>
      </c>
    </row>
    <row r="104" spans="1:27" x14ac:dyDescent="0.2">
      <c r="A104" s="30">
        <f t="shared" ref="A104:A110" si="69">A103+1</f>
        <v>97</v>
      </c>
      <c r="B104" s="31">
        <f t="shared" ref="B104:B110" si="70">IF($A104&gt;LastT,0,IF($B$3="exps",B103*(1+InflRate+IF($A104&gt;=T0,$G$3,0)),B103/(1+InflRate)))</f>
        <v>0</v>
      </c>
      <c r="C104" s="31">
        <f>IF($A104&gt;LastT,0,IF(AND($D$3&lt;&gt;0,$A104&gt;=T0,Policy_Sched!$B104&lt;LastAge),1+$D$3*$E$3,1))</f>
        <v>0</v>
      </c>
      <c r="D104" s="36">
        <f>IF($A104&gt;LastT,0,IF($C$3="up",MIN(Policy_Sched!$E104*(1+IF($A104&gt;=T0,$E$3,0)),$F$3),IF($C$3="down",MAX(Policy_Sched!$E104*(1-IF($A104&gt;=T0,$E$3,0)),Policy_Sched!$E104-$F$3),Policy_Sched!$E104)))</f>
        <v>0</v>
      </c>
      <c r="E104" s="37">
        <f t="shared" ref="E104:E110" si="71">IF($A104&gt;LastT,0,J103-K103-L103)</f>
        <v>0</v>
      </c>
      <c r="F104" s="37">
        <f t="shared" si="54"/>
        <v>0</v>
      </c>
      <c r="G104" s="37">
        <f t="shared" si="55"/>
        <v>0</v>
      </c>
      <c r="H104" s="37">
        <f t="shared" si="56"/>
        <v>0</v>
      </c>
      <c r="I104" s="37">
        <f t="shared" si="57"/>
        <v>0</v>
      </c>
      <c r="J104" s="37">
        <f t="shared" si="58"/>
        <v>0</v>
      </c>
      <c r="K104" s="37">
        <f>IF($A104&gt;LastT,0,J104*Policy_Sched!$C104*Policy_Sched!$D104*C104)</f>
        <v>0</v>
      </c>
      <c r="L104" s="41">
        <f t="shared" si="59"/>
        <v>0</v>
      </c>
      <c r="M104" s="38">
        <f t="shared" si="60"/>
        <v>0</v>
      </c>
      <c r="N104" s="38">
        <f t="shared" si="61"/>
        <v>0</v>
      </c>
      <c r="O104" s="38">
        <f t="shared" si="62"/>
        <v>0</v>
      </c>
      <c r="P104" s="38">
        <f>Policy_Sched!$I104*(L104+I104)</f>
        <v>0</v>
      </c>
      <c r="Q104" s="42">
        <f t="shared" si="63"/>
        <v>0</v>
      </c>
      <c r="R104" s="38">
        <f t="shared" si="64"/>
        <v>0</v>
      </c>
      <c r="S104" s="38">
        <f t="shared" si="65"/>
        <v>0</v>
      </c>
      <c r="T104" s="38">
        <f>Policy_Sched!$J104*J104</f>
        <v>0</v>
      </c>
      <c r="U104" s="42">
        <f t="shared" si="66"/>
        <v>0</v>
      </c>
      <c r="V104" s="42">
        <f t="shared" si="67"/>
        <v>0</v>
      </c>
      <c r="W104" s="38">
        <f>IF($A104&gt;LastT,0,N104+W105/(1+Policy_Sched!$K104))</f>
        <v>0</v>
      </c>
      <c r="X104" s="38">
        <f>IF($A104&gt;LastT,0,(-Q104+X105)/(1+Policy_Sched!$K104))</f>
        <v>0</v>
      </c>
      <c r="Y104" s="38">
        <f>IF($A104&gt;LastT,0,-V104+Y105/(1+Policy_Sched!$K104))</f>
        <v>0</v>
      </c>
      <c r="Z104" s="42">
        <f t="shared" si="68"/>
        <v>0</v>
      </c>
      <c r="AA104" s="38">
        <f>IF($A104&gt;LastT,0,N104-V104-Q104/(1+Policy_Sched!$K104)+Z105/(1+Policy_Sched!$K104))</f>
        <v>0</v>
      </c>
    </row>
    <row r="105" spans="1:27" x14ac:dyDescent="0.2">
      <c r="A105" s="30">
        <f t="shared" si="69"/>
        <v>98</v>
      </c>
      <c r="B105" s="31">
        <f t="shared" si="70"/>
        <v>0</v>
      </c>
      <c r="C105" s="31">
        <f>IF($A105&gt;LastT,0,IF(AND($D$3&lt;&gt;0,$A105&gt;=T0,Policy_Sched!$B105&lt;LastAge),1+$D$3*$E$3,1))</f>
        <v>0</v>
      </c>
      <c r="D105" s="36">
        <f>IF($A105&gt;LastT,0,IF($C$3="up",MIN(Policy_Sched!$E105*(1+IF($A105&gt;=T0,$E$3,0)),$F$3),IF($C$3="down",MAX(Policy_Sched!$E105*(1-IF($A105&gt;=T0,$E$3,0)),Policy_Sched!$E105-$F$3),Policy_Sched!$E105)))</f>
        <v>0</v>
      </c>
      <c r="E105" s="37">
        <f t="shared" si="71"/>
        <v>0</v>
      </c>
      <c r="F105" s="37">
        <f t="shared" si="54"/>
        <v>0</v>
      </c>
      <c r="G105" s="37">
        <f t="shared" si="55"/>
        <v>0</v>
      </c>
      <c r="H105" s="37">
        <f t="shared" si="56"/>
        <v>0</v>
      </c>
      <c r="I105" s="37">
        <f t="shared" si="57"/>
        <v>0</v>
      </c>
      <c r="J105" s="37">
        <f t="shared" si="58"/>
        <v>0</v>
      </c>
      <c r="K105" s="37">
        <f>IF($A105&gt;LastT,0,J105*Policy_Sched!$C105*Policy_Sched!$D105*C105)</f>
        <v>0</v>
      </c>
      <c r="L105" s="41">
        <f t="shared" si="59"/>
        <v>0</v>
      </c>
      <c r="M105" s="38">
        <f t="shared" si="60"/>
        <v>0</v>
      </c>
      <c r="N105" s="38">
        <f t="shared" si="61"/>
        <v>0</v>
      </c>
      <c r="O105" s="38">
        <f t="shared" si="62"/>
        <v>0</v>
      </c>
      <c r="P105" s="38">
        <f>Policy_Sched!$I105*(L105+I105)</f>
        <v>0</v>
      </c>
      <c r="Q105" s="42">
        <f t="shared" si="63"/>
        <v>0</v>
      </c>
      <c r="R105" s="38">
        <f t="shared" si="64"/>
        <v>0</v>
      </c>
      <c r="S105" s="38">
        <f t="shared" si="65"/>
        <v>0</v>
      </c>
      <c r="T105" s="38">
        <f>Policy_Sched!$J105*J105</f>
        <v>0</v>
      </c>
      <c r="U105" s="42">
        <f t="shared" si="66"/>
        <v>0</v>
      </c>
      <c r="V105" s="42">
        <f t="shared" si="67"/>
        <v>0</v>
      </c>
      <c r="W105" s="38">
        <f>IF($A105&gt;LastT,0,N105+W106/(1+Policy_Sched!$K105))</f>
        <v>0</v>
      </c>
      <c r="X105" s="38">
        <f>IF($A105&gt;LastT,0,(-Q105+X106)/(1+Policy_Sched!$K105))</f>
        <v>0</v>
      </c>
      <c r="Y105" s="38">
        <f>IF($A105&gt;LastT,0,-V105+Y106/(1+Policy_Sched!$K105))</f>
        <v>0</v>
      </c>
      <c r="Z105" s="42">
        <f t="shared" si="68"/>
        <v>0</v>
      </c>
      <c r="AA105" s="38">
        <f>IF($A105&gt;LastT,0,N105-V105-Q105/(1+Policy_Sched!$K105)+Z106/(1+Policy_Sched!$K105))</f>
        <v>0</v>
      </c>
    </row>
    <row r="106" spans="1:27" x14ac:dyDescent="0.2">
      <c r="A106" s="30">
        <f t="shared" si="69"/>
        <v>99</v>
      </c>
      <c r="B106" s="31">
        <f t="shared" si="70"/>
        <v>0</v>
      </c>
      <c r="C106" s="31">
        <f>IF($A106&gt;LastT,0,IF(AND($D$3&lt;&gt;0,$A106&gt;=T0,Policy_Sched!$B106&lt;LastAge),1+$D$3*$E$3,1))</f>
        <v>0</v>
      </c>
      <c r="D106" s="36">
        <f>IF($A106&gt;LastT,0,IF($C$3="up",MIN(Policy_Sched!$E106*(1+IF($A106&gt;=T0,$E$3,0)),$F$3),IF($C$3="down",MAX(Policy_Sched!$E106*(1-IF($A106&gt;=T0,$E$3,0)),Policy_Sched!$E106-$F$3),Policy_Sched!$E106)))</f>
        <v>0</v>
      </c>
      <c r="E106" s="37">
        <f t="shared" si="71"/>
        <v>0</v>
      </c>
      <c r="F106" s="37">
        <f t="shared" si="54"/>
        <v>0</v>
      </c>
      <c r="G106" s="37">
        <f t="shared" si="55"/>
        <v>0</v>
      </c>
      <c r="H106" s="37">
        <f t="shared" si="56"/>
        <v>0</v>
      </c>
      <c r="I106" s="37">
        <f t="shared" si="57"/>
        <v>0</v>
      </c>
      <c r="J106" s="37">
        <f t="shared" si="58"/>
        <v>0</v>
      </c>
      <c r="K106" s="37">
        <f>IF($A106&gt;LastT,0,J106*Policy_Sched!$C106*Policy_Sched!$D106*C106)</f>
        <v>0</v>
      </c>
      <c r="L106" s="41">
        <f t="shared" si="59"/>
        <v>0</v>
      </c>
      <c r="M106" s="38">
        <f t="shared" si="60"/>
        <v>0</v>
      </c>
      <c r="N106" s="38">
        <f t="shared" si="61"/>
        <v>0</v>
      </c>
      <c r="O106" s="38">
        <f t="shared" si="62"/>
        <v>0</v>
      </c>
      <c r="P106" s="38">
        <f>Policy_Sched!$I106*(L106+I106)</f>
        <v>0</v>
      </c>
      <c r="Q106" s="42">
        <f t="shared" si="63"/>
        <v>0</v>
      </c>
      <c r="R106" s="38">
        <f t="shared" si="64"/>
        <v>0</v>
      </c>
      <c r="S106" s="38">
        <f t="shared" si="65"/>
        <v>0</v>
      </c>
      <c r="T106" s="38">
        <f>Policy_Sched!$J106*J106</f>
        <v>0</v>
      </c>
      <c r="U106" s="42">
        <f t="shared" si="66"/>
        <v>0</v>
      </c>
      <c r="V106" s="42">
        <f t="shared" si="67"/>
        <v>0</v>
      </c>
      <c r="W106" s="38">
        <f>IF($A106&gt;LastT,0,N106+W107/(1+Policy_Sched!$K106))</f>
        <v>0</v>
      </c>
      <c r="X106" s="38">
        <f>IF($A106&gt;LastT,0,(-Q106+X107)/(1+Policy_Sched!$K106))</f>
        <v>0</v>
      </c>
      <c r="Y106" s="38">
        <f>IF($A106&gt;LastT,0,-V106+Y107/(1+Policy_Sched!$K106))</f>
        <v>0</v>
      </c>
      <c r="Z106" s="42">
        <f t="shared" si="68"/>
        <v>0</v>
      </c>
      <c r="AA106" s="38">
        <f>IF($A106&gt;LastT,0,N106-V106-Q106/(1+Policy_Sched!$K106)+Z107/(1+Policy_Sched!$K106))</f>
        <v>0</v>
      </c>
    </row>
    <row r="107" spans="1:27" x14ac:dyDescent="0.2">
      <c r="A107" s="30">
        <f t="shared" si="69"/>
        <v>100</v>
      </c>
      <c r="B107" s="31">
        <f t="shared" si="70"/>
        <v>0</v>
      </c>
      <c r="C107" s="31">
        <f>IF($A107&gt;LastT,0,IF(AND($D$3&lt;&gt;0,$A107&gt;=T0,Policy_Sched!$B107&lt;LastAge),1+$D$3*$E$3,1))</f>
        <v>0</v>
      </c>
      <c r="D107" s="36">
        <f>IF($A107&gt;LastT,0,IF($C$3="up",MIN(Policy_Sched!$E107*(1+IF($A107&gt;=T0,$E$3,0)),$F$3),IF($C$3="down",MAX(Policy_Sched!$E107*(1-IF($A107&gt;=T0,$E$3,0)),Policy_Sched!$E107-$F$3),Policy_Sched!$E107)))</f>
        <v>0</v>
      </c>
      <c r="E107" s="37">
        <f t="shared" si="71"/>
        <v>0</v>
      </c>
      <c r="F107" s="37">
        <f t="shared" si="54"/>
        <v>0</v>
      </c>
      <c r="G107" s="37">
        <f t="shared" si="55"/>
        <v>0</v>
      </c>
      <c r="H107" s="37">
        <f t="shared" si="56"/>
        <v>0</v>
      </c>
      <c r="I107" s="37">
        <f t="shared" si="57"/>
        <v>0</v>
      </c>
      <c r="J107" s="37">
        <f t="shared" si="58"/>
        <v>0</v>
      </c>
      <c r="K107" s="37">
        <f>IF($A107&gt;LastT,0,J107*Policy_Sched!$C107*Policy_Sched!$D107*C107)</f>
        <v>0</v>
      </c>
      <c r="L107" s="41">
        <f t="shared" si="59"/>
        <v>0</v>
      </c>
      <c r="M107" s="38">
        <f t="shared" si="60"/>
        <v>0</v>
      </c>
      <c r="N107" s="38">
        <f t="shared" si="61"/>
        <v>0</v>
      </c>
      <c r="O107" s="38">
        <f t="shared" si="62"/>
        <v>0</v>
      </c>
      <c r="P107" s="38">
        <f>Policy_Sched!$I107*(L107+I107)</f>
        <v>0</v>
      </c>
      <c r="Q107" s="42">
        <f t="shared" si="63"/>
        <v>0</v>
      </c>
      <c r="R107" s="38">
        <f t="shared" si="64"/>
        <v>0</v>
      </c>
      <c r="S107" s="38">
        <f t="shared" si="65"/>
        <v>0</v>
      </c>
      <c r="T107" s="38">
        <f>Policy_Sched!$J107*J107</f>
        <v>0</v>
      </c>
      <c r="U107" s="42">
        <f t="shared" si="66"/>
        <v>0</v>
      </c>
      <c r="V107" s="42">
        <f t="shared" si="67"/>
        <v>0</v>
      </c>
      <c r="W107" s="38">
        <f>IF($A107&gt;LastT,0,N107+W108/(1+Policy_Sched!$K107))</f>
        <v>0</v>
      </c>
      <c r="X107" s="38">
        <f>IF($A107&gt;LastT,0,(-Q107+X108)/(1+Policy_Sched!$K107))</f>
        <v>0</v>
      </c>
      <c r="Y107" s="38">
        <f>IF($A107&gt;LastT,0,-V107+Y108/(1+Policy_Sched!$K107))</f>
        <v>0</v>
      </c>
      <c r="Z107" s="42">
        <f t="shared" si="68"/>
        <v>0</v>
      </c>
      <c r="AA107" s="38">
        <f>IF($A107&gt;LastT,0,N107-V107-Q107/(1+Policy_Sched!$K107)+Z108/(1+Policy_Sched!$K107))</f>
        <v>0</v>
      </c>
    </row>
    <row r="108" spans="1:27" x14ac:dyDescent="0.2">
      <c r="A108" s="30">
        <f t="shared" si="69"/>
        <v>101</v>
      </c>
      <c r="B108" s="31">
        <f t="shared" si="70"/>
        <v>0</v>
      </c>
      <c r="C108" s="31">
        <f>IF($A108&gt;LastT,0,IF(AND($D$3&lt;&gt;0,$A108&gt;=T0,Policy_Sched!$B108&lt;LastAge),1+$D$3*$E$3,1))</f>
        <v>0</v>
      </c>
      <c r="D108" s="36">
        <f>IF($A108&gt;LastT,0,IF($C$3="up",MIN(Policy_Sched!$E108*(1+IF($A108&gt;=T0,$E$3,0)),$F$3),IF($C$3="down",MAX(Policy_Sched!$E108*(1-IF($A108&gt;=T0,$E$3,0)),Policy_Sched!$E108-$F$3),Policy_Sched!$E108)))</f>
        <v>0</v>
      </c>
      <c r="E108" s="37">
        <f t="shared" si="71"/>
        <v>0</v>
      </c>
      <c r="F108" s="37">
        <f t="shared" si="54"/>
        <v>0</v>
      </c>
      <c r="G108" s="37">
        <f t="shared" si="55"/>
        <v>0</v>
      </c>
      <c r="H108" s="37">
        <f t="shared" si="56"/>
        <v>0</v>
      </c>
      <c r="I108" s="37">
        <f t="shared" si="57"/>
        <v>0</v>
      </c>
      <c r="J108" s="37">
        <f t="shared" si="58"/>
        <v>0</v>
      </c>
      <c r="K108" s="37">
        <f>IF($A108&gt;LastT,0,J108*Policy_Sched!$C108*Policy_Sched!$D108*C108)</f>
        <v>0</v>
      </c>
      <c r="L108" s="41">
        <f t="shared" si="59"/>
        <v>0</v>
      </c>
      <c r="M108" s="38">
        <f t="shared" si="60"/>
        <v>0</v>
      </c>
      <c r="N108" s="38">
        <f t="shared" si="61"/>
        <v>0</v>
      </c>
      <c r="O108" s="38">
        <f t="shared" si="62"/>
        <v>0</v>
      </c>
      <c r="P108" s="38">
        <f>Policy_Sched!$I108*(L108+I108)</f>
        <v>0</v>
      </c>
      <c r="Q108" s="42">
        <f t="shared" si="63"/>
        <v>0</v>
      </c>
      <c r="R108" s="38">
        <f t="shared" si="64"/>
        <v>0</v>
      </c>
      <c r="S108" s="38">
        <f t="shared" si="65"/>
        <v>0</v>
      </c>
      <c r="T108" s="38">
        <f>Policy_Sched!$J108*J108</f>
        <v>0</v>
      </c>
      <c r="U108" s="42">
        <f t="shared" si="66"/>
        <v>0</v>
      </c>
      <c r="V108" s="42">
        <f t="shared" si="67"/>
        <v>0</v>
      </c>
      <c r="W108" s="38">
        <f>IF($A108&gt;LastT,0,N108+W109/(1+Policy_Sched!$K108))</f>
        <v>0</v>
      </c>
      <c r="X108" s="38">
        <f>IF($A108&gt;LastT,0,(-Q108+X109)/(1+Policy_Sched!$K108))</f>
        <v>0</v>
      </c>
      <c r="Y108" s="38">
        <f>IF($A108&gt;LastT,0,-V108+Y109/(1+Policy_Sched!$K108))</f>
        <v>0</v>
      </c>
      <c r="Z108" s="42">
        <f t="shared" si="68"/>
        <v>0</v>
      </c>
      <c r="AA108" s="38">
        <f>IF($A108&gt;LastT,0,N108-V108-Q108/(1+Policy_Sched!$K108)+Z109/(1+Policy_Sched!$K108))</f>
        <v>0</v>
      </c>
    </row>
    <row r="109" spans="1:27" x14ac:dyDescent="0.2">
      <c r="A109" s="30">
        <f t="shared" si="69"/>
        <v>102</v>
      </c>
      <c r="B109" s="31">
        <f t="shared" si="70"/>
        <v>0</v>
      </c>
      <c r="C109" s="31">
        <f>IF($A109&gt;LastT,0,IF(AND($D$3&lt;&gt;0,$A109&gt;=T0,Policy_Sched!$B109&lt;LastAge),1+$D$3*$E$3,1))</f>
        <v>0</v>
      </c>
      <c r="D109" s="36">
        <f>IF($A109&gt;LastT,0,IF($C$3="up",MIN(Policy_Sched!$E109*(1+IF($A109&gt;=T0,$E$3,0)),$F$3),IF($C$3="down",MAX(Policy_Sched!$E109*(1-IF($A109&gt;=T0,$E$3,0)),Policy_Sched!$E109-$F$3),Policy_Sched!$E109)))</f>
        <v>0</v>
      </c>
      <c r="E109" s="37">
        <f t="shared" si="71"/>
        <v>0</v>
      </c>
      <c r="F109" s="37">
        <f t="shared" si="54"/>
        <v>0</v>
      </c>
      <c r="G109" s="37">
        <f t="shared" si="55"/>
        <v>0</v>
      </c>
      <c r="H109" s="37">
        <f t="shared" si="56"/>
        <v>0</v>
      </c>
      <c r="I109" s="37">
        <f t="shared" si="57"/>
        <v>0</v>
      </c>
      <c r="J109" s="37">
        <f t="shared" si="58"/>
        <v>0</v>
      </c>
      <c r="K109" s="37">
        <f>IF($A109&gt;LastT,0,J109*Policy_Sched!$C109*Policy_Sched!$D109*C109)</f>
        <v>0</v>
      </c>
      <c r="L109" s="41">
        <f t="shared" si="59"/>
        <v>0</v>
      </c>
      <c r="M109" s="38">
        <f t="shared" si="60"/>
        <v>0</v>
      </c>
      <c r="N109" s="38">
        <f t="shared" si="61"/>
        <v>0</v>
      </c>
      <c r="O109" s="38">
        <f t="shared" si="62"/>
        <v>0</v>
      </c>
      <c r="P109" s="38">
        <f>Policy_Sched!$I109*(L109+I109)</f>
        <v>0</v>
      </c>
      <c r="Q109" s="42">
        <f t="shared" si="63"/>
        <v>0</v>
      </c>
      <c r="R109" s="38">
        <f t="shared" si="64"/>
        <v>0</v>
      </c>
      <c r="S109" s="38">
        <f t="shared" si="65"/>
        <v>0</v>
      </c>
      <c r="T109" s="38">
        <f>Policy_Sched!$J109*J109</f>
        <v>0</v>
      </c>
      <c r="U109" s="42">
        <f t="shared" si="66"/>
        <v>0</v>
      </c>
      <c r="V109" s="42">
        <f t="shared" si="67"/>
        <v>0</v>
      </c>
      <c r="W109" s="38">
        <f>IF($A109&gt;LastT,0,N109+W110/(1+Policy_Sched!$K109))</f>
        <v>0</v>
      </c>
      <c r="X109" s="38">
        <f>IF($A109&gt;LastT,0,(-Q109+X110)/(1+Policy_Sched!$K109))</f>
        <v>0</v>
      </c>
      <c r="Y109" s="38">
        <f>IF($A109&gt;LastT,0,-V109+Y110/(1+Policy_Sched!$K109))</f>
        <v>0</v>
      </c>
      <c r="Z109" s="42">
        <f t="shared" si="68"/>
        <v>0</v>
      </c>
      <c r="AA109" s="38">
        <f>IF($A109&gt;LastT,0,N109-V109-Q109/(1+Policy_Sched!$K109)+Z110/(1+Policy_Sched!$K109))</f>
        <v>0</v>
      </c>
    </row>
    <row r="110" spans="1:27" x14ac:dyDescent="0.2">
      <c r="A110" s="30">
        <f t="shared" si="69"/>
        <v>103</v>
      </c>
      <c r="B110" s="31">
        <f t="shared" si="70"/>
        <v>0</v>
      </c>
      <c r="C110" s="31">
        <f>IF($A110&gt;LastT,0,IF(AND($D$3&lt;&gt;0,$A110&gt;=T0,Policy_Sched!$B110&lt;LastAge),1+$D$3*$E$3,1))</f>
        <v>0</v>
      </c>
      <c r="D110" s="36">
        <f>IF($A110&gt;LastT,0,IF($C$3="up",MIN(Policy_Sched!$E110*(1+IF($A110&gt;=T0,$E$3,0)),$F$3),IF($C$3="down",MAX(Policy_Sched!$E110*(1-IF($A110&gt;=T0,$E$3,0)),Policy_Sched!$E110-$F$3),Policy_Sched!$E110)))</f>
        <v>0</v>
      </c>
      <c r="E110" s="37">
        <f t="shared" si="71"/>
        <v>0</v>
      </c>
      <c r="F110" s="37">
        <f t="shared" si="54"/>
        <v>0</v>
      </c>
      <c r="G110" s="37">
        <f t="shared" si="55"/>
        <v>0</v>
      </c>
      <c r="H110" s="37">
        <f t="shared" si="56"/>
        <v>0</v>
      </c>
      <c r="I110" s="37">
        <f t="shared" si="57"/>
        <v>0</v>
      </c>
      <c r="J110" s="37">
        <f t="shared" si="58"/>
        <v>0</v>
      </c>
      <c r="K110" s="37">
        <f>IF($A110&gt;LastT,0,J110*Policy_Sched!$C110*Policy_Sched!$D110*C110)</f>
        <v>0</v>
      </c>
      <c r="L110" s="41">
        <f t="shared" si="59"/>
        <v>0</v>
      </c>
      <c r="M110" s="38">
        <f t="shared" si="60"/>
        <v>0</v>
      </c>
      <c r="N110" s="38">
        <f t="shared" si="61"/>
        <v>0</v>
      </c>
      <c r="O110" s="38">
        <f t="shared" si="62"/>
        <v>0</v>
      </c>
      <c r="P110" s="38">
        <f>Policy_Sched!$I110*(L110+I110)</f>
        <v>0</v>
      </c>
      <c r="Q110" s="42">
        <f t="shared" si="63"/>
        <v>0</v>
      </c>
      <c r="R110" s="38">
        <f t="shared" si="64"/>
        <v>0</v>
      </c>
      <c r="S110" s="38">
        <f t="shared" si="65"/>
        <v>0</v>
      </c>
      <c r="T110" s="38">
        <f>Policy_Sched!$J110*J110</f>
        <v>0</v>
      </c>
      <c r="U110" s="42">
        <f t="shared" si="66"/>
        <v>0</v>
      </c>
      <c r="V110" s="42">
        <f t="shared" si="67"/>
        <v>0</v>
      </c>
      <c r="W110" s="38">
        <f>IF($A110&gt;LastT,0,N110+W111/(1+Policy_Sched!$K110))</f>
        <v>0</v>
      </c>
      <c r="X110" s="38">
        <f>IF($A110&gt;LastT,0,(-Q110+X111)/(1+Policy_Sched!$K110))</f>
        <v>0</v>
      </c>
      <c r="Y110" s="38">
        <f>IF($A110&gt;LastT,0,-V110+Y111/(1+Policy_Sched!$K110))</f>
        <v>0</v>
      </c>
      <c r="Z110" s="42">
        <f t="shared" si="68"/>
        <v>0</v>
      </c>
      <c r="AA110" s="38">
        <f>IF($A110&gt;LastT,0,N110-V110-Q110/(1+Policy_Sched!$K110)+Z111/(1+Policy_Sched!$K110))</f>
        <v>0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AA110"/>
  <sheetViews>
    <sheetView workbookViewId="0">
      <pane xSplit="1" ySplit="6" topLeftCell="B7" activePane="bottomRight" state="frozen"/>
      <selection pane="topRight"/>
      <selection pane="bottomLeft"/>
      <selection pane="bottomRight"/>
    </sheetView>
  </sheetViews>
  <sheetFormatPr baseColWidth="10" defaultColWidth="8.83203125" defaultRowHeight="15" x14ac:dyDescent="0.2"/>
  <cols>
    <col min="1" max="1" width="5" customWidth="1"/>
    <col min="2" max="2" width="10" customWidth="1"/>
    <col min="3" max="5" width="11" customWidth="1"/>
    <col min="6" max="6" width="10" customWidth="1"/>
    <col min="7" max="7" width="11" customWidth="1"/>
    <col min="8" max="9" width="10" customWidth="1"/>
    <col min="10" max="13" width="11" customWidth="1"/>
    <col min="14" max="17" width="12" customWidth="1"/>
    <col min="18" max="21" width="11" customWidth="1"/>
    <col min="22" max="22" width="12" customWidth="1"/>
    <col min="23" max="27" width="13" customWidth="1"/>
  </cols>
  <sheetData>
    <row r="1" spans="1:27" x14ac:dyDescent="0.2">
      <c r="A1" s="3" t="s">
        <v>402</v>
      </c>
    </row>
    <row r="2" spans="1:27" x14ac:dyDescent="0.2">
      <c r="B2" s="39" t="s">
        <v>334</v>
      </c>
      <c r="C2" s="39" t="s">
        <v>335</v>
      </c>
      <c r="D2" s="39" t="s">
        <v>336</v>
      </c>
      <c r="E2" s="39" t="s">
        <v>337</v>
      </c>
      <c r="F2" s="39" t="s">
        <v>338</v>
      </c>
      <c r="G2" s="39" t="s">
        <v>339</v>
      </c>
    </row>
    <row r="3" spans="1:27" x14ac:dyDescent="0.2">
      <c r="B3" s="7" t="s">
        <v>400</v>
      </c>
      <c r="C3" s="7" t="s">
        <v>403</v>
      </c>
      <c r="D3" s="7">
        <v>0</v>
      </c>
      <c r="E3" s="34">
        <f>IFERROR(INDEX(FactorVals,MATCH($B$3&amp;"|"&amp;$C$3&amp;"||",FactorKeys,0)),0)</f>
        <v>0.5</v>
      </c>
      <c r="F3" s="34">
        <f>IFERROR(INDEX(FactorVals,MATCH($B$3&amp;"|"&amp;$C$3&amp;"||limit",FactorKeys,0)),0)</f>
        <v>0.2</v>
      </c>
      <c r="G3" s="34">
        <f>IFERROR(INDEX(FactorVals,MATCH($B$3&amp;"|||inflation",FactorKeys,0)),0)</f>
        <v>0</v>
      </c>
    </row>
    <row r="4" spans="1:27" x14ac:dyDescent="0.2">
      <c r="B4" s="14" t="s">
        <v>334</v>
      </c>
      <c r="C4" s="14" t="s">
        <v>335</v>
      </c>
      <c r="E4" s="14" t="s">
        <v>341</v>
      </c>
    </row>
    <row r="5" spans="1:27" x14ac:dyDescent="0.2">
      <c r="A5" s="10" t="s">
        <v>185</v>
      </c>
      <c r="B5" s="10" t="s">
        <v>342</v>
      </c>
      <c r="C5" s="10" t="s">
        <v>343</v>
      </c>
      <c r="D5" s="10" t="s">
        <v>344</v>
      </c>
      <c r="E5" s="10" t="s">
        <v>345</v>
      </c>
      <c r="F5" s="10" t="s">
        <v>346</v>
      </c>
      <c r="G5" s="10" t="s">
        <v>347</v>
      </c>
      <c r="H5" s="10" t="s">
        <v>348</v>
      </c>
      <c r="I5" s="10" t="s">
        <v>349</v>
      </c>
      <c r="J5" s="10" t="s">
        <v>350</v>
      </c>
      <c r="K5" s="10" t="s">
        <v>351</v>
      </c>
      <c r="L5" s="10" t="s">
        <v>352</v>
      </c>
      <c r="M5" s="10" t="s">
        <v>353</v>
      </c>
      <c r="N5" s="10" t="s">
        <v>354</v>
      </c>
      <c r="O5" s="10" t="s">
        <v>355</v>
      </c>
      <c r="P5" s="10" t="s">
        <v>356</v>
      </c>
      <c r="Q5" s="10" t="s">
        <v>357</v>
      </c>
      <c r="R5" s="10" t="s">
        <v>358</v>
      </c>
      <c r="S5" s="10" t="s">
        <v>359</v>
      </c>
      <c r="T5" s="10" t="s">
        <v>360</v>
      </c>
      <c r="U5" s="10" t="s">
        <v>361</v>
      </c>
      <c r="V5" s="10" t="s">
        <v>362</v>
      </c>
      <c r="W5" s="10" t="s">
        <v>363</v>
      </c>
      <c r="X5" s="10" t="s">
        <v>364</v>
      </c>
      <c r="Y5" s="10" t="s">
        <v>365</v>
      </c>
      <c r="Z5" s="10" t="s">
        <v>366</v>
      </c>
      <c r="AA5" s="10" t="s">
        <v>367</v>
      </c>
    </row>
    <row r="6" spans="1:27" x14ac:dyDescent="0.2">
      <c r="A6" s="14" t="s">
        <v>185</v>
      </c>
      <c r="B6" s="14" t="s">
        <v>368</v>
      </c>
      <c r="C6" s="14" t="s">
        <v>369</v>
      </c>
      <c r="D6" s="14" t="s">
        <v>327</v>
      </c>
      <c r="E6" s="14" t="s">
        <v>370</v>
      </c>
      <c r="F6" s="14" t="s">
        <v>371</v>
      </c>
      <c r="G6" s="14" t="s">
        <v>372</v>
      </c>
      <c r="H6" s="14" t="s">
        <v>373</v>
      </c>
      <c r="I6" s="14" t="s">
        <v>374</v>
      </c>
      <c r="J6" s="14" t="s">
        <v>375</v>
      </c>
      <c r="K6" s="14" t="s">
        <v>376</v>
      </c>
      <c r="L6" s="14" t="s">
        <v>377</v>
      </c>
      <c r="M6" s="14" t="s">
        <v>378</v>
      </c>
      <c r="N6" s="14" t="s">
        <v>379</v>
      </c>
      <c r="O6" s="14" t="s">
        <v>380</v>
      </c>
      <c r="P6" s="14" t="s">
        <v>381</v>
      </c>
      <c r="Q6" s="14" t="s">
        <v>382</v>
      </c>
      <c r="R6" s="14" t="s">
        <v>383</v>
      </c>
      <c r="S6" s="14" t="s">
        <v>384</v>
      </c>
      <c r="T6" s="14" t="s">
        <v>385</v>
      </c>
      <c r="U6" s="14" t="s">
        <v>386</v>
      </c>
      <c r="V6" s="14" t="s">
        <v>387</v>
      </c>
      <c r="W6" s="14" t="s">
        <v>388</v>
      </c>
      <c r="X6" s="14" t="s">
        <v>389</v>
      </c>
      <c r="Y6" s="14" t="s">
        <v>390</v>
      </c>
      <c r="Z6" s="14" t="s">
        <v>391</v>
      </c>
      <c r="AA6" s="14" t="s">
        <v>392</v>
      </c>
    </row>
    <row r="7" spans="1:27" x14ac:dyDescent="0.2">
      <c r="A7" s="30">
        <v>0</v>
      </c>
      <c r="B7" s="40">
        <f>1</f>
        <v>1</v>
      </c>
      <c r="C7" s="31">
        <f>IF($A7&gt;LastT,0,IF(AND($D$3&lt;&gt;0,$A7&gt;=T0,Policy_Sched!$B7&lt;LastAge),1+$D$3*$E$3,1))</f>
        <v>1</v>
      </c>
      <c r="D7" s="36">
        <f>IF($A7&gt;LastT,0,IF($C$3="up",MIN(Policy_Sched!$E7*(1+IF($A7&gt;=T0,$E$3,0)),$F$3),IF($C$3="down",MAX(Policy_Sched!$E7*(1-IF($A7&gt;=T0,$E$3,0)),Policy_Sched!$E7-$F$3),Policy_Sched!$E7)))</f>
        <v>0.04</v>
      </c>
      <c r="E7" s="41">
        <f>0</f>
        <v>0</v>
      </c>
      <c r="F7" s="37">
        <f t="shared" ref="F7:F38" si="0">IF($A7&gt;LastT,0,IF($A7=PolicyTerm,E7,0))</f>
        <v>0</v>
      </c>
      <c r="G7" s="37">
        <f t="shared" ref="G7:G38" si="1">IF($A7&gt;LastT,0,E7-F7)</f>
        <v>0</v>
      </c>
      <c r="H7" s="37">
        <f t="shared" ref="H7:H38" si="2">IF($A7=0,PolicyCount,0)</f>
        <v>1</v>
      </c>
      <c r="I7" s="37">
        <f t="shared" ref="I7:I38" si="3">IF($A7&gt;LastT,0,IF(AND($C$3="mass",$A7=T0),(G7+H7)*$E$3,0))</f>
        <v>0</v>
      </c>
      <c r="J7" s="37">
        <f t="shared" ref="J7:J38" si="4">IF($A7&gt;LastT,0,G7+H7-I7)</f>
        <v>1</v>
      </c>
      <c r="K7" s="37">
        <f>IF($A7&gt;LastT,0,J7*Policy_Sched!$C7*Policy_Sched!$D7*C7)</f>
        <v>5.3899999999999998E-4</v>
      </c>
      <c r="L7" s="41">
        <f t="shared" ref="L7:L38" si="5">J7*D7</f>
        <v>0.04</v>
      </c>
      <c r="M7" s="38">
        <f t="shared" ref="M7:M38" si="6">IF($A7&gt;LastT,0,(SizeAnnPrem*ExpsMaintAnnPrem+(SumAssured*ExpsMaintSA+ExpsMaintPol)*B7)*(1+IF($B$3="exps",$E$3,0)))</f>
        <v>1035.7416990934148</v>
      </c>
      <c r="N7" s="38">
        <f t="shared" ref="N7:N38" si="7">SizePremium*J7</f>
        <v>3574.1699093414809</v>
      </c>
      <c r="O7" s="38">
        <f t="shared" ref="O7:O38" si="8">SumAssured*K7</f>
        <v>539</v>
      </c>
      <c r="P7" s="38">
        <f>Policy_Sched!$I7*(L7+I7)</f>
        <v>8.9493882806024043</v>
      </c>
      <c r="Q7" s="42">
        <f t="shared" ref="Q7:Q38" si="9">O7+P7</f>
        <v>547.94938828060242</v>
      </c>
      <c r="R7" s="38">
        <f t="shared" ref="R7:R38" si="10">IF($A7=0,SizeExpsAcq0*H7,0)</f>
        <v>3357.4169909341481</v>
      </c>
      <c r="S7" s="38">
        <f t="shared" ref="S7:S38" si="11">IF($A7=0,SizeExpsCommInit0*J7,0)</f>
        <v>714.83398186829618</v>
      </c>
      <c r="T7" s="38">
        <f>Policy_Sched!$J7*J7</f>
        <v>0</v>
      </c>
      <c r="U7" s="42">
        <f t="shared" ref="U7:U38" si="12">M7*J7</f>
        <v>1035.7416990934148</v>
      </c>
      <c r="V7" s="42">
        <f t="shared" ref="V7:V38" si="13">S7+T7+R7+U7</f>
        <v>5107.9926718958595</v>
      </c>
      <c r="W7" s="38">
        <f>IF($A7&gt;LastT,0,N7+W8/(1+Policy_Sched!$K7))</f>
        <v>37198.500163899451</v>
      </c>
      <c r="X7" s="38">
        <f>IF($A7&gt;LastT,0,(-Q7+X8)/(1+Policy_Sched!$K7))</f>
        <v>-9043.6782822158621</v>
      </c>
      <c r="Y7" s="38">
        <f>IF($A7&gt;LastT,0,-V7+Y8/(1+Policy_Sched!$K7))</f>
        <v>-15474.025460022485</v>
      </c>
      <c r="Z7" s="42">
        <f t="shared" ref="Z7:Z38" si="14">W7+Y7+X7</f>
        <v>12680.796421661102</v>
      </c>
      <c r="AA7" s="38">
        <f>IF($A7&gt;LastT,0,N7-V7-Q7/(1+Policy_Sched!$K7)+Z8/(1+Policy_Sched!$K7))</f>
        <v>12680.796421661105</v>
      </c>
    </row>
    <row r="8" spans="1:27" x14ac:dyDescent="0.2">
      <c r="A8" s="30">
        <f t="shared" ref="A8:A39" si="15">A7+1</f>
        <v>1</v>
      </c>
      <c r="B8" s="31">
        <f t="shared" ref="B8:B39" si="16">IF($A8&gt;LastT,0,IF($B$3="exps",B7*(1+InflRate+IF($A8&gt;=T0,$G$3,0)),B7/(1+InflRate)))</f>
        <v>1</v>
      </c>
      <c r="C8" s="31">
        <f>IF($A8&gt;LastT,0,IF(AND($D$3&lt;&gt;0,$A8&gt;=T0,Policy_Sched!$B8&lt;LastAge),1+$D$3*$E$3,1))</f>
        <v>1</v>
      </c>
      <c r="D8" s="36">
        <f>IF($A8&gt;LastT,0,IF($C$3="up",MIN(Policy_Sched!$E8*(1+IF($A8&gt;=T0,$E$3,0)),$F$3),IF($C$3="down",MAX(Policy_Sched!$E8*(1-IF($A8&gt;=T0,$E$3,0)),Policy_Sched!$E8-$F$3),Policy_Sched!$E8)))</f>
        <v>0.04</v>
      </c>
      <c r="E8" s="37">
        <f t="shared" ref="E8:E39" si="17">IF($A8&gt;LastT,0,J7-K7-L7)</f>
        <v>0.95946100000000001</v>
      </c>
      <c r="F8" s="37">
        <f t="shared" si="0"/>
        <v>0</v>
      </c>
      <c r="G8" s="37">
        <f t="shared" si="1"/>
        <v>0.95946100000000001</v>
      </c>
      <c r="H8" s="37">
        <f t="shared" si="2"/>
        <v>0</v>
      </c>
      <c r="I8" s="37">
        <f t="shared" si="3"/>
        <v>0</v>
      </c>
      <c r="J8" s="37">
        <f t="shared" si="4"/>
        <v>0.95946100000000001</v>
      </c>
      <c r="K8" s="37">
        <f>IF($A8&gt;LastT,0,J8*Policy_Sched!$C8*Policy_Sched!$D8*C8)</f>
        <v>5.5073061399999997E-4</v>
      </c>
      <c r="L8" s="41">
        <f t="shared" si="5"/>
        <v>3.837844E-2</v>
      </c>
      <c r="M8" s="38">
        <f t="shared" si="6"/>
        <v>1035.7416990934148</v>
      </c>
      <c r="N8" s="38">
        <f t="shared" si="7"/>
        <v>3429.2766353866868</v>
      </c>
      <c r="O8" s="38">
        <f t="shared" si="8"/>
        <v>550.73061399999995</v>
      </c>
      <c r="P8" s="38">
        <f>Policy_Sched!$I8*(L8+I8)</f>
        <v>25.050506932292567</v>
      </c>
      <c r="Q8" s="42">
        <f t="shared" si="9"/>
        <v>575.78112093229254</v>
      </c>
      <c r="R8" s="38">
        <f t="shared" si="10"/>
        <v>0</v>
      </c>
      <c r="S8" s="38">
        <f t="shared" si="11"/>
        <v>0</v>
      </c>
      <c r="T8" s="38">
        <f>Policy_Sched!$J8*J8</f>
        <v>171.46383176933432</v>
      </c>
      <c r="U8" s="42">
        <f t="shared" si="12"/>
        <v>993.75376635386692</v>
      </c>
      <c r="V8" s="42">
        <f t="shared" si="13"/>
        <v>1165.2175981232012</v>
      </c>
      <c r="W8" s="38">
        <f>IF($A8&gt;LastT,0,N8+W9/(1+Policy_Sched!$K8))</f>
        <v>34128.695208376339</v>
      </c>
      <c r="X8" s="38">
        <f>IF($A8&gt;LastT,0,(-Q8+X9)/(1+Policy_Sched!$K8))</f>
        <v>-8631.3840681684978</v>
      </c>
      <c r="Y8" s="38">
        <f>IF($A8&gt;LastT,0,-V8+Y9/(1+Policy_Sched!$K8))</f>
        <v>-10521.523279948524</v>
      </c>
      <c r="Z8" s="42">
        <f t="shared" si="14"/>
        <v>14975.787860259317</v>
      </c>
      <c r="AA8" s="38">
        <f>IF($A8&gt;LastT,0,N8-V8-Q8/(1+Policy_Sched!$K8)+Z9/(1+Policy_Sched!$K8))</f>
        <v>14975.787860259312</v>
      </c>
    </row>
    <row r="9" spans="1:27" x14ac:dyDescent="0.2">
      <c r="A9" s="30">
        <f t="shared" si="15"/>
        <v>2</v>
      </c>
      <c r="B9" s="31">
        <f t="shared" si="16"/>
        <v>1</v>
      </c>
      <c r="C9" s="31">
        <f>IF($A9&gt;LastT,0,IF(AND($D$3&lt;&gt;0,$A9&gt;=T0,Policy_Sched!$B9&lt;LastAge),1+$D$3*$E$3,1))</f>
        <v>1</v>
      </c>
      <c r="D9" s="36">
        <f>IF($A9&gt;LastT,0,IF($C$3="up",MIN(Policy_Sched!$E9*(1+IF($A9&gt;=T0,$E$3,0)),$F$3),IF($C$3="down",MAX(Policy_Sched!$E9*(1-IF($A9&gt;=T0,$E$3,0)),Policy_Sched!$E9-$F$3),Policy_Sched!$E9)))</f>
        <v>0.04</v>
      </c>
      <c r="E9" s="37">
        <f t="shared" si="17"/>
        <v>0.92053182938599998</v>
      </c>
      <c r="F9" s="37">
        <f t="shared" si="0"/>
        <v>0</v>
      </c>
      <c r="G9" s="37">
        <f t="shared" si="1"/>
        <v>0.92053182938599998</v>
      </c>
      <c r="H9" s="37">
        <f t="shared" si="2"/>
        <v>0</v>
      </c>
      <c r="I9" s="37">
        <f t="shared" si="3"/>
        <v>0</v>
      </c>
      <c r="J9" s="37">
        <f t="shared" si="4"/>
        <v>0.92053182938599998</v>
      </c>
      <c r="K9" s="37">
        <f>IF($A9&gt;LastT,0,J9*Policy_Sched!$C9*Policy_Sched!$D9*C9)</f>
        <v>5.670476069017759E-4</v>
      </c>
      <c r="L9" s="41">
        <f t="shared" si="5"/>
        <v>3.6821273175439997E-2</v>
      </c>
      <c r="M9" s="38">
        <f t="shared" si="6"/>
        <v>1035.7416990934148</v>
      </c>
      <c r="N9" s="38">
        <f t="shared" si="7"/>
        <v>3290.137165182507</v>
      </c>
      <c r="O9" s="38">
        <f t="shared" si="8"/>
        <v>567.04760690177591</v>
      </c>
      <c r="P9" s="38">
        <f>Policy_Sched!$I9*(L9+I9)</f>
        <v>38.261999537549258</v>
      </c>
      <c r="Q9" s="42">
        <f t="shared" si="9"/>
        <v>605.30960643932519</v>
      </c>
      <c r="R9" s="38">
        <f t="shared" si="10"/>
        <v>0</v>
      </c>
      <c r="S9" s="38">
        <f t="shared" si="11"/>
        <v>0</v>
      </c>
      <c r="T9" s="38">
        <f>Policy_Sched!$J9*J9</f>
        <v>164.50685825912535</v>
      </c>
      <c r="U9" s="42">
        <f t="shared" si="12"/>
        <v>953.43320103782503</v>
      </c>
      <c r="V9" s="42">
        <f t="shared" si="13"/>
        <v>1117.9400592969505</v>
      </c>
      <c r="W9" s="38">
        <f>IF($A9&gt;LastT,0,N9+W10/(1+Policy_Sched!$K9))</f>
        <v>31159.909851584489</v>
      </c>
      <c r="X9" s="38">
        <f>IF($A9&gt;LastT,0,(-Q9+X10)/(1+Policy_Sched!$K9))</f>
        <v>-8185.073708258732</v>
      </c>
      <c r="Y9" s="38">
        <f>IF($A9&gt;LastT,0,-V9+Y10/(1+Policy_Sched!$K9))</f>
        <v>-9496.6502670527007</v>
      </c>
      <c r="Z9" s="42">
        <f t="shared" si="14"/>
        <v>13478.185876273055</v>
      </c>
      <c r="AA9" s="38">
        <f>IF($A9&gt;LastT,0,N9-V9-Q9/(1+Policy_Sched!$K9)+Z10/(1+Policy_Sched!$K9))</f>
        <v>13478.185876273059</v>
      </c>
    </row>
    <row r="10" spans="1:27" x14ac:dyDescent="0.2">
      <c r="A10" s="30">
        <f t="shared" si="15"/>
        <v>3</v>
      </c>
      <c r="B10" s="31">
        <f t="shared" si="16"/>
        <v>1</v>
      </c>
      <c r="C10" s="31">
        <f>IF($A10&gt;LastT,0,IF(AND($D$3&lt;&gt;0,$A10&gt;=T0,Policy_Sched!$B10&lt;LastAge),1+$D$3*$E$3,1))</f>
        <v>1</v>
      </c>
      <c r="D10" s="36">
        <f>IF($A10&gt;LastT,0,IF($C$3="up",MIN(Policy_Sched!$E10*(1+IF($A10&gt;=T0,$E$3,0)),$F$3),IF($C$3="down",MAX(Policy_Sched!$E10*(1-IF($A10&gt;=T0,$E$3,0)),Policy_Sched!$E10-$F$3),Policy_Sched!$E10)))</f>
        <v>0.04</v>
      </c>
      <c r="E10" s="37">
        <f t="shared" si="17"/>
        <v>0.8831435086036582</v>
      </c>
      <c r="F10" s="37">
        <f t="shared" si="0"/>
        <v>0</v>
      </c>
      <c r="G10" s="37">
        <f t="shared" si="1"/>
        <v>0.8831435086036582</v>
      </c>
      <c r="H10" s="37">
        <f t="shared" si="2"/>
        <v>0</v>
      </c>
      <c r="I10" s="37">
        <f t="shared" si="3"/>
        <v>0</v>
      </c>
      <c r="J10" s="37">
        <f t="shared" si="4"/>
        <v>0.8831435086036582</v>
      </c>
      <c r="K10" s="37">
        <f>IF($A10&gt;LastT,0,J10*Policy_Sched!$C10*Policy_Sched!$D10*C10)</f>
        <v>5.6874441954075591E-4</v>
      </c>
      <c r="L10" s="41">
        <f t="shared" si="5"/>
        <v>3.5325740344146331E-2</v>
      </c>
      <c r="M10" s="38">
        <f t="shared" si="6"/>
        <v>1035.7416990934148</v>
      </c>
      <c r="N10" s="38">
        <f t="shared" si="7"/>
        <v>3156.5049540814543</v>
      </c>
      <c r="O10" s="38">
        <f t="shared" si="8"/>
        <v>568.74441954075587</v>
      </c>
      <c r="P10" s="38">
        <f>Policy_Sched!$I10*(L10+I10)</f>
        <v>48.987689589682738</v>
      </c>
      <c r="Q10" s="42">
        <f t="shared" si="9"/>
        <v>617.73210913043863</v>
      </c>
      <c r="R10" s="38">
        <f t="shared" si="10"/>
        <v>0</v>
      </c>
      <c r="S10" s="38">
        <f t="shared" si="11"/>
        <v>0</v>
      </c>
      <c r="T10" s="38">
        <f>Policy_Sched!$J10*J10</f>
        <v>157.82524770407272</v>
      </c>
      <c r="U10" s="42">
        <f t="shared" si="12"/>
        <v>914.7085581444727</v>
      </c>
      <c r="V10" s="42">
        <f t="shared" si="13"/>
        <v>1072.5338058485454</v>
      </c>
      <c r="W10" s="38">
        <f>IF($A10&gt;LastT,0,N10+W11/(1+Policy_Sched!$K10))</f>
        <v>28287.81927669801</v>
      </c>
      <c r="X10" s="38">
        <f>IF($A10&gt;LastT,0,(-Q10+X11)/(1+Policy_Sched!$K10))</f>
        <v>-7702.5402074432877</v>
      </c>
      <c r="Y10" s="38">
        <f>IF($A10&gt;LastT,0,-V10+Y11/(1+Policy_Sched!$K10))</f>
        <v>-8504.3908608720849</v>
      </c>
      <c r="Z10" s="42">
        <f t="shared" si="14"/>
        <v>12080.888208382637</v>
      </c>
      <c r="AA10" s="38">
        <f>IF($A10&gt;LastT,0,N10-V10-Q10/(1+Policy_Sched!$K10)+Z11/(1+Policy_Sched!$K10))</f>
        <v>12080.888208382637</v>
      </c>
    </row>
    <row r="11" spans="1:27" x14ac:dyDescent="0.2">
      <c r="A11" s="30">
        <f t="shared" si="15"/>
        <v>4</v>
      </c>
      <c r="B11" s="31">
        <f t="shared" si="16"/>
        <v>1</v>
      </c>
      <c r="C11" s="31">
        <f>IF($A11&gt;LastT,0,IF(AND($D$3&lt;&gt;0,$A11&gt;=T0,Policy_Sched!$B11&lt;LastAge),1+$D$3*$E$3,1))</f>
        <v>1</v>
      </c>
      <c r="D11" s="36">
        <f>IF($A11&gt;LastT,0,IF($C$3="up",MIN(Policy_Sched!$E11*(1+IF($A11&gt;=T0,$E$3,0)),$F$3),IF($C$3="down",MAX(Policy_Sched!$E11*(1-IF($A11&gt;=T0,$E$3,0)),Policy_Sched!$E11-$F$3),Policy_Sched!$E11)))</f>
        <v>0.04</v>
      </c>
      <c r="E11" s="37">
        <f t="shared" si="17"/>
        <v>0.84724902383997103</v>
      </c>
      <c r="F11" s="37">
        <f t="shared" si="0"/>
        <v>0</v>
      </c>
      <c r="G11" s="37">
        <f t="shared" si="1"/>
        <v>0.84724902383997103</v>
      </c>
      <c r="H11" s="37">
        <f t="shared" si="2"/>
        <v>0</v>
      </c>
      <c r="I11" s="37">
        <f t="shared" si="3"/>
        <v>0</v>
      </c>
      <c r="J11" s="37">
        <f t="shared" si="4"/>
        <v>0.84724902383997103</v>
      </c>
      <c r="K11" s="37">
        <f>IF($A11&gt;LastT,0,J11*Policy_Sched!$C11*Policy_Sched!$D11*C11)</f>
        <v>5.6342060085358067E-4</v>
      </c>
      <c r="L11" s="41">
        <f t="shared" si="5"/>
        <v>3.3889960953598842E-2</v>
      </c>
      <c r="M11" s="38">
        <f t="shared" si="6"/>
        <v>1035.7416990934148</v>
      </c>
      <c r="N11" s="38">
        <f t="shared" si="7"/>
        <v>3028.2119667277675</v>
      </c>
      <c r="O11" s="38">
        <f t="shared" si="8"/>
        <v>563.42060085358071</v>
      </c>
      <c r="P11" s="38">
        <f>Policy_Sched!$I11*(L11+I11)</f>
        <v>57.938727914977271</v>
      </c>
      <c r="Q11" s="42">
        <f t="shared" si="9"/>
        <v>621.35932876855793</v>
      </c>
      <c r="R11" s="38">
        <f t="shared" si="10"/>
        <v>0</v>
      </c>
      <c r="S11" s="38">
        <f t="shared" si="11"/>
        <v>0</v>
      </c>
      <c r="T11" s="38">
        <f>Policy_Sched!$J11*J11</f>
        <v>151.41059833638838</v>
      </c>
      <c r="U11" s="42">
        <f t="shared" si="12"/>
        <v>877.53114350724866</v>
      </c>
      <c r="V11" s="42">
        <f t="shared" si="13"/>
        <v>1028.9417418436369</v>
      </c>
      <c r="W11" s="38">
        <f>IF($A11&gt;LastT,0,N11+W12/(1+Policy_Sched!$K11))</f>
        <v>25508.2840374558</v>
      </c>
      <c r="X11" s="38">
        <f>IF($A11&gt;LastT,0,(-Q11+X12)/(1+Policy_Sched!$K11))</f>
        <v>-7200.3462014244978</v>
      </c>
      <c r="Y11" s="38">
        <f>IF($A11&gt;LastT,0,-V11+Y12/(1+Policy_Sched!$K11))</f>
        <v>-7543.334910848891</v>
      </c>
      <c r="Z11" s="42">
        <f t="shared" si="14"/>
        <v>10764.602925182411</v>
      </c>
      <c r="AA11" s="38">
        <f>IF($A11&gt;LastT,0,N11-V11-Q11/(1+Policy_Sched!$K11)+Z12/(1+Policy_Sched!$K11))</f>
        <v>10764.602925182409</v>
      </c>
    </row>
    <row r="12" spans="1:27" x14ac:dyDescent="0.2">
      <c r="A12" s="30">
        <f t="shared" si="15"/>
        <v>5</v>
      </c>
      <c r="B12" s="31">
        <f t="shared" si="16"/>
        <v>1</v>
      </c>
      <c r="C12" s="31">
        <f>IF($A12&gt;LastT,0,IF(AND($D$3&lt;&gt;0,$A12&gt;=T0,Policy_Sched!$B12&lt;LastAge),1+$D$3*$E$3,1))</f>
        <v>1</v>
      </c>
      <c r="D12" s="36">
        <f>IF($A12&gt;LastT,0,IF($C$3="up",MIN(Policy_Sched!$E12*(1+IF($A12&gt;=T0,$E$3,0)),$F$3),IF($C$3="down",MAX(Policy_Sched!$E12*(1-IF($A12&gt;=T0,$E$3,0)),Policy_Sched!$E12-$F$3),Policy_Sched!$E12)))</f>
        <v>0.04</v>
      </c>
      <c r="E12" s="37">
        <f t="shared" si="17"/>
        <v>0.81279564228551859</v>
      </c>
      <c r="F12" s="37">
        <f t="shared" si="0"/>
        <v>0</v>
      </c>
      <c r="G12" s="37">
        <f t="shared" si="1"/>
        <v>0.81279564228551859</v>
      </c>
      <c r="H12" s="37">
        <f t="shared" si="2"/>
        <v>0</v>
      </c>
      <c r="I12" s="37">
        <f t="shared" si="3"/>
        <v>0</v>
      </c>
      <c r="J12" s="37">
        <f t="shared" si="4"/>
        <v>0.81279564228551859</v>
      </c>
      <c r="K12" s="37">
        <f>IF($A12&gt;LastT,0,J12*Policy_Sched!$C12*Policy_Sched!$D12*C12)</f>
        <v>5.632673801038644E-4</v>
      </c>
      <c r="L12" s="41">
        <f t="shared" si="5"/>
        <v>3.2511825691420741E-2</v>
      </c>
      <c r="M12" s="38">
        <f t="shared" si="6"/>
        <v>1035.7416990934148</v>
      </c>
      <c r="N12" s="38">
        <f t="shared" si="7"/>
        <v>2905.0697271007825</v>
      </c>
      <c r="O12" s="38">
        <f t="shared" si="8"/>
        <v>563.26738010386441</v>
      </c>
      <c r="P12" s="38">
        <f>Policy_Sched!$I12*(L12+I12)</f>
        <v>65.251180068504098</v>
      </c>
      <c r="Q12" s="42">
        <f t="shared" si="9"/>
        <v>628.51856017236855</v>
      </c>
      <c r="R12" s="38">
        <f t="shared" si="10"/>
        <v>0</v>
      </c>
      <c r="S12" s="38">
        <f t="shared" si="11"/>
        <v>0</v>
      </c>
      <c r="T12" s="38">
        <f>Policy_Sched!$J12*J12</f>
        <v>0</v>
      </c>
      <c r="U12" s="42">
        <f t="shared" si="12"/>
        <v>841.84633955652646</v>
      </c>
      <c r="V12" s="42">
        <f t="shared" si="13"/>
        <v>841.84633955652646</v>
      </c>
      <c r="W12" s="38">
        <f>IF($A12&gt;LastT,0,N12+W13/(1+Policy_Sched!$K12))</f>
        <v>22817.273151788948</v>
      </c>
      <c r="X12" s="38">
        <f>IF($A12&gt;LastT,0,(-Q12+X13)/(1+Policy_Sched!$K12))</f>
        <v>-6686.9920656773065</v>
      </c>
      <c r="Y12" s="38">
        <f>IF($A12&gt;LastT,0,-V12+Y13/(1+Policy_Sched!$K12))</f>
        <v>-6612.1090665403326</v>
      </c>
      <c r="Z12" s="42">
        <f t="shared" si="14"/>
        <v>9518.1720195713096</v>
      </c>
      <c r="AA12" s="38">
        <f>IF($A12&gt;LastT,0,N12-V12-Q12/(1+Policy_Sched!$K12)+Z13/(1+Policy_Sched!$K12))</f>
        <v>9518.1720195713096</v>
      </c>
    </row>
    <row r="13" spans="1:27" x14ac:dyDescent="0.2">
      <c r="A13" s="30">
        <f t="shared" si="15"/>
        <v>6</v>
      </c>
      <c r="B13" s="31">
        <f t="shared" si="16"/>
        <v>1</v>
      </c>
      <c r="C13" s="31">
        <f>IF($A13&gt;LastT,0,IF(AND($D$3&lt;&gt;0,$A13&gt;=T0,Policy_Sched!$B13&lt;LastAge),1+$D$3*$E$3,1))</f>
        <v>1</v>
      </c>
      <c r="D13" s="36">
        <f>IF($A13&gt;LastT,0,IF($C$3="up",MIN(Policy_Sched!$E13*(1+IF($A13&gt;=T0,$E$3,0)),$F$3),IF($C$3="down",MAX(Policy_Sched!$E13*(1-IF($A13&gt;=T0,$E$3,0)),Policy_Sched!$E13-$F$3),Policy_Sched!$E13)))</f>
        <v>0.04</v>
      </c>
      <c r="E13" s="37">
        <f t="shared" si="17"/>
        <v>0.77972054921399403</v>
      </c>
      <c r="F13" s="37">
        <f t="shared" si="0"/>
        <v>0</v>
      </c>
      <c r="G13" s="37">
        <f t="shared" si="1"/>
        <v>0.77972054921399403</v>
      </c>
      <c r="H13" s="37">
        <f t="shared" si="2"/>
        <v>0</v>
      </c>
      <c r="I13" s="37">
        <f t="shared" si="3"/>
        <v>0</v>
      </c>
      <c r="J13" s="37">
        <f t="shared" si="4"/>
        <v>0.77972054921399403</v>
      </c>
      <c r="K13" s="37">
        <f>IF($A13&gt;LastT,0,J13*Policy_Sched!$C13*Policy_Sched!$D13*C13)</f>
        <v>5.7309460367228557E-4</v>
      </c>
      <c r="L13" s="41">
        <f t="shared" si="5"/>
        <v>3.1188821968559762E-2</v>
      </c>
      <c r="M13" s="38">
        <f t="shared" si="6"/>
        <v>1035.7416990934148</v>
      </c>
      <c r="N13" s="38">
        <f t="shared" si="7"/>
        <v>2786.8537246958708</v>
      </c>
      <c r="O13" s="38">
        <f t="shared" si="8"/>
        <v>573.09460367228553</v>
      </c>
      <c r="P13" s="38">
        <f>Policy_Sched!$I13*(L13+I13)</f>
        <v>70.577886638895407</v>
      </c>
      <c r="Q13" s="42">
        <f t="shared" si="9"/>
        <v>643.67249031118092</v>
      </c>
      <c r="R13" s="38">
        <f t="shared" si="10"/>
        <v>0</v>
      </c>
      <c r="S13" s="38">
        <f t="shared" si="11"/>
        <v>0</v>
      </c>
      <c r="T13" s="38">
        <f>Policy_Sched!$J13*J13</f>
        <v>0</v>
      </c>
      <c r="U13" s="42">
        <f t="shared" si="12"/>
        <v>807.58908646095279</v>
      </c>
      <c r="V13" s="42">
        <f t="shared" si="13"/>
        <v>807.58908646095279</v>
      </c>
      <c r="W13" s="38">
        <f>IF($A13&gt;LastT,0,N13+W14/(1+Policy_Sched!$K13))</f>
        <v>20210.886476058487</v>
      </c>
      <c r="X13" s="38">
        <f>IF($A13&gt;LastT,0,(-Q13+X14)/(1+Policy_Sched!$K13))</f>
        <v>-6158.7783864900966</v>
      </c>
      <c r="Y13" s="38">
        <f>IF($A13&gt;LastT,0,-V13+Y14/(1+Policy_Sched!$K13))</f>
        <v>-5856.8166678885627</v>
      </c>
      <c r="Z13" s="42">
        <f t="shared" si="14"/>
        <v>8195.2914216798272</v>
      </c>
      <c r="AA13" s="38">
        <f>IF($A13&gt;LastT,0,N13-V13-Q13/(1+Policy_Sched!$K13)+Z14/(1+Policy_Sched!$K13))</f>
        <v>8195.2914216798254</v>
      </c>
    </row>
    <row r="14" spans="1:27" x14ac:dyDescent="0.2">
      <c r="A14" s="30">
        <f t="shared" si="15"/>
        <v>7</v>
      </c>
      <c r="B14" s="31">
        <f t="shared" si="16"/>
        <v>1</v>
      </c>
      <c r="C14" s="31">
        <f>IF($A14&gt;LastT,0,IF(AND($D$3&lt;&gt;0,$A14&gt;=T0,Policy_Sched!$B14&lt;LastAge),1+$D$3*$E$3,1))</f>
        <v>1</v>
      </c>
      <c r="D14" s="36">
        <f>IF($A14&gt;LastT,0,IF($C$3="up",MIN(Policy_Sched!$E14*(1+IF($A14&gt;=T0,$E$3,0)),$F$3),IF($C$3="down",MAX(Policy_Sched!$E14*(1-IF($A14&gt;=T0,$E$3,0)),Policy_Sched!$E14-$F$3),Policy_Sched!$E14)))</f>
        <v>0.04</v>
      </c>
      <c r="E14" s="37">
        <f t="shared" si="17"/>
        <v>0.74795863264176199</v>
      </c>
      <c r="F14" s="37">
        <f t="shared" si="0"/>
        <v>0</v>
      </c>
      <c r="G14" s="37">
        <f t="shared" si="1"/>
        <v>0.74795863264176199</v>
      </c>
      <c r="H14" s="37">
        <f t="shared" si="2"/>
        <v>0</v>
      </c>
      <c r="I14" s="37">
        <f t="shared" si="3"/>
        <v>0</v>
      </c>
      <c r="J14" s="37">
        <f t="shared" si="4"/>
        <v>0.74795863264176199</v>
      </c>
      <c r="K14" s="37">
        <f>IF($A14&gt;LastT,0,J14*Policy_Sched!$C14*Policy_Sched!$D14*C14)</f>
        <v>5.9687098884812599E-4</v>
      </c>
      <c r="L14" s="41">
        <f t="shared" si="5"/>
        <v>2.9918345305670481E-2</v>
      </c>
      <c r="M14" s="38">
        <f t="shared" si="6"/>
        <v>1035.7416990934148</v>
      </c>
      <c r="N14" s="38">
        <f t="shared" si="7"/>
        <v>2673.3312382203844</v>
      </c>
      <c r="O14" s="38">
        <f t="shared" si="8"/>
        <v>596.87098884812599</v>
      </c>
      <c r="P14" s="38">
        <f>Policy_Sched!$I14*(L14+I14)</f>
        <v>73.323370234728017</v>
      </c>
      <c r="Q14" s="42">
        <f t="shared" si="9"/>
        <v>670.19435908285402</v>
      </c>
      <c r="R14" s="38">
        <f t="shared" si="10"/>
        <v>0</v>
      </c>
      <c r="S14" s="38">
        <f t="shared" si="11"/>
        <v>0</v>
      </c>
      <c r="T14" s="38">
        <f>Policy_Sched!$J14*J14</f>
        <v>0</v>
      </c>
      <c r="U14" s="42">
        <f t="shared" si="12"/>
        <v>774.69194502396579</v>
      </c>
      <c r="V14" s="42">
        <f t="shared" si="13"/>
        <v>774.69194502396579</v>
      </c>
      <c r="W14" s="38">
        <f>IF($A14&gt;LastT,0,N14+W15/(1+Policy_Sched!$K14))</f>
        <v>17685.393242633054</v>
      </c>
      <c r="X14" s="38">
        <f>IF($A14&gt;LastT,0,(-Q14+X15)/(1+Policy_Sched!$K14))</f>
        <v>-5607.4875719762667</v>
      </c>
      <c r="Y14" s="38">
        <f>IF($A14&gt;LastT,0,-V14+Y15/(1+Policy_Sched!$K14))</f>
        <v>-5124.9659951490239</v>
      </c>
      <c r="Z14" s="42">
        <f t="shared" si="14"/>
        <v>6952.9396755077623</v>
      </c>
      <c r="AA14" s="38">
        <f>IF($A14&gt;LastT,0,N14-V14-Q14/(1+Policy_Sched!$K14)+Z15/(1+Policy_Sched!$K14))</f>
        <v>6952.9396755077651</v>
      </c>
    </row>
    <row r="15" spans="1:27" x14ac:dyDescent="0.2">
      <c r="A15" s="30">
        <f t="shared" si="15"/>
        <v>8</v>
      </c>
      <c r="B15" s="31">
        <f t="shared" si="16"/>
        <v>1</v>
      </c>
      <c r="C15" s="31">
        <f>IF($A15&gt;LastT,0,IF(AND($D$3&lt;&gt;0,$A15&gt;=T0,Policy_Sched!$B15&lt;LastAge),1+$D$3*$E$3,1))</f>
        <v>1</v>
      </c>
      <c r="D15" s="36">
        <f>IF($A15&gt;LastT,0,IF($C$3="up",MIN(Policy_Sched!$E15*(1+IF($A15&gt;=T0,$E$3,0)),$F$3),IF($C$3="down",MAX(Policy_Sched!$E15*(1-IF($A15&gt;=T0,$E$3,0)),Policy_Sched!$E15-$F$3),Policy_Sched!$E15)))</f>
        <v>0.04</v>
      </c>
      <c r="E15" s="37">
        <f t="shared" si="17"/>
        <v>0.7174434163472434</v>
      </c>
      <c r="F15" s="37">
        <f t="shared" si="0"/>
        <v>0</v>
      </c>
      <c r="G15" s="37">
        <f t="shared" si="1"/>
        <v>0.7174434163472434</v>
      </c>
      <c r="H15" s="37">
        <f t="shared" si="2"/>
        <v>0</v>
      </c>
      <c r="I15" s="37">
        <f t="shared" si="3"/>
        <v>0</v>
      </c>
      <c r="J15" s="37">
        <f t="shared" si="4"/>
        <v>0.7174434163472434</v>
      </c>
      <c r="K15" s="37">
        <f>IF($A15&gt;LastT,0,J15*Policy_Sched!$C15*Policy_Sched!$D15*C15)</f>
        <v>6.2776298930383788E-4</v>
      </c>
      <c r="L15" s="41">
        <f t="shared" si="5"/>
        <v>2.8697736653889735E-2</v>
      </c>
      <c r="M15" s="38">
        <f t="shared" si="6"/>
        <v>1035.7416990934148</v>
      </c>
      <c r="N15" s="38">
        <f t="shared" si="7"/>
        <v>2564.2646703634691</v>
      </c>
      <c r="O15" s="38">
        <f t="shared" si="8"/>
        <v>627.76298930383791</v>
      </c>
      <c r="P15" s="38">
        <f>Policy_Sched!$I15*(L15+I15)</f>
        <v>72.982463129426279</v>
      </c>
      <c r="Q15" s="42">
        <f t="shared" si="9"/>
        <v>700.74545243326418</v>
      </c>
      <c r="R15" s="38">
        <f t="shared" si="10"/>
        <v>0</v>
      </c>
      <c r="S15" s="38">
        <f t="shared" si="11"/>
        <v>0</v>
      </c>
      <c r="T15" s="38">
        <f>Policy_Sched!$J15*J15</f>
        <v>0</v>
      </c>
      <c r="U15" s="42">
        <f t="shared" si="12"/>
        <v>743.08606305087812</v>
      </c>
      <c r="V15" s="42">
        <f t="shared" si="13"/>
        <v>743.08606305087812</v>
      </c>
      <c r="W15" s="38">
        <f>IF($A15&gt;LastT,0,N15+W16/(1+Policy_Sched!$K15))</f>
        <v>15237.242934478858</v>
      </c>
      <c r="X15" s="38">
        <f>IF($A15&gt;LastT,0,(-Q15+X16)/(1+Policy_Sched!$K15))</f>
        <v>-5021.4055264730559</v>
      </c>
      <c r="Y15" s="38">
        <f>IF($A15&gt;LastT,0,-V15+Y16/(1+Policy_Sched!$K15))</f>
        <v>-4415.5281608769337</v>
      </c>
      <c r="Z15" s="42">
        <f t="shared" si="14"/>
        <v>5800.3092471288692</v>
      </c>
      <c r="AA15" s="38">
        <f>IF($A15&gt;LastT,0,N15-V15-Q15/(1+Policy_Sched!$K15)+Z16/(1+Policy_Sched!$K15))</f>
        <v>5800.3092471288692</v>
      </c>
    </row>
    <row r="16" spans="1:27" x14ac:dyDescent="0.2">
      <c r="A16" s="30">
        <f t="shared" si="15"/>
        <v>9</v>
      </c>
      <c r="B16" s="31">
        <f t="shared" si="16"/>
        <v>1</v>
      </c>
      <c r="C16" s="31">
        <f>IF($A16&gt;LastT,0,IF(AND($D$3&lt;&gt;0,$A16&gt;=T0,Policy_Sched!$B16&lt;LastAge),1+$D$3*$E$3,1))</f>
        <v>1</v>
      </c>
      <c r="D16" s="36">
        <f>IF($A16&gt;LastT,0,IF($C$3="up",MIN(Policy_Sched!$E16*(1+IF($A16&gt;=T0,$E$3,0)),$F$3),IF($C$3="down",MAX(Policy_Sched!$E16*(1-IF($A16&gt;=T0,$E$3,0)),Policy_Sched!$E16-$F$3),Policy_Sched!$E16)))</f>
        <v>0.04</v>
      </c>
      <c r="E16" s="37">
        <f t="shared" si="17"/>
        <v>0.68811791670404976</v>
      </c>
      <c r="F16" s="37">
        <f t="shared" si="0"/>
        <v>0</v>
      </c>
      <c r="G16" s="37">
        <f t="shared" si="1"/>
        <v>0.68811791670404976</v>
      </c>
      <c r="H16" s="37">
        <f t="shared" si="2"/>
        <v>0</v>
      </c>
      <c r="I16" s="37">
        <f t="shared" si="3"/>
        <v>0</v>
      </c>
      <c r="J16" s="37">
        <f t="shared" si="4"/>
        <v>0.68811791670404976</v>
      </c>
      <c r="K16" s="37">
        <f>IF($A16&gt;LastT,0,J16*Policy_Sched!$C16*Policy_Sched!$D16*C16)</f>
        <v>6.5508825670225544E-4</v>
      </c>
      <c r="L16" s="41">
        <f t="shared" si="5"/>
        <v>2.7524716668161992E-2</v>
      </c>
      <c r="M16" s="38">
        <f t="shared" si="6"/>
        <v>1035.7416990934148</v>
      </c>
      <c r="N16" s="38">
        <f t="shared" si="7"/>
        <v>2459.4503519623622</v>
      </c>
      <c r="O16" s="38">
        <f t="shared" si="8"/>
        <v>655.08825670225542</v>
      </c>
      <c r="P16" s="38">
        <f>Policy_Sched!$I16*(L16+I16)</f>
        <v>69.552003561571112</v>
      </c>
      <c r="Q16" s="42">
        <f t="shared" si="9"/>
        <v>724.64026026382658</v>
      </c>
      <c r="R16" s="38">
        <f t="shared" si="10"/>
        <v>0</v>
      </c>
      <c r="S16" s="38">
        <f t="shared" si="11"/>
        <v>0</v>
      </c>
      <c r="T16" s="38">
        <f>Policy_Sched!$J16*J16</f>
        <v>0</v>
      </c>
      <c r="U16" s="42">
        <f t="shared" si="12"/>
        <v>712.71242022367335</v>
      </c>
      <c r="V16" s="42">
        <f t="shared" si="13"/>
        <v>712.71242022367335</v>
      </c>
      <c r="W16" s="38">
        <f>IF($A16&gt;LastT,0,N16+W17/(1+Policy_Sched!$K16))</f>
        <v>12863.072938077119</v>
      </c>
      <c r="X16" s="38">
        <f>IF($A16&gt;LastT,0,(-Q16+X17)/(1+Policy_Sched!$K16))</f>
        <v>-4395.9811569368867</v>
      </c>
      <c r="Y16" s="38">
        <f>IF($A16&gt;LastT,0,-V16+Y17/(1+Policy_Sched!$K16))</f>
        <v>-3727.5287292934458</v>
      </c>
      <c r="Z16" s="42">
        <f t="shared" si="14"/>
        <v>4739.563051846786</v>
      </c>
      <c r="AA16" s="38">
        <f>IF($A16&gt;LastT,0,N16-V16-Q16/(1+Policy_Sched!$K16)+Z17/(1+Policy_Sched!$K16))</f>
        <v>4739.5630518467869</v>
      </c>
    </row>
    <row r="17" spans="1:27" x14ac:dyDescent="0.2">
      <c r="A17" s="30">
        <f t="shared" si="15"/>
        <v>10</v>
      </c>
      <c r="B17" s="31">
        <f t="shared" si="16"/>
        <v>1</v>
      </c>
      <c r="C17" s="31">
        <f>IF($A17&gt;LastT,0,IF(AND($D$3&lt;&gt;0,$A17&gt;=T0,Policy_Sched!$B17&lt;LastAge),1+$D$3*$E$3,1))</f>
        <v>1</v>
      </c>
      <c r="D17" s="36">
        <f>IF($A17&gt;LastT,0,IF($C$3="up",MIN(Policy_Sched!$E17*(1+IF($A17&gt;=T0,$E$3,0)),$F$3),IF($C$3="down",MAX(Policy_Sched!$E17*(1-IF($A17&gt;=T0,$E$3,0)),Policy_Sched!$E17-$F$3),Policy_Sched!$E17)))</f>
        <v>0.04</v>
      </c>
      <c r="E17" s="37">
        <f t="shared" si="17"/>
        <v>0.65993811177918549</v>
      </c>
      <c r="F17" s="37">
        <f t="shared" si="0"/>
        <v>0</v>
      </c>
      <c r="G17" s="37">
        <f t="shared" si="1"/>
        <v>0.65993811177918549</v>
      </c>
      <c r="H17" s="37">
        <f t="shared" si="2"/>
        <v>0</v>
      </c>
      <c r="I17" s="37">
        <f t="shared" si="3"/>
        <v>0</v>
      </c>
      <c r="J17" s="37">
        <f t="shared" si="4"/>
        <v>0.65993811177918549</v>
      </c>
      <c r="K17" s="37">
        <f>IF($A17&gt;LastT,0,J17*Policy_Sched!$C17*Policy_Sched!$D17*C17)</f>
        <v>6.7907631702078172E-4</v>
      </c>
      <c r="L17" s="41">
        <f t="shared" si="5"/>
        <v>2.639752447116742E-2</v>
      </c>
      <c r="M17" s="38">
        <f t="shared" si="6"/>
        <v>1035.7416990934148</v>
      </c>
      <c r="N17" s="38">
        <f t="shared" si="7"/>
        <v>2358.7309411487995</v>
      </c>
      <c r="O17" s="38">
        <f t="shared" si="8"/>
        <v>679.07631702078174</v>
      </c>
      <c r="P17" s="38">
        <f>Policy_Sched!$I17*(L17+I17)</f>
        <v>63.317358283373586</v>
      </c>
      <c r="Q17" s="42">
        <f t="shared" si="9"/>
        <v>742.39367530415529</v>
      </c>
      <c r="R17" s="38">
        <f t="shared" si="10"/>
        <v>0</v>
      </c>
      <c r="S17" s="38">
        <f t="shared" si="11"/>
        <v>0</v>
      </c>
      <c r="T17" s="38">
        <f>Policy_Sched!$J17*J17</f>
        <v>0</v>
      </c>
      <c r="U17" s="42">
        <f t="shared" si="12"/>
        <v>683.52542119067346</v>
      </c>
      <c r="V17" s="42">
        <f t="shared" si="13"/>
        <v>683.52542119067346</v>
      </c>
      <c r="W17" s="38">
        <f>IF($A17&gt;LastT,0,N17+W18/(1+Policy_Sched!$K17))</f>
        <v>10559.676924906478</v>
      </c>
      <c r="X17" s="38">
        <f>IF($A17&gt;LastT,0,(-Q17+X18)/(1+Policy_Sched!$K17))</f>
        <v>-3737.2806140271132</v>
      </c>
      <c r="Y17" s="38">
        <f>IF($A17&gt;LastT,0,-V17+Y18/(1+Policy_Sched!$K17))</f>
        <v>-3060.0385537058187</v>
      </c>
      <c r="Z17" s="42">
        <f t="shared" si="14"/>
        <v>3762.3577571735459</v>
      </c>
      <c r="AA17" s="38">
        <f>IF($A17&gt;LastT,0,N17-V17-Q17/(1+Policy_Sched!$K17)+Z18/(1+Policy_Sched!$K17))</f>
        <v>3762.3577571735468</v>
      </c>
    </row>
    <row r="18" spans="1:27" x14ac:dyDescent="0.2">
      <c r="A18" s="30">
        <f t="shared" si="15"/>
        <v>11</v>
      </c>
      <c r="B18" s="31">
        <f t="shared" si="16"/>
        <v>1</v>
      </c>
      <c r="C18" s="31">
        <f>IF($A18&gt;LastT,0,IF(AND($D$3&lt;&gt;0,$A18&gt;=T0,Policy_Sched!$B18&lt;LastAge),1+$D$3*$E$3,1))</f>
        <v>1</v>
      </c>
      <c r="D18" s="36">
        <f>IF($A18&gt;LastT,0,IF($C$3="up",MIN(Policy_Sched!$E18*(1+IF($A18&gt;=T0,$E$3,0)),$F$3),IF($C$3="down",MAX(Policy_Sched!$E18*(1-IF($A18&gt;=T0,$E$3,0)),Policy_Sched!$E18-$F$3),Policy_Sched!$E18)))</f>
        <v>0.04</v>
      </c>
      <c r="E18" s="37">
        <f t="shared" si="17"/>
        <v>0.6328615109909973</v>
      </c>
      <c r="F18" s="37">
        <f t="shared" si="0"/>
        <v>0</v>
      </c>
      <c r="G18" s="37">
        <f t="shared" si="1"/>
        <v>0.6328615109909973</v>
      </c>
      <c r="H18" s="37">
        <f t="shared" si="2"/>
        <v>0</v>
      </c>
      <c r="I18" s="37">
        <f t="shared" si="3"/>
        <v>0</v>
      </c>
      <c r="J18" s="37">
        <f t="shared" si="4"/>
        <v>0.6328615109909973</v>
      </c>
      <c r="K18" s="37">
        <f>IF($A18&gt;LastT,0,J18*Policy_Sched!$C18*Policy_Sched!$D18*C18)</f>
        <v>7.0437486173298002E-4</v>
      </c>
      <c r="L18" s="41">
        <f t="shared" si="5"/>
        <v>2.5314460439639891E-2</v>
      </c>
      <c r="M18" s="38">
        <f t="shared" si="6"/>
        <v>1035.7416990934148</v>
      </c>
      <c r="N18" s="38">
        <f t="shared" si="7"/>
        <v>2261.9545693644054</v>
      </c>
      <c r="O18" s="38">
        <f t="shared" si="8"/>
        <v>704.37486173297998</v>
      </c>
      <c r="P18" s="38">
        <f>Policy_Sched!$I18*(L18+I18)</f>
        <v>54.41739920098528</v>
      </c>
      <c r="Q18" s="42">
        <f t="shared" si="9"/>
        <v>758.79226093396528</v>
      </c>
      <c r="R18" s="38">
        <f t="shared" si="10"/>
        <v>0</v>
      </c>
      <c r="S18" s="38">
        <f t="shared" si="11"/>
        <v>0</v>
      </c>
      <c r="T18" s="38">
        <f>Policy_Sched!$J18*J18</f>
        <v>0</v>
      </c>
      <c r="U18" s="42">
        <f t="shared" si="12"/>
        <v>655.48105668464132</v>
      </c>
      <c r="V18" s="42">
        <f t="shared" si="13"/>
        <v>655.48105668464132</v>
      </c>
      <c r="W18" s="38">
        <f>IF($A18&gt;LastT,0,N18+W19/(1+Policy_Sched!$K18))</f>
        <v>8323.9601735140441</v>
      </c>
      <c r="X18" s="38">
        <f>IF($A18&gt;LastT,0,(-Q18+X19)/(1+Policy_Sched!$K18))</f>
        <v>-3050.946147933364</v>
      </c>
      <c r="Y18" s="38">
        <f>IF($A18&gt;LastT,0,-V18+Y19/(1+Policy_Sched!$K18))</f>
        <v>-2412.1608295028723</v>
      </c>
      <c r="Z18" s="42">
        <f t="shared" si="14"/>
        <v>2860.8531960778073</v>
      </c>
      <c r="AA18" s="38">
        <f>IF($A18&gt;LastT,0,N18-V18-Q18/(1+Policy_Sched!$K18)+Z19/(1+Policy_Sched!$K18))</f>
        <v>2860.8531960778082</v>
      </c>
    </row>
    <row r="19" spans="1:27" x14ac:dyDescent="0.2">
      <c r="A19" s="30">
        <f t="shared" si="15"/>
        <v>12</v>
      </c>
      <c r="B19" s="31">
        <f t="shared" si="16"/>
        <v>1</v>
      </c>
      <c r="C19" s="31">
        <f>IF($A19&gt;LastT,0,IF(AND($D$3&lt;&gt;0,$A19&gt;=T0,Policy_Sched!$B19&lt;LastAge),1+$D$3*$E$3,1))</f>
        <v>1</v>
      </c>
      <c r="D19" s="36">
        <f>IF($A19&gt;LastT,0,IF($C$3="up",MIN(Policy_Sched!$E19*(1+IF($A19&gt;=T0,$E$3,0)),$F$3),IF($C$3="down",MAX(Policy_Sched!$E19*(1-IF($A19&gt;=T0,$E$3,0)),Policy_Sched!$E19-$F$3),Policy_Sched!$E19)))</f>
        <v>0.04</v>
      </c>
      <c r="E19" s="37">
        <f t="shared" si="17"/>
        <v>0.60684267568962436</v>
      </c>
      <c r="F19" s="37">
        <f t="shared" si="0"/>
        <v>0</v>
      </c>
      <c r="G19" s="37">
        <f t="shared" si="1"/>
        <v>0.60684267568962436</v>
      </c>
      <c r="H19" s="37">
        <f t="shared" si="2"/>
        <v>0</v>
      </c>
      <c r="I19" s="37">
        <f t="shared" si="3"/>
        <v>0</v>
      </c>
      <c r="J19" s="37">
        <f t="shared" si="4"/>
        <v>0.60684267568962436</v>
      </c>
      <c r="K19" s="37">
        <f>IF($A19&gt;LastT,0,J19*Policy_Sched!$C19*Policy_Sched!$D19*C19)</f>
        <v>7.3488648026013507E-4</v>
      </c>
      <c r="L19" s="41">
        <f t="shared" si="5"/>
        <v>2.4273707027584975E-2</v>
      </c>
      <c r="M19" s="38">
        <f t="shared" si="6"/>
        <v>1035.7416990934148</v>
      </c>
      <c r="N19" s="38">
        <f t="shared" si="7"/>
        <v>2168.9588311541265</v>
      </c>
      <c r="O19" s="38">
        <f t="shared" si="8"/>
        <v>734.88648026013504</v>
      </c>
      <c r="P19" s="38">
        <f>Policy_Sched!$I19*(L19+I19)</f>
        <v>42.744220646492664</v>
      </c>
      <c r="Q19" s="42">
        <f t="shared" si="9"/>
        <v>777.63070090662768</v>
      </c>
      <c r="R19" s="38">
        <f t="shared" si="10"/>
        <v>0</v>
      </c>
      <c r="S19" s="38">
        <f t="shared" si="11"/>
        <v>0</v>
      </c>
      <c r="T19" s="38">
        <f>Policy_Sched!$J19*J19</f>
        <v>0</v>
      </c>
      <c r="U19" s="42">
        <f t="shared" si="12"/>
        <v>628.53226400116557</v>
      </c>
      <c r="V19" s="42">
        <f t="shared" si="13"/>
        <v>628.53226400116557</v>
      </c>
      <c r="W19" s="38">
        <f>IF($A19&gt;LastT,0,N19+W20/(1+Policy_Sched!$K19))</f>
        <v>6152.9356882118827</v>
      </c>
      <c r="X19" s="38">
        <f>IF($A19&gt;LastT,0,(-Q19+X20)/(1+Policy_Sched!$K19))</f>
        <v>-2337.9180792183988</v>
      </c>
      <c r="Y19" s="38">
        <f>IF($A19&gt;LastT,0,-V19+Y20/(1+Policy_Sched!$K19))</f>
        <v>-1783.0299694105042</v>
      </c>
      <c r="Z19" s="42">
        <f t="shared" si="14"/>
        <v>2031.9876395829797</v>
      </c>
      <c r="AA19" s="38">
        <f>IF($A19&gt;LastT,0,N19-V19-Q19/(1+Policy_Sched!$K19)+Z20/(1+Policy_Sched!$K19))</f>
        <v>2031.9876395829801</v>
      </c>
    </row>
    <row r="20" spans="1:27" x14ac:dyDescent="0.2">
      <c r="A20" s="30">
        <f t="shared" si="15"/>
        <v>13</v>
      </c>
      <c r="B20" s="31">
        <f t="shared" si="16"/>
        <v>1</v>
      </c>
      <c r="C20" s="31">
        <f>IF($A20&gt;LastT,0,IF(AND($D$3&lt;&gt;0,$A20&gt;=T0,Policy_Sched!$B20&lt;LastAge),1+$D$3*$E$3,1))</f>
        <v>1</v>
      </c>
      <c r="D20" s="36">
        <f>IF($A20&gt;LastT,0,IF($C$3="up",MIN(Policy_Sched!$E20*(1+IF($A20&gt;=T0,$E$3,0)),$F$3),IF($C$3="down",MAX(Policy_Sched!$E20*(1-IF($A20&gt;=T0,$E$3,0)),Policy_Sched!$E20-$F$3),Policy_Sched!$E20)))</f>
        <v>0.04</v>
      </c>
      <c r="E20" s="37">
        <f t="shared" si="17"/>
        <v>0.58183408218177923</v>
      </c>
      <c r="F20" s="37">
        <f t="shared" si="0"/>
        <v>0</v>
      </c>
      <c r="G20" s="37">
        <f t="shared" si="1"/>
        <v>0.58183408218177923</v>
      </c>
      <c r="H20" s="37">
        <f t="shared" si="2"/>
        <v>0</v>
      </c>
      <c r="I20" s="37">
        <f t="shared" si="3"/>
        <v>0</v>
      </c>
      <c r="J20" s="37">
        <f t="shared" si="4"/>
        <v>0.58183408218177923</v>
      </c>
      <c r="K20" s="37">
        <f>IF($A20&gt;LastT,0,J20*Policy_Sched!$C20*Policy_Sched!$D20*C20)</f>
        <v>7.7383932930176632E-4</v>
      </c>
      <c r="L20" s="41">
        <f t="shared" si="5"/>
        <v>2.327336328727117E-2</v>
      </c>
      <c r="M20" s="38">
        <f t="shared" si="6"/>
        <v>1035.7416990934148</v>
      </c>
      <c r="N20" s="38">
        <f t="shared" si="7"/>
        <v>2079.5738687634334</v>
      </c>
      <c r="O20" s="38">
        <f t="shared" si="8"/>
        <v>773.83932930176627</v>
      </c>
      <c r="P20" s="38">
        <f>Policy_Sched!$I20*(L20+I20)</f>
        <v>27.985638624087525</v>
      </c>
      <c r="Q20" s="42">
        <f t="shared" si="9"/>
        <v>801.8249679258538</v>
      </c>
      <c r="R20" s="38">
        <f t="shared" si="10"/>
        <v>0</v>
      </c>
      <c r="S20" s="38">
        <f t="shared" si="11"/>
        <v>0</v>
      </c>
      <c r="T20" s="38">
        <f>Policy_Sched!$J20*J20</f>
        <v>0</v>
      </c>
      <c r="U20" s="42">
        <f t="shared" si="12"/>
        <v>602.62982086941361</v>
      </c>
      <c r="V20" s="42">
        <f t="shared" si="13"/>
        <v>602.62982086941361</v>
      </c>
      <c r="W20" s="38">
        <f>IF($A20&gt;LastT,0,N20+W21/(1+Policy_Sched!$K20))</f>
        <v>4043.7365099136218</v>
      </c>
      <c r="X20" s="38">
        <f>IF($A20&gt;LastT,0,(-Q20+X21)/(1+Policy_Sched!$K20))</f>
        <v>-1595.3561495000465</v>
      </c>
      <c r="Y20" s="38">
        <f>IF($A20&gt;LastT,0,-V20+Y21/(1+Policy_Sched!$K20))</f>
        <v>-1171.8151709904785</v>
      </c>
      <c r="Z20" s="42">
        <f t="shared" si="14"/>
        <v>1276.5651894230971</v>
      </c>
      <c r="AA20" s="38">
        <f>IF($A20&gt;LastT,0,N20-V20-Q20/(1+Policy_Sched!$K20)+Z21/(1+Policy_Sched!$K20))</f>
        <v>1276.5651894230969</v>
      </c>
    </row>
    <row r="21" spans="1:27" x14ac:dyDescent="0.2">
      <c r="A21" s="30">
        <f t="shared" si="15"/>
        <v>14</v>
      </c>
      <c r="B21" s="31">
        <f t="shared" si="16"/>
        <v>1</v>
      </c>
      <c r="C21" s="31">
        <f>IF($A21&gt;LastT,0,IF(AND($D$3&lt;&gt;0,$A21&gt;=T0,Policy_Sched!$B21&lt;LastAge),1+$D$3*$E$3,1))</f>
        <v>1</v>
      </c>
      <c r="D21" s="36">
        <f>IF($A21&gt;LastT,0,IF($C$3="up",MIN(Policy_Sched!$E21*(1+IF($A21&gt;=T0,$E$3,0)),$F$3),IF($C$3="down",MAX(Policy_Sched!$E21*(1-IF($A21&gt;=T0,$E$3,0)),Policy_Sched!$E21-$F$3),Policy_Sched!$E21)))</f>
        <v>0.04</v>
      </c>
      <c r="E21" s="37">
        <f t="shared" si="17"/>
        <v>0.55778687956520634</v>
      </c>
      <c r="F21" s="37">
        <f t="shared" si="0"/>
        <v>0</v>
      </c>
      <c r="G21" s="37">
        <f t="shared" si="1"/>
        <v>0.55778687956520634</v>
      </c>
      <c r="H21" s="37">
        <f t="shared" si="2"/>
        <v>0</v>
      </c>
      <c r="I21" s="37">
        <f t="shared" si="3"/>
        <v>0</v>
      </c>
      <c r="J21" s="37">
        <f t="shared" si="4"/>
        <v>0.55778687956520634</v>
      </c>
      <c r="K21" s="37">
        <f>IF($A21&gt;LastT,0,J21*Policy_Sched!$C21*Policy_Sched!$D21*C21)</f>
        <v>8.1994671296085322E-4</v>
      </c>
      <c r="L21" s="41">
        <f t="shared" si="5"/>
        <v>2.2311475182608256E-2</v>
      </c>
      <c r="M21" s="38">
        <f t="shared" si="6"/>
        <v>1035.7416990934148</v>
      </c>
      <c r="N21" s="38">
        <f t="shared" si="7"/>
        <v>1993.625080767441</v>
      </c>
      <c r="O21" s="38">
        <f t="shared" si="8"/>
        <v>819.94671296085323</v>
      </c>
      <c r="P21" s="38">
        <f>Policy_Sched!$I21*(L21+I21)</f>
        <v>9.7767337130902607</v>
      </c>
      <c r="Q21" s="42">
        <f t="shared" si="9"/>
        <v>829.7234466739435</v>
      </c>
      <c r="R21" s="38">
        <f t="shared" si="10"/>
        <v>0</v>
      </c>
      <c r="S21" s="38">
        <f t="shared" si="11"/>
        <v>0</v>
      </c>
      <c r="T21" s="38">
        <f>Policy_Sched!$J21*J21</f>
        <v>0</v>
      </c>
      <c r="U21" s="42">
        <f t="shared" si="12"/>
        <v>577.72313037288075</v>
      </c>
      <c r="V21" s="42">
        <f t="shared" si="13"/>
        <v>577.72313037288075</v>
      </c>
      <c r="W21" s="38">
        <f>IF($A21&gt;LastT,0,N21+W22/(1+Policy_Sched!$K21))</f>
        <v>1993.625080767441</v>
      </c>
      <c r="X21" s="38">
        <f>IF($A21&gt;LastT,0,(-Q21+X22)/(1+Policy_Sched!$K21))</f>
        <v>-817.46152381669322</v>
      </c>
      <c r="Y21" s="38">
        <f>IF($A21&gt;LastT,0,-V21+Y22/(1+Policy_Sched!$K21))</f>
        <v>-577.72313037288075</v>
      </c>
      <c r="Z21" s="42">
        <f t="shared" si="14"/>
        <v>598.4404265778669</v>
      </c>
      <c r="AA21" s="38">
        <f>IF($A21&gt;LastT,0,N21-V21-Q21/(1+Policy_Sched!$K21)+Z22/(1+Policy_Sched!$K21))</f>
        <v>598.4404265778669</v>
      </c>
    </row>
    <row r="22" spans="1:27" x14ac:dyDescent="0.2">
      <c r="A22" s="30">
        <f t="shared" si="15"/>
        <v>15</v>
      </c>
      <c r="B22" s="31">
        <f t="shared" si="16"/>
        <v>1</v>
      </c>
      <c r="C22" s="31">
        <f>IF($A22&gt;LastT,0,IF(AND($D$3&lt;&gt;0,$A22&gt;=T0,Policy_Sched!$B22&lt;LastAge),1+$D$3*$E$3,1))</f>
        <v>1</v>
      </c>
      <c r="D22" s="36">
        <f>IF($A22&gt;LastT,0,IF($C$3="up",MIN(Policy_Sched!$E22*(1+IF($A22&gt;=T0,$E$3,0)),$F$3),IF($C$3="down",MAX(Policy_Sched!$E22*(1-IF($A22&gt;=T0,$E$3,0)),Policy_Sched!$E22-$F$3),Policy_Sched!$E22)))</f>
        <v>0.04</v>
      </c>
      <c r="E22" s="37">
        <f t="shared" si="17"/>
        <v>0.53465545766963729</v>
      </c>
      <c r="F22" s="37">
        <f t="shared" si="0"/>
        <v>0.53465545766963729</v>
      </c>
      <c r="G22" s="37">
        <f t="shared" si="1"/>
        <v>0</v>
      </c>
      <c r="H22" s="37">
        <f t="shared" si="2"/>
        <v>0</v>
      </c>
      <c r="I22" s="37">
        <f t="shared" si="3"/>
        <v>0</v>
      </c>
      <c r="J22" s="37">
        <f t="shared" si="4"/>
        <v>0</v>
      </c>
      <c r="K22" s="37">
        <f>IF($A22&gt;LastT,0,J22*Policy_Sched!$C22*Policy_Sched!$D22*C22)</f>
        <v>0</v>
      </c>
      <c r="L22" s="41">
        <f t="shared" si="5"/>
        <v>0</v>
      </c>
      <c r="M22" s="38">
        <f t="shared" si="6"/>
        <v>1035.7416990934148</v>
      </c>
      <c r="N22" s="38">
        <f t="shared" si="7"/>
        <v>0</v>
      </c>
      <c r="O22" s="38">
        <f t="shared" si="8"/>
        <v>0</v>
      </c>
      <c r="P22" s="38">
        <f>Policy_Sched!$I22*(L22+I22)</f>
        <v>0</v>
      </c>
      <c r="Q22" s="42">
        <f t="shared" si="9"/>
        <v>0</v>
      </c>
      <c r="R22" s="38">
        <f t="shared" si="10"/>
        <v>0</v>
      </c>
      <c r="S22" s="38">
        <f t="shared" si="11"/>
        <v>0</v>
      </c>
      <c r="T22" s="38">
        <f>Policy_Sched!$J22*J22</f>
        <v>0</v>
      </c>
      <c r="U22" s="42">
        <f t="shared" si="12"/>
        <v>0</v>
      </c>
      <c r="V22" s="42">
        <f t="shared" si="13"/>
        <v>0</v>
      </c>
      <c r="W22" s="38">
        <f>IF($A22&gt;LastT,0,N22+W23/(1+Policy_Sched!$K22))</f>
        <v>0</v>
      </c>
      <c r="X22" s="38">
        <f>IF($A22&gt;LastT,0,(-Q22+X23)/(1+Policy_Sched!$K22))</f>
        <v>0</v>
      </c>
      <c r="Y22" s="38">
        <f>IF($A22&gt;LastT,0,-V22+Y23/(1+Policy_Sched!$K22))</f>
        <v>0</v>
      </c>
      <c r="Z22" s="42">
        <f t="shared" si="14"/>
        <v>0</v>
      </c>
      <c r="AA22" s="38">
        <f>IF($A22&gt;LastT,0,N22-V22-Q22/(1+Policy_Sched!$K22)+Z23/(1+Policy_Sched!$K22))</f>
        <v>0</v>
      </c>
    </row>
    <row r="23" spans="1:27" x14ac:dyDescent="0.2">
      <c r="A23" s="30">
        <f t="shared" si="15"/>
        <v>16</v>
      </c>
      <c r="B23" s="31">
        <f t="shared" si="16"/>
        <v>0</v>
      </c>
      <c r="C23" s="31">
        <f>IF($A23&gt;LastT,0,IF(AND($D$3&lt;&gt;0,$A23&gt;=T0,Policy_Sched!$B23&lt;LastAge),1+$D$3*$E$3,1))</f>
        <v>0</v>
      </c>
      <c r="D23" s="36">
        <f>IF($A23&gt;LastT,0,IF($C$3="up",MIN(Policy_Sched!$E23*(1+IF($A23&gt;=T0,$E$3,0)),$F$3),IF($C$3="down",MAX(Policy_Sched!$E23*(1-IF($A23&gt;=T0,$E$3,0)),Policy_Sched!$E23-$F$3),Policy_Sched!$E23)))</f>
        <v>0</v>
      </c>
      <c r="E23" s="37">
        <f t="shared" si="17"/>
        <v>0</v>
      </c>
      <c r="F23" s="37">
        <f t="shared" si="0"/>
        <v>0</v>
      </c>
      <c r="G23" s="37">
        <f t="shared" si="1"/>
        <v>0</v>
      </c>
      <c r="H23" s="37">
        <f t="shared" si="2"/>
        <v>0</v>
      </c>
      <c r="I23" s="37">
        <f t="shared" si="3"/>
        <v>0</v>
      </c>
      <c r="J23" s="37">
        <f t="shared" si="4"/>
        <v>0</v>
      </c>
      <c r="K23" s="37">
        <f>IF($A23&gt;LastT,0,J23*Policy_Sched!$C23*Policy_Sched!$D23*C23)</f>
        <v>0</v>
      </c>
      <c r="L23" s="41">
        <f t="shared" si="5"/>
        <v>0</v>
      </c>
      <c r="M23" s="38">
        <f t="shared" si="6"/>
        <v>0</v>
      </c>
      <c r="N23" s="38">
        <f t="shared" si="7"/>
        <v>0</v>
      </c>
      <c r="O23" s="38">
        <f t="shared" si="8"/>
        <v>0</v>
      </c>
      <c r="P23" s="38">
        <f>Policy_Sched!$I23*(L23+I23)</f>
        <v>0</v>
      </c>
      <c r="Q23" s="42">
        <f t="shared" si="9"/>
        <v>0</v>
      </c>
      <c r="R23" s="38">
        <f t="shared" si="10"/>
        <v>0</v>
      </c>
      <c r="S23" s="38">
        <f t="shared" si="11"/>
        <v>0</v>
      </c>
      <c r="T23" s="38">
        <f>Policy_Sched!$J23*J23</f>
        <v>0</v>
      </c>
      <c r="U23" s="42">
        <f t="shared" si="12"/>
        <v>0</v>
      </c>
      <c r="V23" s="42">
        <f t="shared" si="13"/>
        <v>0</v>
      </c>
      <c r="W23" s="38">
        <f>IF($A23&gt;LastT,0,N23+W24/(1+Policy_Sched!$K23))</f>
        <v>0</v>
      </c>
      <c r="X23" s="38">
        <f>IF($A23&gt;LastT,0,(-Q23+X24)/(1+Policy_Sched!$K23))</f>
        <v>0</v>
      </c>
      <c r="Y23" s="38">
        <f>IF($A23&gt;LastT,0,-V23+Y24/(1+Policy_Sched!$K23))</f>
        <v>0</v>
      </c>
      <c r="Z23" s="42">
        <f t="shared" si="14"/>
        <v>0</v>
      </c>
      <c r="AA23" s="38">
        <f>IF($A23&gt;LastT,0,N23-V23-Q23/(1+Policy_Sched!$K23)+Z24/(1+Policy_Sched!$K23))</f>
        <v>0</v>
      </c>
    </row>
    <row r="24" spans="1:27" x14ac:dyDescent="0.2">
      <c r="A24" s="30">
        <f t="shared" si="15"/>
        <v>17</v>
      </c>
      <c r="B24" s="31">
        <f t="shared" si="16"/>
        <v>0</v>
      </c>
      <c r="C24" s="31">
        <f>IF($A24&gt;LastT,0,IF(AND($D$3&lt;&gt;0,$A24&gt;=T0,Policy_Sched!$B24&lt;LastAge),1+$D$3*$E$3,1))</f>
        <v>0</v>
      </c>
      <c r="D24" s="36">
        <f>IF($A24&gt;LastT,0,IF($C$3="up",MIN(Policy_Sched!$E24*(1+IF($A24&gt;=T0,$E$3,0)),$F$3),IF($C$3="down",MAX(Policy_Sched!$E24*(1-IF($A24&gt;=T0,$E$3,0)),Policy_Sched!$E24-$F$3),Policy_Sched!$E24)))</f>
        <v>0</v>
      </c>
      <c r="E24" s="37">
        <f t="shared" si="17"/>
        <v>0</v>
      </c>
      <c r="F24" s="37">
        <f t="shared" si="0"/>
        <v>0</v>
      </c>
      <c r="G24" s="37">
        <f t="shared" si="1"/>
        <v>0</v>
      </c>
      <c r="H24" s="37">
        <f t="shared" si="2"/>
        <v>0</v>
      </c>
      <c r="I24" s="37">
        <f t="shared" si="3"/>
        <v>0</v>
      </c>
      <c r="J24" s="37">
        <f t="shared" si="4"/>
        <v>0</v>
      </c>
      <c r="K24" s="37">
        <f>IF($A24&gt;LastT,0,J24*Policy_Sched!$C24*Policy_Sched!$D24*C24)</f>
        <v>0</v>
      </c>
      <c r="L24" s="41">
        <f t="shared" si="5"/>
        <v>0</v>
      </c>
      <c r="M24" s="38">
        <f t="shared" si="6"/>
        <v>0</v>
      </c>
      <c r="N24" s="38">
        <f t="shared" si="7"/>
        <v>0</v>
      </c>
      <c r="O24" s="38">
        <f t="shared" si="8"/>
        <v>0</v>
      </c>
      <c r="P24" s="38">
        <f>Policy_Sched!$I24*(L24+I24)</f>
        <v>0</v>
      </c>
      <c r="Q24" s="42">
        <f t="shared" si="9"/>
        <v>0</v>
      </c>
      <c r="R24" s="38">
        <f t="shared" si="10"/>
        <v>0</v>
      </c>
      <c r="S24" s="38">
        <f t="shared" si="11"/>
        <v>0</v>
      </c>
      <c r="T24" s="38">
        <f>Policy_Sched!$J24*J24</f>
        <v>0</v>
      </c>
      <c r="U24" s="42">
        <f t="shared" si="12"/>
        <v>0</v>
      </c>
      <c r="V24" s="42">
        <f t="shared" si="13"/>
        <v>0</v>
      </c>
      <c r="W24" s="38">
        <f>IF($A24&gt;LastT,0,N24+W25/(1+Policy_Sched!$K24))</f>
        <v>0</v>
      </c>
      <c r="X24" s="38">
        <f>IF($A24&gt;LastT,0,(-Q24+X25)/(1+Policy_Sched!$K24))</f>
        <v>0</v>
      </c>
      <c r="Y24" s="38">
        <f>IF($A24&gt;LastT,0,-V24+Y25/(1+Policy_Sched!$K24))</f>
        <v>0</v>
      </c>
      <c r="Z24" s="42">
        <f t="shared" si="14"/>
        <v>0</v>
      </c>
      <c r="AA24" s="38">
        <f>IF($A24&gt;LastT,0,N24-V24-Q24/(1+Policy_Sched!$K24)+Z25/(1+Policy_Sched!$K24))</f>
        <v>0</v>
      </c>
    </row>
    <row r="25" spans="1:27" x14ac:dyDescent="0.2">
      <c r="A25" s="30">
        <f t="shared" si="15"/>
        <v>18</v>
      </c>
      <c r="B25" s="31">
        <f t="shared" si="16"/>
        <v>0</v>
      </c>
      <c r="C25" s="31">
        <f>IF($A25&gt;LastT,0,IF(AND($D$3&lt;&gt;0,$A25&gt;=T0,Policy_Sched!$B25&lt;LastAge),1+$D$3*$E$3,1))</f>
        <v>0</v>
      </c>
      <c r="D25" s="36">
        <f>IF($A25&gt;LastT,0,IF($C$3="up",MIN(Policy_Sched!$E25*(1+IF($A25&gt;=T0,$E$3,0)),$F$3),IF($C$3="down",MAX(Policy_Sched!$E25*(1-IF($A25&gt;=T0,$E$3,0)),Policy_Sched!$E25-$F$3),Policy_Sched!$E25)))</f>
        <v>0</v>
      </c>
      <c r="E25" s="37">
        <f t="shared" si="17"/>
        <v>0</v>
      </c>
      <c r="F25" s="37">
        <f t="shared" si="0"/>
        <v>0</v>
      </c>
      <c r="G25" s="37">
        <f t="shared" si="1"/>
        <v>0</v>
      </c>
      <c r="H25" s="37">
        <f t="shared" si="2"/>
        <v>0</v>
      </c>
      <c r="I25" s="37">
        <f t="shared" si="3"/>
        <v>0</v>
      </c>
      <c r="J25" s="37">
        <f t="shared" si="4"/>
        <v>0</v>
      </c>
      <c r="K25" s="37">
        <f>IF($A25&gt;LastT,0,J25*Policy_Sched!$C25*Policy_Sched!$D25*C25)</f>
        <v>0</v>
      </c>
      <c r="L25" s="41">
        <f t="shared" si="5"/>
        <v>0</v>
      </c>
      <c r="M25" s="38">
        <f t="shared" si="6"/>
        <v>0</v>
      </c>
      <c r="N25" s="38">
        <f t="shared" si="7"/>
        <v>0</v>
      </c>
      <c r="O25" s="38">
        <f t="shared" si="8"/>
        <v>0</v>
      </c>
      <c r="P25" s="38">
        <f>Policy_Sched!$I25*(L25+I25)</f>
        <v>0</v>
      </c>
      <c r="Q25" s="42">
        <f t="shared" si="9"/>
        <v>0</v>
      </c>
      <c r="R25" s="38">
        <f t="shared" si="10"/>
        <v>0</v>
      </c>
      <c r="S25" s="38">
        <f t="shared" si="11"/>
        <v>0</v>
      </c>
      <c r="T25" s="38">
        <f>Policy_Sched!$J25*J25</f>
        <v>0</v>
      </c>
      <c r="U25" s="42">
        <f t="shared" si="12"/>
        <v>0</v>
      </c>
      <c r="V25" s="42">
        <f t="shared" si="13"/>
        <v>0</v>
      </c>
      <c r="W25" s="38">
        <f>IF($A25&gt;LastT,0,N25+W26/(1+Policy_Sched!$K25))</f>
        <v>0</v>
      </c>
      <c r="X25" s="38">
        <f>IF($A25&gt;LastT,0,(-Q25+X26)/(1+Policy_Sched!$K25))</f>
        <v>0</v>
      </c>
      <c r="Y25" s="38">
        <f>IF($A25&gt;LastT,0,-V25+Y26/(1+Policy_Sched!$K25))</f>
        <v>0</v>
      </c>
      <c r="Z25" s="42">
        <f t="shared" si="14"/>
        <v>0</v>
      </c>
      <c r="AA25" s="38">
        <f>IF($A25&gt;LastT,0,N25-V25-Q25/(1+Policy_Sched!$K25)+Z26/(1+Policy_Sched!$K25))</f>
        <v>0</v>
      </c>
    </row>
    <row r="26" spans="1:27" x14ac:dyDescent="0.2">
      <c r="A26" s="30">
        <f t="shared" si="15"/>
        <v>19</v>
      </c>
      <c r="B26" s="31">
        <f t="shared" si="16"/>
        <v>0</v>
      </c>
      <c r="C26" s="31">
        <f>IF($A26&gt;LastT,0,IF(AND($D$3&lt;&gt;0,$A26&gt;=T0,Policy_Sched!$B26&lt;LastAge),1+$D$3*$E$3,1))</f>
        <v>0</v>
      </c>
      <c r="D26" s="36">
        <f>IF($A26&gt;LastT,0,IF($C$3="up",MIN(Policy_Sched!$E26*(1+IF($A26&gt;=T0,$E$3,0)),$F$3),IF($C$3="down",MAX(Policy_Sched!$E26*(1-IF($A26&gt;=T0,$E$3,0)),Policy_Sched!$E26-$F$3),Policy_Sched!$E26)))</f>
        <v>0</v>
      </c>
      <c r="E26" s="37">
        <f t="shared" si="17"/>
        <v>0</v>
      </c>
      <c r="F26" s="37">
        <f t="shared" si="0"/>
        <v>0</v>
      </c>
      <c r="G26" s="37">
        <f t="shared" si="1"/>
        <v>0</v>
      </c>
      <c r="H26" s="37">
        <f t="shared" si="2"/>
        <v>0</v>
      </c>
      <c r="I26" s="37">
        <f t="shared" si="3"/>
        <v>0</v>
      </c>
      <c r="J26" s="37">
        <f t="shared" si="4"/>
        <v>0</v>
      </c>
      <c r="K26" s="37">
        <f>IF($A26&gt;LastT,0,J26*Policy_Sched!$C26*Policy_Sched!$D26*C26)</f>
        <v>0</v>
      </c>
      <c r="L26" s="41">
        <f t="shared" si="5"/>
        <v>0</v>
      </c>
      <c r="M26" s="38">
        <f t="shared" si="6"/>
        <v>0</v>
      </c>
      <c r="N26" s="38">
        <f t="shared" si="7"/>
        <v>0</v>
      </c>
      <c r="O26" s="38">
        <f t="shared" si="8"/>
        <v>0</v>
      </c>
      <c r="P26" s="38">
        <f>Policy_Sched!$I26*(L26+I26)</f>
        <v>0</v>
      </c>
      <c r="Q26" s="42">
        <f t="shared" si="9"/>
        <v>0</v>
      </c>
      <c r="R26" s="38">
        <f t="shared" si="10"/>
        <v>0</v>
      </c>
      <c r="S26" s="38">
        <f t="shared" si="11"/>
        <v>0</v>
      </c>
      <c r="T26" s="38">
        <f>Policy_Sched!$J26*J26</f>
        <v>0</v>
      </c>
      <c r="U26" s="42">
        <f t="shared" si="12"/>
        <v>0</v>
      </c>
      <c r="V26" s="42">
        <f t="shared" si="13"/>
        <v>0</v>
      </c>
      <c r="W26" s="38">
        <f>IF($A26&gt;LastT,0,N26+W27/(1+Policy_Sched!$K26))</f>
        <v>0</v>
      </c>
      <c r="X26" s="38">
        <f>IF($A26&gt;LastT,0,(-Q26+X27)/(1+Policy_Sched!$K26))</f>
        <v>0</v>
      </c>
      <c r="Y26" s="38">
        <f>IF($A26&gt;LastT,0,-V26+Y27/(1+Policy_Sched!$K26))</f>
        <v>0</v>
      </c>
      <c r="Z26" s="42">
        <f t="shared" si="14"/>
        <v>0</v>
      </c>
      <c r="AA26" s="38">
        <f>IF($A26&gt;LastT,0,N26-V26-Q26/(1+Policy_Sched!$K26)+Z27/(1+Policy_Sched!$K26))</f>
        <v>0</v>
      </c>
    </row>
    <row r="27" spans="1:27" x14ac:dyDescent="0.2">
      <c r="A27" s="30">
        <f t="shared" si="15"/>
        <v>20</v>
      </c>
      <c r="B27" s="31">
        <f t="shared" si="16"/>
        <v>0</v>
      </c>
      <c r="C27" s="31">
        <f>IF($A27&gt;LastT,0,IF(AND($D$3&lt;&gt;0,$A27&gt;=T0,Policy_Sched!$B27&lt;LastAge),1+$D$3*$E$3,1))</f>
        <v>0</v>
      </c>
      <c r="D27" s="36">
        <f>IF($A27&gt;LastT,0,IF($C$3="up",MIN(Policy_Sched!$E27*(1+IF($A27&gt;=T0,$E$3,0)),$F$3),IF($C$3="down",MAX(Policy_Sched!$E27*(1-IF($A27&gt;=T0,$E$3,0)),Policy_Sched!$E27-$F$3),Policy_Sched!$E27)))</f>
        <v>0</v>
      </c>
      <c r="E27" s="37">
        <f t="shared" si="17"/>
        <v>0</v>
      </c>
      <c r="F27" s="37">
        <f t="shared" si="0"/>
        <v>0</v>
      </c>
      <c r="G27" s="37">
        <f t="shared" si="1"/>
        <v>0</v>
      </c>
      <c r="H27" s="37">
        <f t="shared" si="2"/>
        <v>0</v>
      </c>
      <c r="I27" s="37">
        <f t="shared" si="3"/>
        <v>0</v>
      </c>
      <c r="J27" s="37">
        <f t="shared" si="4"/>
        <v>0</v>
      </c>
      <c r="K27" s="37">
        <f>IF($A27&gt;LastT,0,J27*Policy_Sched!$C27*Policy_Sched!$D27*C27)</f>
        <v>0</v>
      </c>
      <c r="L27" s="41">
        <f t="shared" si="5"/>
        <v>0</v>
      </c>
      <c r="M27" s="38">
        <f t="shared" si="6"/>
        <v>0</v>
      </c>
      <c r="N27" s="38">
        <f t="shared" si="7"/>
        <v>0</v>
      </c>
      <c r="O27" s="38">
        <f t="shared" si="8"/>
        <v>0</v>
      </c>
      <c r="P27" s="38">
        <f>Policy_Sched!$I27*(L27+I27)</f>
        <v>0</v>
      </c>
      <c r="Q27" s="42">
        <f t="shared" si="9"/>
        <v>0</v>
      </c>
      <c r="R27" s="38">
        <f t="shared" si="10"/>
        <v>0</v>
      </c>
      <c r="S27" s="38">
        <f t="shared" si="11"/>
        <v>0</v>
      </c>
      <c r="T27" s="38">
        <f>Policy_Sched!$J27*J27</f>
        <v>0</v>
      </c>
      <c r="U27" s="42">
        <f t="shared" si="12"/>
        <v>0</v>
      </c>
      <c r="V27" s="42">
        <f t="shared" si="13"/>
        <v>0</v>
      </c>
      <c r="W27" s="38">
        <f>IF($A27&gt;LastT,0,N27+W28/(1+Policy_Sched!$K27))</f>
        <v>0</v>
      </c>
      <c r="X27" s="38">
        <f>IF($A27&gt;LastT,0,(-Q27+X28)/(1+Policy_Sched!$K27))</f>
        <v>0</v>
      </c>
      <c r="Y27" s="38">
        <f>IF($A27&gt;LastT,0,-V27+Y28/(1+Policy_Sched!$K27))</f>
        <v>0</v>
      </c>
      <c r="Z27" s="42">
        <f t="shared" si="14"/>
        <v>0</v>
      </c>
      <c r="AA27" s="38">
        <f>IF($A27&gt;LastT,0,N27-V27-Q27/(1+Policy_Sched!$K27)+Z28/(1+Policy_Sched!$K27))</f>
        <v>0</v>
      </c>
    </row>
    <row r="28" spans="1:27" x14ac:dyDescent="0.2">
      <c r="A28" s="30">
        <f t="shared" si="15"/>
        <v>21</v>
      </c>
      <c r="B28" s="31">
        <f t="shared" si="16"/>
        <v>0</v>
      </c>
      <c r="C28" s="31">
        <f>IF($A28&gt;LastT,0,IF(AND($D$3&lt;&gt;0,$A28&gt;=T0,Policy_Sched!$B28&lt;LastAge),1+$D$3*$E$3,1))</f>
        <v>0</v>
      </c>
      <c r="D28" s="36">
        <f>IF($A28&gt;LastT,0,IF($C$3="up",MIN(Policy_Sched!$E28*(1+IF($A28&gt;=T0,$E$3,0)),$F$3),IF($C$3="down",MAX(Policy_Sched!$E28*(1-IF($A28&gt;=T0,$E$3,0)),Policy_Sched!$E28-$F$3),Policy_Sched!$E28)))</f>
        <v>0</v>
      </c>
      <c r="E28" s="37">
        <f t="shared" si="17"/>
        <v>0</v>
      </c>
      <c r="F28" s="37">
        <f t="shared" si="0"/>
        <v>0</v>
      </c>
      <c r="G28" s="37">
        <f t="shared" si="1"/>
        <v>0</v>
      </c>
      <c r="H28" s="37">
        <f t="shared" si="2"/>
        <v>0</v>
      </c>
      <c r="I28" s="37">
        <f t="shared" si="3"/>
        <v>0</v>
      </c>
      <c r="J28" s="37">
        <f t="shared" si="4"/>
        <v>0</v>
      </c>
      <c r="K28" s="37">
        <f>IF($A28&gt;LastT,0,J28*Policy_Sched!$C28*Policy_Sched!$D28*C28)</f>
        <v>0</v>
      </c>
      <c r="L28" s="41">
        <f t="shared" si="5"/>
        <v>0</v>
      </c>
      <c r="M28" s="38">
        <f t="shared" si="6"/>
        <v>0</v>
      </c>
      <c r="N28" s="38">
        <f t="shared" si="7"/>
        <v>0</v>
      </c>
      <c r="O28" s="38">
        <f t="shared" si="8"/>
        <v>0</v>
      </c>
      <c r="P28" s="38">
        <f>Policy_Sched!$I28*(L28+I28)</f>
        <v>0</v>
      </c>
      <c r="Q28" s="42">
        <f t="shared" si="9"/>
        <v>0</v>
      </c>
      <c r="R28" s="38">
        <f t="shared" si="10"/>
        <v>0</v>
      </c>
      <c r="S28" s="38">
        <f t="shared" si="11"/>
        <v>0</v>
      </c>
      <c r="T28" s="38">
        <f>Policy_Sched!$J28*J28</f>
        <v>0</v>
      </c>
      <c r="U28" s="42">
        <f t="shared" si="12"/>
        <v>0</v>
      </c>
      <c r="V28" s="42">
        <f t="shared" si="13"/>
        <v>0</v>
      </c>
      <c r="W28" s="38">
        <f>IF($A28&gt;LastT,0,N28+W29/(1+Policy_Sched!$K28))</f>
        <v>0</v>
      </c>
      <c r="X28" s="38">
        <f>IF($A28&gt;LastT,0,(-Q28+X29)/(1+Policy_Sched!$K28))</f>
        <v>0</v>
      </c>
      <c r="Y28" s="38">
        <f>IF($A28&gt;LastT,0,-V28+Y29/(1+Policy_Sched!$K28))</f>
        <v>0</v>
      </c>
      <c r="Z28" s="42">
        <f t="shared" si="14"/>
        <v>0</v>
      </c>
      <c r="AA28" s="38">
        <f>IF($A28&gt;LastT,0,N28-V28-Q28/(1+Policy_Sched!$K28)+Z29/(1+Policy_Sched!$K28))</f>
        <v>0</v>
      </c>
    </row>
    <row r="29" spans="1:27" x14ac:dyDescent="0.2">
      <c r="A29" s="30">
        <f t="shared" si="15"/>
        <v>22</v>
      </c>
      <c r="B29" s="31">
        <f t="shared" si="16"/>
        <v>0</v>
      </c>
      <c r="C29" s="31">
        <f>IF($A29&gt;LastT,0,IF(AND($D$3&lt;&gt;0,$A29&gt;=T0,Policy_Sched!$B29&lt;LastAge),1+$D$3*$E$3,1))</f>
        <v>0</v>
      </c>
      <c r="D29" s="36">
        <f>IF($A29&gt;LastT,0,IF($C$3="up",MIN(Policy_Sched!$E29*(1+IF($A29&gt;=T0,$E$3,0)),$F$3),IF($C$3="down",MAX(Policy_Sched!$E29*(1-IF($A29&gt;=T0,$E$3,0)),Policy_Sched!$E29-$F$3),Policy_Sched!$E29)))</f>
        <v>0</v>
      </c>
      <c r="E29" s="37">
        <f t="shared" si="17"/>
        <v>0</v>
      </c>
      <c r="F29" s="37">
        <f t="shared" si="0"/>
        <v>0</v>
      </c>
      <c r="G29" s="37">
        <f t="shared" si="1"/>
        <v>0</v>
      </c>
      <c r="H29" s="37">
        <f t="shared" si="2"/>
        <v>0</v>
      </c>
      <c r="I29" s="37">
        <f t="shared" si="3"/>
        <v>0</v>
      </c>
      <c r="J29" s="37">
        <f t="shared" si="4"/>
        <v>0</v>
      </c>
      <c r="K29" s="37">
        <f>IF($A29&gt;LastT,0,J29*Policy_Sched!$C29*Policy_Sched!$D29*C29)</f>
        <v>0</v>
      </c>
      <c r="L29" s="41">
        <f t="shared" si="5"/>
        <v>0</v>
      </c>
      <c r="M29" s="38">
        <f t="shared" si="6"/>
        <v>0</v>
      </c>
      <c r="N29" s="38">
        <f t="shared" si="7"/>
        <v>0</v>
      </c>
      <c r="O29" s="38">
        <f t="shared" si="8"/>
        <v>0</v>
      </c>
      <c r="P29" s="38">
        <f>Policy_Sched!$I29*(L29+I29)</f>
        <v>0</v>
      </c>
      <c r="Q29" s="42">
        <f t="shared" si="9"/>
        <v>0</v>
      </c>
      <c r="R29" s="38">
        <f t="shared" si="10"/>
        <v>0</v>
      </c>
      <c r="S29" s="38">
        <f t="shared" si="11"/>
        <v>0</v>
      </c>
      <c r="T29" s="38">
        <f>Policy_Sched!$J29*J29</f>
        <v>0</v>
      </c>
      <c r="U29" s="42">
        <f t="shared" si="12"/>
        <v>0</v>
      </c>
      <c r="V29" s="42">
        <f t="shared" si="13"/>
        <v>0</v>
      </c>
      <c r="W29" s="38">
        <f>IF($A29&gt;LastT,0,N29+W30/(1+Policy_Sched!$K29))</f>
        <v>0</v>
      </c>
      <c r="X29" s="38">
        <f>IF($A29&gt;LastT,0,(-Q29+X30)/(1+Policy_Sched!$K29))</f>
        <v>0</v>
      </c>
      <c r="Y29" s="38">
        <f>IF($A29&gt;LastT,0,-V29+Y30/(1+Policy_Sched!$K29))</f>
        <v>0</v>
      </c>
      <c r="Z29" s="42">
        <f t="shared" si="14"/>
        <v>0</v>
      </c>
      <c r="AA29" s="38">
        <f>IF($A29&gt;LastT,0,N29-V29-Q29/(1+Policy_Sched!$K29)+Z30/(1+Policy_Sched!$K29))</f>
        <v>0</v>
      </c>
    </row>
    <row r="30" spans="1:27" x14ac:dyDescent="0.2">
      <c r="A30" s="30">
        <f t="shared" si="15"/>
        <v>23</v>
      </c>
      <c r="B30" s="31">
        <f t="shared" si="16"/>
        <v>0</v>
      </c>
      <c r="C30" s="31">
        <f>IF($A30&gt;LastT,0,IF(AND($D$3&lt;&gt;0,$A30&gt;=T0,Policy_Sched!$B30&lt;LastAge),1+$D$3*$E$3,1))</f>
        <v>0</v>
      </c>
      <c r="D30" s="36">
        <f>IF($A30&gt;LastT,0,IF($C$3="up",MIN(Policy_Sched!$E30*(1+IF($A30&gt;=T0,$E$3,0)),$F$3),IF($C$3="down",MAX(Policy_Sched!$E30*(1-IF($A30&gt;=T0,$E$3,0)),Policy_Sched!$E30-$F$3),Policy_Sched!$E30)))</f>
        <v>0</v>
      </c>
      <c r="E30" s="37">
        <f t="shared" si="17"/>
        <v>0</v>
      </c>
      <c r="F30" s="37">
        <f t="shared" si="0"/>
        <v>0</v>
      </c>
      <c r="G30" s="37">
        <f t="shared" si="1"/>
        <v>0</v>
      </c>
      <c r="H30" s="37">
        <f t="shared" si="2"/>
        <v>0</v>
      </c>
      <c r="I30" s="37">
        <f t="shared" si="3"/>
        <v>0</v>
      </c>
      <c r="J30" s="37">
        <f t="shared" si="4"/>
        <v>0</v>
      </c>
      <c r="K30" s="37">
        <f>IF($A30&gt;LastT,0,J30*Policy_Sched!$C30*Policy_Sched!$D30*C30)</f>
        <v>0</v>
      </c>
      <c r="L30" s="41">
        <f t="shared" si="5"/>
        <v>0</v>
      </c>
      <c r="M30" s="38">
        <f t="shared" si="6"/>
        <v>0</v>
      </c>
      <c r="N30" s="38">
        <f t="shared" si="7"/>
        <v>0</v>
      </c>
      <c r="O30" s="38">
        <f t="shared" si="8"/>
        <v>0</v>
      </c>
      <c r="P30" s="38">
        <f>Policy_Sched!$I30*(L30+I30)</f>
        <v>0</v>
      </c>
      <c r="Q30" s="42">
        <f t="shared" si="9"/>
        <v>0</v>
      </c>
      <c r="R30" s="38">
        <f t="shared" si="10"/>
        <v>0</v>
      </c>
      <c r="S30" s="38">
        <f t="shared" si="11"/>
        <v>0</v>
      </c>
      <c r="T30" s="38">
        <f>Policy_Sched!$J30*J30</f>
        <v>0</v>
      </c>
      <c r="U30" s="42">
        <f t="shared" si="12"/>
        <v>0</v>
      </c>
      <c r="V30" s="42">
        <f t="shared" si="13"/>
        <v>0</v>
      </c>
      <c r="W30" s="38">
        <f>IF($A30&gt;LastT,0,N30+W31/(1+Policy_Sched!$K30))</f>
        <v>0</v>
      </c>
      <c r="X30" s="38">
        <f>IF($A30&gt;LastT,0,(-Q30+X31)/(1+Policy_Sched!$K30))</f>
        <v>0</v>
      </c>
      <c r="Y30" s="38">
        <f>IF($A30&gt;LastT,0,-V30+Y31/(1+Policy_Sched!$K30))</f>
        <v>0</v>
      </c>
      <c r="Z30" s="42">
        <f t="shared" si="14"/>
        <v>0</v>
      </c>
      <c r="AA30" s="38">
        <f>IF($A30&gt;LastT,0,N30-V30-Q30/(1+Policy_Sched!$K30)+Z31/(1+Policy_Sched!$K30))</f>
        <v>0</v>
      </c>
    </row>
    <row r="31" spans="1:27" x14ac:dyDescent="0.2">
      <c r="A31" s="30">
        <f t="shared" si="15"/>
        <v>24</v>
      </c>
      <c r="B31" s="31">
        <f t="shared" si="16"/>
        <v>0</v>
      </c>
      <c r="C31" s="31">
        <f>IF($A31&gt;LastT,0,IF(AND($D$3&lt;&gt;0,$A31&gt;=T0,Policy_Sched!$B31&lt;LastAge),1+$D$3*$E$3,1))</f>
        <v>0</v>
      </c>
      <c r="D31" s="36">
        <f>IF($A31&gt;LastT,0,IF($C$3="up",MIN(Policy_Sched!$E31*(1+IF($A31&gt;=T0,$E$3,0)),$F$3),IF($C$3="down",MAX(Policy_Sched!$E31*(1-IF($A31&gt;=T0,$E$3,0)),Policy_Sched!$E31-$F$3),Policy_Sched!$E31)))</f>
        <v>0</v>
      </c>
      <c r="E31" s="37">
        <f t="shared" si="17"/>
        <v>0</v>
      </c>
      <c r="F31" s="37">
        <f t="shared" si="0"/>
        <v>0</v>
      </c>
      <c r="G31" s="37">
        <f t="shared" si="1"/>
        <v>0</v>
      </c>
      <c r="H31" s="37">
        <f t="shared" si="2"/>
        <v>0</v>
      </c>
      <c r="I31" s="37">
        <f t="shared" si="3"/>
        <v>0</v>
      </c>
      <c r="J31" s="37">
        <f t="shared" si="4"/>
        <v>0</v>
      </c>
      <c r="K31" s="37">
        <f>IF($A31&gt;LastT,0,J31*Policy_Sched!$C31*Policy_Sched!$D31*C31)</f>
        <v>0</v>
      </c>
      <c r="L31" s="41">
        <f t="shared" si="5"/>
        <v>0</v>
      </c>
      <c r="M31" s="38">
        <f t="shared" si="6"/>
        <v>0</v>
      </c>
      <c r="N31" s="38">
        <f t="shared" si="7"/>
        <v>0</v>
      </c>
      <c r="O31" s="38">
        <f t="shared" si="8"/>
        <v>0</v>
      </c>
      <c r="P31" s="38">
        <f>Policy_Sched!$I31*(L31+I31)</f>
        <v>0</v>
      </c>
      <c r="Q31" s="42">
        <f t="shared" si="9"/>
        <v>0</v>
      </c>
      <c r="R31" s="38">
        <f t="shared" si="10"/>
        <v>0</v>
      </c>
      <c r="S31" s="38">
        <f t="shared" si="11"/>
        <v>0</v>
      </c>
      <c r="T31" s="38">
        <f>Policy_Sched!$J31*J31</f>
        <v>0</v>
      </c>
      <c r="U31" s="42">
        <f t="shared" si="12"/>
        <v>0</v>
      </c>
      <c r="V31" s="42">
        <f t="shared" si="13"/>
        <v>0</v>
      </c>
      <c r="W31" s="38">
        <f>IF($A31&gt;LastT,0,N31+W32/(1+Policy_Sched!$K31))</f>
        <v>0</v>
      </c>
      <c r="X31" s="38">
        <f>IF($A31&gt;LastT,0,(-Q31+X32)/(1+Policy_Sched!$K31))</f>
        <v>0</v>
      </c>
      <c r="Y31" s="38">
        <f>IF($A31&gt;LastT,0,-V31+Y32/(1+Policy_Sched!$K31))</f>
        <v>0</v>
      </c>
      <c r="Z31" s="42">
        <f t="shared" si="14"/>
        <v>0</v>
      </c>
      <c r="AA31" s="38">
        <f>IF($A31&gt;LastT,0,N31-V31-Q31/(1+Policy_Sched!$K31)+Z32/(1+Policy_Sched!$K31))</f>
        <v>0</v>
      </c>
    </row>
    <row r="32" spans="1:27" x14ac:dyDescent="0.2">
      <c r="A32" s="30">
        <f t="shared" si="15"/>
        <v>25</v>
      </c>
      <c r="B32" s="31">
        <f t="shared" si="16"/>
        <v>0</v>
      </c>
      <c r="C32" s="31">
        <f>IF($A32&gt;LastT,0,IF(AND($D$3&lt;&gt;0,$A32&gt;=T0,Policy_Sched!$B32&lt;LastAge),1+$D$3*$E$3,1))</f>
        <v>0</v>
      </c>
      <c r="D32" s="36">
        <f>IF($A32&gt;LastT,0,IF($C$3="up",MIN(Policy_Sched!$E32*(1+IF($A32&gt;=T0,$E$3,0)),$F$3),IF($C$3="down",MAX(Policy_Sched!$E32*(1-IF($A32&gt;=T0,$E$3,0)),Policy_Sched!$E32-$F$3),Policy_Sched!$E32)))</f>
        <v>0</v>
      </c>
      <c r="E32" s="37">
        <f t="shared" si="17"/>
        <v>0</v>
      </c>
      <c r="F32" s="37">
        <f t="shared" si="0"/>
        <v>0</v>
      </c>
      <c r="G32" s="37">
        <f t="shared" si="1"/>
        <v>0</v>
      </c>
      <c r="H32" s="37">
        <f t="shared" si="2"/>
        <v>0</v>
      </c>
      <c r="I32" s="37">
        <f t="shared" si="3"/>
        <v>0</v>
      </c>
      <c r="J32" s="37">
        <f t="shared" si="4"/>
        <v>0</v>
      </c>
      <c r="K32" s="37">
        <f>IF($A32&gt;LastT,0,J32*Policy_Sched!$C32*Policy_Sched!$D32*C32)</f>
        <v>0</v>
      </c>
      <c r="L32" s="41">
        <f t="shared" si="5"/>
        <v>0</v>
      </c>
      <c r="M32" s="38">
        <f t="shared" si="6"/>
        <v>0</v>
      </c>
      <c r="N32" s="38">
        <f t="shared" si="7"/>
        <v>0</v>
      </c>
      <c r="O32" s="38">
        <f t="shared" si="8"/>
        <v>0</v>
      </c>
      <c r="P32" s="38">
        <f>Policy_Sched!$I32*(L32+I32)</f>
        <v>0</v>
      </c>
      <c r="Q32" s="42">
        <f t="shared" si="9"/>
        <v>0</v>
      </c>
      <c r="R32" s="38">
        <f t="shared" si="10"/>
        <v>0</v>
      </c>
      <c r="S32" s="38">
        <f t="shared" si="11"/>
        <v>0</v>
      </c>
      <c r="T32" s="38">
        <f>Policy_Sched!$J32*J32</f>
        <v>0</v>
      </c>
      <c r="U32" s="42">
        <f t="shared" si="12"/>
        <v>0</v>
      </c>
      <c r="V32" s="42">
        <f t="shared" si="13"/>
        <v>0</v>
      </c>
      <c r="W32" s="38">
        <f>IF($A32&gt;LastT,0,N32+W33/(1+Policy_Sched!$K32))</f>
        <v>0</v>
      </c>
      <c r="X32" s="38">
        <f>IF($A32&gt;LastT,0,(-Q32+X33)/(1+Policy_Sched!$K32))</f>
        <v>0</v>
      </c>
      <c r="Y32" s="38">
        <f>IF($A32&gt;LastT,0,-V32+Y33/(1+Policy_Sched!$K32))</f>
        <v>0</v>
      </c>
      <c r="Z32" s="42">
        <f t="shared" si="14"/>
        <v>0</v>
      </c>
      <c r="AA32" s="38">
        <f>IF($A32&gt;LastT,0,N32-V32-Q32/(1+Policy_Sched!$K32)+Z33/(1+Policy_Sched!$K32))</f>
        <v>0</v>
      </c>
    </row>
    <row r="33" spans="1:27" x14ac:dyDescent="0.2">
      <c r="A33" s="30">
        <f t="shared" si="15"/>
        <v>26</v>
      </c>
      <c r="B33" s="31">
        <f t="shared" si="16"/>
        <v>0</v>
      </c>
      <c r="C33" s="31">
        <f>IF($A33&gt;LastT,0,IF(AND($D$3&lt;&gt;0,$A33&gt;=T0,Policy_Sched!$B33&lt;LastAge),1+$D$3*$E$3,1))</f>
        <v>0</v>
      </c>
      <c r="D33" s="36">
        <f>IF($A33&gt;LastT,0,IF($C$3="up",MIN(Policy_Sched!$E33*(1+IF($A33&gt;=T0,$E$3,0)),$F$3),IF($C$3="down",MAX(Policy_Sched!$E33*(1-IF($A33&gt;=T0,$E$3,0)),Policy_Sched!$E33-$F$3),Policy_Sched!$E33)))</f>
        <v>0</v>
      </c>
      <c r="E33" s="37">
        <f t="shared" si="17"/>
        <v>0</v>
      </c>
      <c r="F33" s="37">
        <f t="shared" si="0"/>
        <v>0</v>
      </c>
      <c r="G33" s="37">
        <f t="shared" si="1"/>
        <v>0</v>
      </c>
      <c r="H33" s="37">
        <f t="shared" si="2"/>
        <v>0</v>
      </c>
      <c r="I33" s="37">
        <f t="shared" si="3"/>
        <v>0</v>
      </c>
      <c r="J33" s="37">
        <f t="shared" si="4"/>
        <v>0</v>
      </c>
      <c r="K33" s="37">
        <f>IF($A33&gt;LastT,0,J33*Policy_Sched!$C33*Policy_Sched!$D33*C33)</f>
        <v>0</v>
      </c>
      <c r="L33" s="41">
        <f t="shared" si="5"/>
        <v>0</v>
      </c>
      <c r="M33" s="38">
        <f t="shared" si="6"/>
        <v>0</v>
      </c>
      <c r="N33" s="38">
        <f t="shared" si="7"/>
        <v>0</v>
      </c>
      <c r="O33" s="38">
        <f t="shared" si="8"/>
        <v>0</v>
      </c>
      <c r="P33" s="38">
        <f>Policy_Sched!$I33*(L33+I33)</f>
        <v>0</v>
      </c>
      <c r="Q33" s="42">
        <f t="shared" si="9"/>
        <v>0</v>
      </c>
      <c r="R33" s="38">
        <f t="shared" si="10"/>
        <v>0</v>
      </c>
      <c r="S33" s="38">
        <f t="shared" si="11"/>
        <v>0</v>
      </c>
      <c r="T33" s="38">
        <f>Policy_Sched!$J33*J33</f>
        <v>0</v>
      </c>
      <c r="U33" s="42">
        <f t="shared" si="12"/>
        <v>0</v>
      </c>
      <c r="V33" s="42">
        <f t="shared" si="13"/>
        <v>0</v>
      </c>
      <c r="W33" s="38">
        <f>IF($A33&gt;LastT,0,N33+W34/(1+Policy_Sched!$K33))</f>
        <v>0</v>
      </c>
      <c r="X33" s="38">
        <f>IF($A33&gt;LastT,0,(-Q33+X34)/(1+Policy_Sched!$K33))</f>
        <v>0</v>
      </c>
      <c r="Y33" s="38">
        <f>IF($A33&gt;LastT,0,-V33+Y34/(1+Policy_Sched!$K33))</f>
        <v>0</v>
      </c>
      <c r="Z33" s="42">
        <f t="shared" si="14"/>
        <v>0</v>
      </c>
      <c r="AA33" s="38">
        <f>IF($A33&gt;LastT,0,N33-V33-Q33/(1+Policy_Sched!$K33)+Z34/(1+Policy_Sched!$K33))</f>
        <v>0</v>
      </c>
    </row>
    <row r="34" spans="1:27" x14ac:dyDescent="0.2">
      <c r="A34" s="30">
        <f t="shared" si="15"/>
        <v>27</v>
      </c>
      <c r="B34" s="31">
        <f t="shared" si="16"/>
        <v>0</v>
      </c>
      <c r="C34" s="31">
        <f>IF($A34&gt;LastT,0,IF(AND($D$3&lt;&gt;0,$A34&gt;=T0,Policy_Sched!$B34&lt;LastAge),1+$D$3*$E$3,1))</f>
        <v>0</v>
      </c>
      <c r="D34" s="36">
        <f>IF($A34&gt;LastT,0,IF($C$3="up",MIN(Policy_Sched!$E34*(1+IF($A34&gt;=T0,$E$3,0)),$F$3),IF($C$3="down",MAX(Policy_Sched!$E34*(1-IF($A34&gt;=T0,$E$3,0)),Policy_Sched!$E34-$F$3),Policy_Sched!$E34)))</f>
        <v>0</v>
      </c>
      <c r="E34" s="37">
        <f t="shared" si="17"/>
        <v>0</v>
      </c>
      <c r="F34" s="37">
        <f t="shared" si="0"/>
        <v>0</v>
      </c>
      <c r="G34" s="37">
        <f t="shared" si="1"/>
        <v>0</v>
      </c>
      <c r="H34" s="37">
        <f t="shared" si="2"/>
        <v>0</v>
      </c>
      <c r="I34" s="37">
        <f t="shared" si="3"/>
        <v>0</v>
      </c>
      <c r="J34" s="37">
        <f t="shared" si="4"/>
        <v>0</v>
      </c>
      <c r="K34" s="37">
        <f>IF($A34&gt;LastT,0,J34*Policy_Sched!$C34*Policy_Sched!$D34*C34)</f>
        <v>0</v>
      </c>
      <c r="L34" s="41">
        <f t="shared" si="5"/>
        <v>0</v>
      </c>
      <c r="M34" s="38">
        <f t="shared" si="6"/>
        <v>0</v>
      </c>
      <c r="N34" s="38">
        <f t="shared" si="7"/>
        <v>0</v>
      </c>
      <c r="O34" s="38">
        <f t="shared" si="8"/>
        <v>0</v>
      </c>
      <c r="P34" s="38">
        <f>Policy_Sched!$I34*(L34+I34)</f>
        <v>0</v>
      </c>
      <c r="Q34" s="42">
        <f t="shared" si="9"/>
        <v>0</v>
      </c>
      <c r="R34" s="38">
        <f t="shared" si="10"/>
        <v>0</v>
      </c>
      <c r="S34" s="38">
        <f t="shared" si="11"/>
        <v>0</v>
      </c>
      <c r="T34" s="38">
        <f>Policy_Sched!$J34*J34</f>
        <v>0</v>
      </c>
      <c r="U34" s="42">
        <f t="shared" si="12"/>
        <v>0</v>
      </c>
      <c r="V34" s="42">
        <f t="shared" si="13"/>
        <v>0</v>
      </c>
      <c r="W34" s="38">
        <f>IF($A34&gt;LastT,0,N34+W35/(1+Policy_Sched!$K34))</f>
        <v>0</v>
      </c>
      <c r="X34" s="38">
        <f>IF($A34&gt;LastT,0,(-Q34+X35)/(1+Policy_Sched!$K34))</f>
        <v>0</v>
      </c>
      <c r="Y34" s="38">
        <f>IF($A34&gt;LastT,0,-V34+Y35/(1+Policy_Sched!$K34))</f>
        <v>0</v>
      </c>
      <c r="Z34" s="42">
        <f t="shared" si="14"/>
        <v>0</v>
      </c>
      <c r="AA34" s="38">
        <f>IF($A34&gt;LastT,0,N34-V34-Q34/(1+Policy_Sched!$K34)+Z35/(1+Policy_Sched!$K34))</f>
        <v>0</v>
      </c>
    </row>
    <row r="35" spans="1:27" x14ac:dyDescent="0.2">
      <c r="A35" s="30">
        <f t="shared" si="15"/>
        <v>28</v>
      </c>
      <c r="B35" s="31">
        <f t="shared" si="16"/>
        <v>0</v>
      </c>
      <c r="C35" s="31">
        <f>IF($A35&gt;LastT,0,IF(AND($D$3&lt;&gt;0,$A35&gt;=T0,Policy_Sched!$B35&lt;LastAge),1+$D$3*$E$3,1))</f>
        <v>0</v>
      </c>
      <c r="D35" s="36">
        <f>IF($A35&gt;LastT,0,IF($C$3="up",MIN(Policy_Sched!$E35*(1+IF($A35&gt;=T0,$E$3,0)),$F$3),IF($C$3="down",MAX(Policy_Sched!$E35*(1-IF($A35&gt;=T0,$E$3,0)),Policy_Sched!$E35-$F$3),Policy_Sched!$E35)))</f>
        <v>0</v>
      </c>
      <c r="E35" s="37">
        <f t="shared" si="17"/>
        <v>0</v>
      </c>
      <c r="F35" s="37">
        <f t="shared" si="0"/>
        <v>0</v>
      </c>
      <c r="G35" s="37">
        <f t="shared" si="1"/>
        <v>0</v>
      </c>
      <c r="H35" s="37">
        <f t="shared" si="2"/>
        <v>0</v>
      </c>
      <c r="I35" s="37">
        <f t="shared" si="3"/>
        <v>0</v>
      </c>
      <c r="J35" s="37">
        <f t="shared" si="4"/>
        <v>0</v>
      </c>
      <c r="K35" s="37">
        <f>IF($A35&gt;LastT,0,J35*Policy_Sched!$C35*Policy_Sched!$D35*C35)</f>
        <v>0</v>
      </c>
      <c r="L35" s="41">
        <f t="shared" si="5"/>
        <v>0</v>
      </c>
      <c r="M35" s="38">
        <f t="shared" si="6"/>
        <v>0</v>
      </c>
      <c r="N35" s="38">
        <f t="shared" si="7"/>
        <v>0</v>
      </c>
      <c r="O35" s="38">
        <f t="shared" si="8"/>
        <v>0</v>
      </c>
      <c r="P35" s="38">
        <f>Policy_Sched!$I35*(L35+I35)</f>
        <v>0</v>
      </c>
      <c r="Q35" s="42">
        <f t="shared" si="9"/>
        <v>0</v>
      </c>
      <c r="R35" s="38">
        <f t="shared" si="10"/>
        <v>0</v>
      </c>
      <c r="S35" s="38">
        <f t="shared" si="11"/>
        <v>0</v>
      </c>
      <c r="T35" s="38">
        <f>Policy_Sched!$J35*J35</f>
        <v>0</v>
      </c>
      <c r="U35" s="42">
        <f t="shared" si="12"/>
        <v>0</v>
      </c>
      <c r="V35" s="42">
        <f t="shared" si="13"/>
        <v>0</v>
      </c>
      <c r="W35" s="38">
        <f>IF($A35&gt;LastT,0,N35+W36/(1+Policy_Sched!$K35))</f>
        <v>0</v>
      </c>
      <c r="X35" s="38">
        <f>IF($A35&gt;LastT,0,(-Q35+X36)/(1+Policy_Sched!$K35))</f>
        <v>0</v>
      </c>
      <c r="Y35" s="38">
        <f>IF($A35&gt;LastT,0,-V35+Y36/(1+Policy_Sched!$K35))</f>
        <v>0</v>
      </c>
      <c r="Z35" s="42">
        <f t="shared" si="14"/>
        <v>0</v>
      </c>
      <c r="AA35" s="38">
        <f>IF($A35&gt;LastT,0,N35-V35-Q35/(1+Policy_Sched!$K35)+Z36/(1+Policy_Sched!$K35))</f>
        <v>0</v>
      </c>
    </row>
    <row r="36" spans="1:27" x14ac:dyDescent="0.2">
      <c r="A36" s="30">
        <f t="shared" si="15"/>
        <v>29</v>
      </c>
      <c r="B36" s="31">
        <f t="shared" si="16"/>
        <v>0</v>
      </c>
      <c r="C36" s="31">
        <f>IF($A36&gt;LastT,0,IF(AND($D$3&lt;&gt;0,$A36&gt;=T0,Policy_Sched!$B36&lt;LastAge),1+$D$3*$E$3,1))</f>
        <v>0</v>
      </c>
      <c r="D36" s="36">
        <f>IF($A36&gt;LastT,0,IF($C$3="up",MIN(Policy_Sched!$E36*(1+IF($A36&gt;=T0,$E$3,0)),$F$3),IF($C$3="down",MAX(Policy_Sched!$E36*(1-IF($A36&gt;=T0,$E$3,0)),Policy_Sched!$E36-$F$3),Policy_Sched!$E36)))</f>
        <v>0</v>
      </c>
      <c r="E36" s="37">
        <f t="shared" si="17"/>
        <v>0</v>
      </c>
      <c r="F36" s="37">
        <f t="shared" si="0"/>
        <v>0</v>
      </c>
      <c r="G36" s="37">
        <f t="shared" si="1"/>
        <v>0</v>
      </c>
      <c r="H36" s="37">
        <f t="shared" si="2"/>
        <v>0</v>
      </c>
      <c r="I36" s="37">
        <f t="shared" si="3"/>
        <v>0</v>
      </c>
      <c r="J36" s="37">
        <f t="shared" si="4"/>
        <v>0</v>
      </c>
      <c r="K36" s="37">
        <f>IF($A36&gt;LastT,0,J36*Policy_Sched!$C36*Policy_Sched!$D36*C36)</f>
        <v>0</v>
      </c>
      <c r="L36" s="41">
        <f t="shared" si="5"/>
        <v>0</v>
      </c>
      <c r="M36" s="38">
        <f t="shared" si="6"/>
        <v>0</v>
      </c>
      <c r="N36" s="38">
        <f t="shared" si="7"/>
        <v>0</v>
      </c>
      <c r="O36" s="38">
        <f t="shared" si="8"/>
        <v>0</v>
      </c>
      <c r="P36" s="38">
        <f>Policy_Sched!$I36*(L36+I36)</f>
        <v>0</v>
      </c>
      <c r="Q36" s="42">
        <f t="shared" si="9"/>
        <v>0</v>
      </c>
      <c r="R36" s="38">
        <f t="shared" si="10"/>
        <v>0</v>
      </c>
      <c r="S36" s="38">
        <f t="shared" si="11"/>
        <v>0</v>
      </c>
      <c r="T36" s="38">
        <f>Policy_Sched!$J36*J36</f>
        <v>0</v>
      </c>
      <c r="U36" s="42">
        <f t="shared" si="12"/>
        <v>0</v>
      </c>
      <c r="V36" s="42">
        <f t="shared" si="13"/>
        <v>0</v>
      </c>
      <c r="W36" s="38">
        <f>IF($A36&gt;LastT,0,N36+W37/(1+Policy_Sched!$K36))</f>
        <v>0</v>
      </c>
      <c r="X36" s="38">
        <f>IF($A36&gt;LastT,0,(-Q36+X37)/(1+Policy_Sched!$K36))</f>
        <v>0</v>
      </c>
      <c r="Y36" s="38">
        <f>IF($A36&gt;LastT,0,-V36+Y37/(1+Policy_Sched!$K36))</f>
        <v>0</v>
      </c>
      <c r="Z36" s="42">
        <f t="shared" si="14"/>
        <v>0</v>
      </c>
      <c r="AA36" s="38">
        <f>IF($A36&gt;LastT,0,N36-V36-Q36/(1+Policy_Sched!$K36)+Z37/(1+Policy_Sched!$K36))</f>
        <v>0</v>
      </c>
    </row>
    <row r="37" spans="1:27" x14ac:dyDescent="0.2">
      <c r="A37" s="30">
        <f t="shared" si="15"/>
        <v>30</v>
      </c>
      <c r="B37" s="31">
        <f t="shared" si="16"/>
        <v>0</v>
      </c>
      <c r="C37" s="31">
        <f>IF($A37&gt;LastT,0,IF(AND($D$3&lt;&gt;0,$A37&gt;=T0,Policy_Sched!$B37&lt;LastAge),1+$D$3*$E$3,1))</f>
        <v>0</v>
      </c>
      <c r="D37" s="36">
        <f>IF($A37&gt;LastT,0,IF($C$3="up",MIN(Policy_Sched!$E37*(1+IF($A37&gt;=T0,$E$3,0)),$F$3),IF($C$3="down",MAX(Policy_Sched!$E37*(1-IF($A37&gt;=T0,$E$3,0)),Policy_Sched!$E37-$F$3),Policy_Sched!$E37)))</f>
        <v>0</v>
      </c>
      <c r="E37" s="37">
        <f t="shared" si="17"/>
        <v>0</v>
      </c>
      <c r="F37" s="37">
        <f t="shared" si="0"/>
        <v>0</v>
      </c>
      <c r="G37" s="37">
        <f t="shared" si="1"/>
        <v>0</v>
      </c>
      <c r="H37" s="37">
        <f t="shared" si="2"/>
        <v>0</v>
      </c>
      <c r="I37" s="37">
        <f t="shared" si="3"/>
        <v>0</v>
      </c>
      <c r="J37" s="37">
        <f t="shared" si="4"/>
        <v>0</v>
      </c>
      <c r="K37" s="37">
        <f>IF($A37&gt;LastT,0,J37*Policy_Sched!$C37*Policy_Sched!$D37*C37)</f>
        <v>0</v>
      </c>
      <c r="L37" s="41">
        <f t="shared" si="5"/>
        <v>0</v>
      </c>
      <c r="M37" s="38">
        <f t="shared" si="6"/>
        <v>0</v>
      </c>
      <c r="N37" s="38">
        <f t="shared" si="7"/>
        <v>0</v>
      </c>
      <c r="O37" s="38">
        <f t="shared" si="8"/>
        <v>0</v>
      </c>
      <c r="P37" s="38">
        <f>Policy_Sched!$I37*(L37+I37)</f>
        <v>0</v>
      </c>
      <c r="Q37" s="42">
        <f t="shared" si="9"/>
        <v>0</v>
      </c>
      <c r="R37" s="38">
        <f t="shared" si="10"/>
        <v>0</v>
      </c>
      <c r="S37" s="38">
        <f t="shared" si="11"/>
        <v>0</v>
      </c>
      <c r="T37" s="38">
        <f>Policy_Sched!$J37*J37</f>
        <v>0</v>
      </c>
      <c r="U37" s="42">
        <f t="shared" si="12"/>
        <v>0</v>
      </c>
      <c r="V37" s="42">
        <f t="shared" si="13"/>
        <v>0</v>
      </c>
      <c r="W37" s="38">
        <f>IF($A37&gt;LastT,0,N37+W38/(1+Policy_Sched!$K37))</f>
        <v>0</v>
      </c>
      <c r="X37" s="38">
        <f>IF($A37&gt;LastT,0,(-Q37+X38)/(1+Policy_Sched!$K37))</f>
        <v>0</v>
      </c>
      <c r="Y37" s="38">
        <f>IF($A37&gt;LastT,0,-V37+Y38/(1+Policy_Sched!$K37))</f>
        <v>0</v>
      </c>
      <c r="Z37" s="42">
        <f t="shared" si="14"/>
        <v>0</v>
      </c>
      <c r="AA37" s="38">
        <f>IF($A37&gt;LastT,0,N37-V37-Q37/(1+Policy_Sched!$K37)+Z38/(1+Policy_Sched!$K37))</f>
        <v>0</v>
      </c>
    </row>
    <row r="38" spans="1:27" x14ac:dyDescent="0.2">
      <c r="A38" s="30">
        <f t="shared" si="15"/>
        <v>31</v>
      </c>
      <c r="B38" s="31">
        <f t="shared" si="16"/>
        <v>0</v>
      </c>
      <c r="C38" s="31">
        <f>IF($A38&gt;LastT,0,IF(AND($D$3&lt;&gt;0,$A38&gt;=T0,Policy_Sched!$B38&lt;LastAge),1+$D$3*$E$3,1))</f>
        <v>0</v>
      </c>
      <c r="D38" s="36">
        <f>IF($A38&gt;LastT,0,IF($C$3="up",MIN(Policy_Sched!$E38*(1+IF($A38&gt;=T0,$E$3,0)),$F$3),IF($C$3="down",MAX(Policy_Sched!$E38*(1-IF($A38&gt;=T0,$E$3,0)),Policy_Sched!$E38-$F$3),Policy_Sched!$E38)))</f>
        <v>0</v>
      </c>
      <c r="E38" s="37">
        <f t="shared" si="17"/>
        <v>0</v>
      </c>
      <c r="F38" s="37">
        <f t="shared" si="0"/>
        <v>0</v>
      </c>
      <c r="G38" s="37">
        <f t="shared" si="1"/>
        <v>0</v>
      </c>
      <c r="H38" s="37">
        <f t="shared" si="2"/>
        <v>0</v>
      </c>
      <c r="I38" s="37">
        <f t="shared" si="3"/>
        <v>0</v>
      </c>
      <c r="J38" s="37">
        <f t="shared" si="4"/>
        <v>0</v>
      </c>
      <c r="K38" s="37">
        <f>IF($A38&gt;LastT,0,J38*Policy_Sched!$C38*Policy_Sched!$D38*C38)</f>
        <v>0</v>
      </c>
      <c r="L38" s="41">
        <f t="shared" si="5"/>
        <v>0</v>
      </c>
      <c r="M38" s="38">
        <f t="shared" si="6"/>
        <v>0</v>
      </c>
      <c r="N38" s="38">
        <f t="shared" si="7"/>
        <v>0</v>
      </c>
      <c r="O38" s="38">
        <f t="shared" si="8"/>
        <v>0</v>
      </c>
      <c r="P38" s="38">
        <f>Policy_Sched!$I38*(L38+I38)</f>
        <v>0</v>
      </c>
      <c r="Q38" s="42">
        <f t="shared" si="9"/>
        <v>0</v>
      </c>
      <c r="R38" s="38">
        <f t="shared" si="10"/>
        <v>0</v>
      </c>
      <c r="S38" s="38">
        <f t="shared" si="11"/>
        <v>0</v>
      </c>
      <c r="T38" s="38">
        <f>Policy_Sched!$J38*J38</f>
        <v>0</v>
      </c>
      <c r="U38" s="42">
        <f t="shared" si="12"/>
        <v>0</v>
      </c>
      <c r="V38" s="42">
        <f t="shared" si="13"/>
        <v>0</v>
      </c>
      <c r="W38" s="38">
        <f>IF($A38&gt;LastT,0,N38+W39/(1+Policy_Sched!$K38))</f>
        <v>0</v>
      </c>
      <c r="X38" s="38">
        <f>IF($A38&gt;LastT,0,(-Q38+X39)/(1+Policy_Sched!$K38))</f>
        <v>0</v>
      </c>
      <c r="Y38" s="38">
        <f>IF($A38&gt;LastT,0,-V38+Y39/(1+Policy_Sched!$K38))</f>
        <v>0</v>
      </c>
      <c r="Z38" s="42">
        <f t="shared" si="14"/>
        <v>0</v>
      </c>
      <c r="AA38" s="38">
        <f>IF($A38&gt;LastT,0,N38-V38-Q38/(1+Policy_Sched!$K38)+Z39/(1+Policy_Sched!$K38))</f>
        <v>0</v>
      </c>
    </row>
    <row r="39" spans="1:27" x14ac:dyDescent="0.2">
      <c r="A39" s="30">
        <f t="shared" si="15"/>
        <v>32</v>
      </c>
      <c r="B39" s="31">
        <f t="shared" si="16"/>
        <v>0</v>
      </c>
      <c r="C39" s="31">
        <f>IF($A39&gt;LastT,0,IF(AND($D$3&lt;&gt;0,$A39&gt;=T0,Policy_Sched!$B39&lt;LastAge),1+$D$3*$E$3,1))</f>
        <v>0</v>
      </c>
      <c r="D39" s="36">
        <f>IF($A39&gt;LastT,0,IF($C$3="up",MIN(Policy_Sched!$E39*(1+IF($A39&gt;=T0,$E$3,0)),$F$3),IF($C$3="down",MAX(Policy_Sched!$E39*(1-IF($A39&gt;=T0,$E$3,0)),Policy_Sched!$E39-$F$3),Policy_Sched!$E39)))</f>
        <v>0</v>
      </c>
      <c r="E39" s="37">
        <f t="shared" si="17"/>
        <v>0</v>
      </c>
      <c r="F39" s="37">
        <f t="shared" ref="F39:F70" si="18">IF($A39&gt;LastT,0,IF($A39=PolicyTerm,E39,0))</f>
        <v>0</v>
      </c>
      <c r="G39" s="37">
        <f t="shared" ref="G39:G70" si="19">IF($A39&gt;LastT,0,E39-F39)</f>
        <v>0</v>
      </c>
      <c r="H39" s="37">
        <f t="shared" ref="H39:H70" si="20">IF($A39=0,PolicyCount,0)</f>
        <v>0</v>
      </c>
      <c r="I39" s="37">
        <f t="shared" ref="I39:I70" si="21">IF($A39&gt;LastT,0,IF(AND($C$3="mass",$A39=T0),(G39+H39)*$E$3,0))</f>
        <v>0</v>
      </c>
      <c r="J39" s="37">
        <f t="shared" ref="J39:J70" si="22">IF($A39&gt;LastT,0,G39+H39-I39)</f>
        <v>0</v>
      </c>
      <c r="K39" s="37">
        <f>IF($A39&gt;LastT,0,J39*Policy_Sched!$C39*Policy_Sched!$D39*C39)</f>
        <v>0</v>
      </c>
      <c r="L39" s="41">
        <f t="shared" ref="L39:L70" si="23">J39*D39</f>
        <v>0</v>
      </c>
      <c r="M39" s="38">
        <f t="shared" ref="M39:M70" si="24">IF($A39&gt;LastT,0,(SizeAnnPrem*ExpsMaintAnnPrem+(SumAssured*ExpsMaintSA+ExpsMaintPol)*B39)*(1+IF($B$3="exps",$E$3,0)))</f>
        <v>0</v>
      </c>
      <c r="N39" s="38">
        <f t="shared" ref="N39:N70" si="25">SizePremium*J39</f>
        <v>0</v>
      </c>
      <c r="O39" s="38">
        <f t="shared" ref="O39:O70" si="26">SumAssured*K39</f>
        <v>0</v>
      </c>
      <c r="P39" s="38">
        <f>Policy_Sched!$I39*(L39+I39)</f>
        <v>0</v>
      </c>
      <c r="Q39" s="42">
        <f t="shared" ref="Q39:Q70" si="27">O39+P39</f>
        <v>0</v>
      </c>
      <c r="R39" s="38">
        <f t="shared" ref="R39:R70" si="28">IF($A39=0,SizeExpsAcq0*H39,0)</f>
        <v>0</v>
      </c>
      <c r="S39" s="38">
        <f t="shared" ref="S39:S70" si="29">IF($A39=0,SizeExpsCommInit0*J39,0)</f>
        <v>0</v>
      </c>
      <c r="T39" s="38">
        <f>Policy_Sched!$J39*J39</f>
        <v>0</v>
      </c>
      <c r="U39" s="42">
        <f t="shared" ref="U39:U70" si="30">M39*J39</f>
        <v>0</v>
      </c>
      <c r="V39" s="42">
        <f t="shared" ref="V39:V70" si="31">S39+T39+R39+U39</f>
        <v>0</v>
      </c>
      <c r="W39" s="38">
        <f>IF($A39&gt;LastT,0,N39+W40/(1+Policy_Sched!$K39))</f>
        <v>0</v>
      </c>
      <c r="X39" s="38">
        <f>IF($A39&gt;LastT,0,(-Q39+X40)/(1+Policy_Sched!$K39))</f>
        <v>0</v>
      </c>
      <c r="Y39" s="38">
        <f>IF($A39&gt;LastT,0,-V39+Y40/(1+Policy_Sched!$K39))</f>
        <v>0</v>
      </c>
      <c r="Z39" s="42">
        <f t="shared" ref="Z39:Z70" si="32">W39+Y39+X39</f>
        <v>0</v>
      </c>
      <c r="AA39" s="38">
        <f>IF($A39&gt;LastT,0,N39-V39-Q39/(1+Policy_Sched!$K39)+Z40/(1+Policy_Sched!$K39))</f>
        <v>0</v>
      </c>
    </row>
    <row r="40" spans="1:27" x14ac:dyDescent="0.2">
      <c r="A40" s="30">
        <f t="shared" ref="A40:A71" si="33">A39+1</f>
        <v>33</v>
      </c>
      <c r="B40" s="31">
        <f t="shared" ref="B40:B71" si="34">IF($A40&gt;LastT,0,IF($B$3="exps",B39*(1+InflRate+IF($A40&gt;=T0,$G$3,0)),B39/(1+InflRate)))</f>
        <v>0</v>
      </c>
      <c r="C40" s="31">
        <f>IF($A40&gt;LastT,0,IF(AND($D$3&lt;&gt;0,$A40&gt;=T0,Policy_Sched!$B40&lt;LastAge),1+$D$3*$E$3,1))</f>
        <v>0</v>
      </c>
      <c r="D40" s="36">
        <f>IF($A40&gt;LastT,0,IF($C$3="up",MIN(Policy_Sched!$E40*(1+IF($A40&gt;=T0,$E$3,0)),$F$3),IF($C$3="down",MAX(Policy_Sched!$E40*(1-IF($A40&gt;=T0,$E$3,0)),Policy_Sched!$E40-$F$3),Policy_Sched!$E40)))</f>
        <v>0</v>
      </c>
      <c r="E40" s="37">
        <f t="shared" ref="E40:E71" si="35">IF($A40&gt;LastT,0,J39-K39-L39)</f>
        <v>0</v>
      </c>
      <c r="F40" s="37">
        <f t="shared" si="18"/>
        <v>0</v>
      </c>
      <c r="G40" s="37">
        <f t="shared" si="19"/>
        <v>0</v>
      </c>
      <c r="H40" s="37">
        <f t="shared" si="20"/>
        <v>0</v>
      </c>
      <c r="I40" s="37">
        <f t="shared" si="21"/>
        <v>0</v>
      </c>
      <c r="J40" s="37">
        <f t="shared" si="22"/>
        <v>0</v>
      </c>
      <c r="K40" s="37">
        <f>IF($A40&gt;LastT,0,J40*Policy_Sched!$C40*Policy_Sched!$D40*C40)</f>
        <v>0</v>
      </c>
      <c r="L40" s="41">
        <f t="shared" si="23"/>
        <v>0</v>
      </c>
      <c r="M40" s="38">
        <f t="shared" si="24"/>
        <v>0</v>
      </c>
      <c r="N40" s="38">
        <f t="shared" si="25"/>
        <v>0</v>
      </c>
      <c r="O40" s="38">
        <f t="shared" si="26"/>
        <v>0</v>
      </c>
      <c r="P40" s="38">
        <f>Policy_Sched!$I40*(L40+I40)</f>
        <v>0</v>
      </c>
      <c r="Q40" s="42">
        <f t="shared" si="27"/>
        <v>0</v>
      </c>
      <c r="R40" s="38">
        <f t="shared" si="28"/>
        <v>0</v>
      </c>
      <c r="S40" s="38">
        <f t="shared" si="29"/>
        <v>0</v>
      </c>
      <c r="T40" s="38">
        <f>Policy_Sched!$J40*J40</f>
        <v>0</v>
      </c>
      <c r="U40" s="42">
        <f t="shared" si="30"/>
        <v>0</v>
      </c>
      <c r="V40" s="42">
        <f t="shared" si="31"/>
        <v>0</v>
      </c>
      <c r="W40" s="38">
        <f>IF($A40&gt;LastT,0,N40+W41/(1+Policy_Sched!$K40))</f>
        <v>0</v>
      </c>
      <c r="X40" s="38">
        <f>IF($A40&gt;LastT,0,(-Q40+X41)/(1+Policy_Sched!$K40))</f>
        <v>0</v>
      </c>
      <c r="Y40" s="38">
        <f>IF($A40&gt;LastT,0,-V40+Y41/(1+Policy_Sched!$K40))</f>
        <v>0</v>
      </c>
      <c r="Z40" s="42">
        <f t="shared" si="32"/>
        <v>0</v>
      </c>
      <c r="AA40" s="38">
        <f>IF($A40&gt;LastT,0,N40-V40-Q40/(1+Policy_Sched!$K40)+Z41/(1+Policy_Sched!$K40))</f>
        <v>0</v>
      </c>
    </row>
    <row r="41" spans="1:27" x14ac:dyDescent="0.2">
      <c r="A41" s="30">
        <f t="shared" si="33"/>
        <v>34</v>
      </c>
      <c r="B41" s="31">
        <f t="shared" si="34"/>
        <v>0</v>
      </c>
      <c r="C41" s="31">
        <f>IF($A41&gt;LastT,0,IF(AND($D$3&lt;&gt;0,$A41&gt;=T0,Policy_Sched!$B41&lt;LastAge),1+$D$3*$E$3,1))</f>
        <v>0</v>
      </c>
      <c r="D41" s="36">
        <f>IF($A41&gt;LastT,0,IF($C$3="up",MIN(Policy_Sched!$E41*(1+IF($A41&gt;=T0,$E$3,0)),$F$3),IF($C$3="down",MAX(Policy_Sched!$E41*(1-IF($A41&gt;=T0,$E$3,0)),Policy_Sched!$E41-$F$3),Policy_Sched!$E41)))</f>
        <v>0</v>
      </c>
      <c r="E41" s="37">
        <f t="shared" si="35"/>
        <v>0</v>
      </c>
      <c r="F41" s="37">
        <f t="shared" si="18"/>
        <v>0</v>
      </c>
      <c r="G41" s="37">
        <f t="shared" si="19"/>
        <v>0</v>
      </c>
      <c r="H41" s="37">
        <f t="shared" si="20"/>
        <v>0</v>
      </c>
      <c r="I41" s="37">
        <f t="shared" si="21"/>
        <v>0</v>
      </c>
      <c r="J41" s="37">
        <f t="shared" si="22"/>
        <v>0</v>
      </c>
      <c r="K41" s="37">
        <f>IF($A41&gt;LastT,0,J41*Policy_Sched!$C41*Policy_Sched!$D41*C41)</f>
        <v>0</v>
      </c>
      <c r="L41" s="41">
        <f t="shared" si="23"/>
        <v>0</v>
      </c>
      <c r="M41" s="38">
        <f t="shared" si="24"/>
        <v>0</v>
      </c>
      <c r="N41" s="38">
        <f t="shared" si="25"/>
        <v>0</v>
      </c>
      <c r="O41" s="38">
        <f t="shared" si="26"/>
        <v>0</v>
      </c>
      <c r="P41" s="38">
        <f>Policy_Sched!$I41*(L41+I41)</f>
        <v>0</v>
      </c>
      <c r="Q41" s="42">
        <f t="shared" si="27"/>
        <v>0</v>
      </c>
      <c r="R41" s="38">
        <f t="shared" si="28"/>
        <v>0</v>
      </c>
      <c r="S41" s="38">
        <f t="shared" si="29"/>
        <v>0</v>
      </c>
      <c r="T41" s="38">
        <f>Policy_Sched!$J41*J41</f>
        <v>0</v>
      </c>
      <c r="U41" s="42">
        <f t="shared" si="30"/>
        <v>0</v>
      </c>
      <c r="V41" s="42">
        <f t="shared" si="31"/>
        <v>0</v>
      </c>
      <c r="W41" s="38">
        <f>IF($A41&gt;LastT,0,N41+W42/(1+Policy_Sched!$K41))</f>
        <v>0</v>
      </c>
      <c r="X41" s="38">
        <f>IF($A41&gt;LastT,0,(-Q41+X42)/(1+Policy_Sched!$K41))</f>
        <v>0</v>
      </c>
      <c r="Y41" s="38">
        <f>IF($A41&gt;LastT,0,-V41+Y42/(1+Policy_Sched!$K41))</f>
        <v>0</v>
      </c>
      <c r="Z41" s="42">
        <f t="shared" si="32"/>
        <v>0</v>
      </c>
      <c r="AA41" s="38">
        <f>IF($A41&gt;LastT,0,N41-V41-Q41/(1+Policy_Sched!$K41)+Z42/(1+Policy_Sched!$K41))</f>
        <v>0</v>
      </c>
    </row>
    <row r="42" spans="1:27" x14ac:dyDescent="0.2">
      <c r="A42" s="30">
        <f t="shared" si="33"/>
        <v>35</v>
      </c>
      <c r="B42" s="31">
        <f t="shared" si="34"/>
        <v>0</v>
      </c>
      <c r="C42" s="31">
        <f>IF($A42&gt;LastT,0,IF(AND($D$3&lt;&gt;0,$A42&gt;=T0,Policy_Sched!$B42&lt;LastAge),1+$D$3*$E$3,1))</f>
        <v>0</v>
      </c>
      <c r="D42" s="36">
        <f>IF($A42&gt;LastT,0,IF($C$3="up",MIN(Policy_Sched!$E42*(1+IF($A42&gt;=T0,$E$3,0)),$F$3),IF($C$3="down",MAX(Policy_Sched!$E42*(1-IF($A42&gt;=T0,$E$3,0)),Policy_Sched!$E42-$F$3),Policy_Sched!$E42)))</f>
        <v>0</v>
      </c>
      <c r="E42" s="37">
        <f t="shared" si="35"/>
        <v>0</v>
      </c>
      <c r="F42" s="37">
        <f t="shared" si="18"/>
        <v>0</v>
      </c>
      <c r="G42" s="37">
        <f t="shared" si="19"/>
        <v>0</v>
      </c>
      <c r="H42" s="37">
        <f t="shared" si="20"/>
        <v>0</v>
      </c>
      <c r="I42" s="37">
        <f t="shared" si="21"/>
        <v>0</v>
      </c>
      <c r="J42" s="37">
        <f t="shared" si="22"/>
        <v>0</v>
      </c>
      <c r="K42" s="37">
        <f>IF($A42&gt;LastT,0,J42*Policy_Sched!$C42*Policy_Sched!$D42*C42)</f>
        <v>0</v>
      </c>
      <c r="L42" s="41">
        <f t="shared" si="23"/>
        <v>0</v>
      </c>
      <c r="M42" s="38">
        <f t="shared" si="24"/>
        <v>0</v>
      </c>
      <c r="N42" s="38">
        <f t="shared" si="25"/>
        <v>0</v>
      </c>
      <c r="O42" s="38">
        <f t="shared" si="26"/>
        <v>0</v>
      </c>
      <c r="P42" s="38">
        <f>Policy_Sched!$I42*(L42+I42)</f>
        <v>0</v>
      </c>
      <c r="Q42" s="42">
        <f t="shared" si="27"/>
        <v>0</v>
      </c>
      <c r="R42" s="38">
        <f t="shared" si="28"/>
        <v>0</v>
      </c>
      <c r="S42" s="38">
        <f t="shared" si="29"/>
        <v>0</v>
      </c>
      <c r="T42" s="38">
        <f>Policy_Sched!$J42*J42</f>
        <v>0</v>
      </c>
      <c r="U42" s="42">
        <f t="shared" si="30"/>
        <v>0</v>
      </c>
      <c r="V42" s="42">
        <f t="shared" si="31"/>
        <v>0</v>
      </c>
      <c r="W42" s="38">
        <f>IF($A42&gt;LastT,0,N42+W43/(1+Policy_Sched!$K42))</f>
        <v>0</v>
      </c>
      <c r="X42" s="38">
        <f>IF($A42&gt;LastT,0,(-Q42+X43)/(1+Policy_Sched!$K42))</f>
        <v>0</v>
      </c>
      <c r="Y42" s="38">
        <f>IF($A42&gt;LastT,0,-V42+Y43/(1+Policy_Sched!$K42))</f>
        <v>0</v>
      </c>
      <c r="Z42" s="42">
        <f t="shared" si="32"/>
        <v>0</v>
      </c>
      <c r="AA42" s="38">
        <f>IF($A42&gt;LastT,0,N42-V42-Q42/(1+Policy_Sched!$K42)+Z43/(1+Policy_Sched!$K42))</f>
        <v>0</v>
      </c>
    </row>
    <row r="43" spans="1:27" x14ac:dyDescent="0.2">
      <c r="A43" s="30">
        <f t="shared" si="33"/>
        <v>36</v>
      </c>
      <c r="B43" s="31">
        <f t="shared" si="34"/>
        <v>0</v>
      </c>
      <c r="C43" s="31">
        <f>IF($A43&gt;LastT,0,IF(AND($D$3&lt;&gt;0,$A43&gt;=T0,Policy_Sched!$B43&lt;LastAge),1+$D$3*$E$3,1))</f>
        <v>0</v>
      </c>
      <c r="D43" s="36">
        <f>IF($A43&gt;LastT,0,IF($C$3="up",MIN(Policy_Sched!$E43*(1+IF($A43&gt;=T0,$E$3,0)),$F$3),IF($C$3="down",MAX(Policy_Sched!$E43*(1-IF($A43&gt;=T0,$E$3,0)),Policy_Sched!$E43-$F$3),Policy_Sched!$E43)))</f>
        <v>0</v>
      </c>
      <c r="E43" s="37">
        <f t="shared" si="35"/>
        <v>0</v>
      </c>
      <c r="F43" s="37">
        <f t="shared" si="18"/>
        <v>0</v>
      </c>
      <c r="G43" s="37">
        <f t="shared" si="19"/>
        <v>0</v>
      </c>
      <c r="H43" s="37">
        <f t="shared" si="20"/>
        <v>0</v>
      </c>
      <c r="I43" s="37">
        <f t="shared" si="21"/>
        <v>0</v>
      </c>
      <c r="J43" s="37">
        <f t="shared" si="22"/>
        <v>0</v>
      </c>
      <c r="K43" s="37">
        <f>IF($A43&gt;LastT,0,J43*Policy_Sched!$C43*Policy_Sched!$D43*C43)</f>
        <v>0</v>
      </c>
      <c r="L43" s="41">
        <f t="shared" si="23"/>
        <v>0</v>
      </c>
      <c r="M43" s="38">
        <f t="shared" si="24"/>
        <v>0</v>
      </c>
      <c r="N43" s="38">
        <f t="shared" si="25"/>
        <v>0</v>
      </c>
      <c r="O43" s="38">
        <f t="shared" si="26"/>
        <v>0</v>
      </c>
      <c r="P43" s="38">
        <f>Policy_Sched!$I43*(L43+I43)</f>
        <v>0</v>
      </c>
      <c r="Q43" s="42">
        <f t="shared" si="27"/>
        <v>0</v>
      </c>
      <c r="R43" s="38">
        <f t="shared" si="28"/>
        <v>0</v>
      </c>
      <c r="S43" s="38">
        <f t="shared" si="29"/>
        <v>0</v>
      </c>
      <c r="T43" s="38">
        <f>Policy_Sched!$J43*J43</f>
        <v>0</v>
      </c>
      <c r="U43" s="42">
        <f t="shared" si="30"/>
        <v>0</v>
      </c>
      <c r="V43" s="42">
        <f t="shared" si="31"/>
        <v>0</v>
      </c>
      <c r="W43" s="38">
        <f>IF($A43&gt;LastT,0,N43+W44/(1+Policy_Sched!$K43))</f>
        <v>0</v>
      </c>
      <c r="X43" s="38">
        <f>IF($A43&gt;LastT,0,(-Q43+X44)/(1+Policy_Sched!$K43))</f>
        <v>0</v>
      </c>
      <c r="Y43" s="38">
        <f>IF($A43&gt;LastT,0,-V43+Y44/(1+Policy_Sched!$K43))</f>
        <v>0</v>
      </c>
      <c r="Z43" s="42">
        <f t="shared" si="32"/>
        <v>0</v>
      </c>
      <c r="AA43" s="38">
        <f>IF($A43&gt;LastT,0,N43-V43-Q43/(1+Policy_Sched!$K43)+Z44/(1+Policy_Sched!$K43))</f>
        <v>0</v>
      </c>
    </row>
    <row r="44" spans="1:27" x14ac:dyDescent="0.2">
      <c r="A44" s="30">
        <f t="shared" si="33"/>
        <v>37</v>
      </c>
      <c r="B44" s="31">
        <f t="shared" si="34"/>
        <v>0</v>
      </c>
      <c r="C44" s="31">
        <f>IF($A44&gt;LastT,0,IF(AND($D$3&lt;&gt;0,$A44&gt;=T0,Policy_Sched!$B44&lt;LastAge),1+$D$3*$E$3,1))</f>
        <v>0</v>
      </c>
      <c r="D44" s="36">
        <f>IF($A44&gt;LastT,0,IF($C$3="up",MIN(Policy_Sched!$E44*(1+IF($A44&gt;=T0,$E$3,0)),$F$3),IF($C$3="down",MAX(Policy_Sched!$E44*(1-IF($A44&gt;=T0,$E$3,0)),Policy_Sched!$E44-$F$3),Policy_Sched!$E44)))</f>
        <v>0</v>
      </c>
      <c r="E44" s="37">
        <f t="shared" si="35"/>
        <v>0</v>
      </c>
      <c r="F44" s="37">
        <f t="shared" si="18"/>
        <v>0</v>
      </c>
      <c r="G44" s="37">
        <f t="shared" si="19"/>
        <v>0</v>
      </c>
      <c r="H44" s="37">
        <f t="shared" si="20"/>
        <v>0</v>
      </c>
      <c r="I44" s="37">
        <f t="shared" si="21"/>
        <v>0</v>
      </c>
      <c r="J44" s="37">
        <f t="shared" si="22"/>
        <v>0</v>
      </c>
      <c r="K44" s="37">
        <f>IF($A44&gt;LastT,0,J44*Policy_Sched!$C44*Policy_Sched!$D44*C44)</f>
        <v>0</v>
      </c>
      <c r="L44" s="41">
        <f t="shared" si="23"/>
        <v>0</v>
      </c>
      <c r="M44" s="38">
        <f t="shared" si="24"/>
        <v>0</v>
      </c>
      <c r="N44" s="38">
        <f t="shared" si="25"/>
        <v>0</v>
      </c>
      <c r="O44" s="38">
        <f t="shared" si="26"/>
        <v>0</v>
      </c>
      <c r="P44" s="38">
        <f>Policy_Sched!$I44*(L44+I44)</f>
        <v>0</v>
      </c>
      <c r="Q44" s="42">
        <f t="shared" si="27"/>
        <v>0</v>
      </c>
      <c r="R44" s="38">
        <f t="shared" si="28"/>
        <v>0</v>
      </c>
      <c r="S44" s="38">
        <f t="shared" si="29"/>
        <v>0</v>
      </c>
      <c r="T44" s="38">
        <f>Policy_Sched!$J44*J44</f>
        <v>0</v>
      </c>
      <c r="U44" s="42">
        <f t="shared" si="30"/>
        <v>0</v>
      </c>
      <c r="V44" s="42">
        <f t="shared" si="31"/>
        <v>0</v>
      </c>
      <c r="W44" s="38">
        <f>IF($A44&gt;LastT,0,N44+W45/(1+Policy_Sched!$K44))</f>
        <v>0</v>
      </c>
      <c r="X44" s="38">
        <f>IF($A44&gt;LastT,0,(-Q44+X45)/(1+Policy_Sched!$K44))</f>
        <v>0</v>
      </c>
      <c r="Y44" s="38">
        <f>IF($A44&gt;LastT,0,-V44+Y45/(1+Policy_Sched!$K44))</f>
        <v>0</v>
      </c>
      <c r="Z44" s="42">
        <f t="shared" si="32"/>
        <v>0</v>
      </c>
      <c r="AA44" s="38">
        <f>IF($A44&gt;LastT,0,N44-V44-Q44/(1+Policy_Sched!$K44)+Z45/(1+Policy_Sched!$K44))</f>
        <v>0</v>
      </c>
    </row>
    <row r="45" spans="1:27" x14ac:dyDescent="0.2">
      <c r="A45" s="30">
        <f t="shared" si="33"/>
        <v>38</v>
      </c>
      <c r="B45" s="31">
        <f t="shared" si="34"/>
        <v>0</v>
      </c>
      <c r="C45" s="31">
        <f>IF($A45&gt;LastT,0,IF(AND($D$3&lt;&gt;0,$A45&gt;=T0,Policy_Sched!$B45&lt;LastAge),1+$D$3*$E$3,1))</f>
        <v>0</v>
      </c>
      <c r="D45" s="36">
        <f>IF($A45&gt;LastT,0,IF($C$3="up",MIN(Policy_Sched!$E45*(1+IF($A45&gt;=T0,$E$3,0)),$F$3),IF($C$3="down",MAX(Policy_Sched!$E45*(1-IF($A45&gt;=T0,$E$3,0)),Policy_Sched!$E45-$F$3),Policy_Sched!$E45)))</f>
        <v>0</v>
      </c>
      <c r="E45" s="37">
        <f t="shared" si="35"/>
        <v>0</v>
      </c>
      <c r="F45" s="37">
        <f t="shared" si="18"/>
        <v>0</v>
      </c>
      <c r="G45" s="37">
        <f t="shared" si="19"/>
        <v>0</v>
      </c>
      <c r="H45" s="37">
        <f t="shared" si="20"/>
        <v>0</v>
      </c>
      <c r="I45" s="37">
        <f t="shared" si="21"/>
        <v>0</v>
      </c>
      <c r="J45" s="37">
        <f t="shared" si="22"/>
        <v>0</v>
      </c>
      <c r="K45" s="37">
        <f>IF($A45&gt;LastT,0,J45*Policy_Sched!$C45*Policy_Sched!$D45*C45)</f>
        <v>0</v>
      </c>
      <c r="L45" s="41">
        <f t="shared" si="23"/>
        <v>0</v>
      </c>
      <c r="M45" s="38">
        <f t="shared" si="24"/>
        <v>0</v>
      </c>
      <c r="N45" s="38">
        <f t="shared" si="25"/>
        <v>0</v>
      </c>
      <c r="O45" s="38">
        <f t="shared" si="26"/>
        <v>0</v>
      </c>
      <c r="P45" s="38">
        <f>Policy_Sched!$I45*(L45+I45)</f>
        <v>0</v>
      </c>
      <c r="Q45" s="42">
        <f t="shared" si="27"/>
        <v>0</v>
      </c>
      <c r="R45" s="38">
        <f t="shared" si="28"/>
        <v>0</v>
      </c>
      <c r="S45" s="38">
        <f t="shared" si="29"/>
        <v>0</v>
      </c>
      <c r="T45" s="38">
        <f>Policy_Sched!$J45*J45</f>
        <v>0</v>
      </c>
      <c r="U45" s="42">
        <f t="shared" si="30"/>
        <v>0</v>
      </c>
      <c r="V45" s="42">
        <f t="shared" si="31"/>
        <v>0</v>
      </c>
      <c r="W45" s="38">
        <f>IF($A45&gt;LastT,0,N45+W46/(1+Policy_Sched!$K45))</f>
        <v>0</v>
      </c>
      <c r="X45" s="38">
        <f>IF($A45&gt;LastT,0,(-Q45+X46)/(1+Policy_Sched!$K45))</f>
        <v>0</v>
      </c>
      <c r="Y45" s="38">
        <f>IF($A45&gt;LastT,0,-V45+Y46/(1+Policy_Sched!$K45))</f>
        <v>0</v>
      </c>
      <c r="Z45" s="42">
        <f t="shared" si="32"/>
        <v>0</v>
      </c>
      <c r="AA45" s="38">
        <f>IF($A45&gt;LastT,0,N45-V45-Q45/(1+Policy_Sched!$K45)+Z46/(1+Policy_Sched!$K45))</f>
        <v>0</v>
      </c>
    </row>
    <row r="46" spans="1:27" x14ac:dyDescent="0.2">
      <c r="A46" s="30">
        <f t="shared" si="33"/>
        <v>39</v>
      </c>
      <c r="B46" s="31">
        <f t="shared" si="34"/>
        <v>0</v>
      </c>
      <c r="C46" s="31">
        <f>IF($A46&gt;LastT,0,IF(AND($D$3&lt;&gt;0,$A46&gt;=T0,Policy_Sched!$B46&lt;LastAge),1+$D$3*$E$3,1))</f>
        <v>0</v>
      </c>
      <c r="D46" s="36">
        <f>IF($A46&gt;LastT,0,IF($C$3="up",MIN(Policy_Sched!$E46*(1+IF($A46&gt;=T0,$E$3,0)),$F$3),IF($C$3="down",MAX(Policy_Sched!$E46*(1-IF($A46&gt;=T0,$E$3,0)),Policy_Sched!$E46-$F$3),Policy_Sched!$E46)))</f>
        <v>0</v>
      </c>
      <c r="E46" s="37">
        <f t="shared" si="35"/>
        <v>0</v>
      </c>
      <c r="F46" s="37">
        <f t="shared" si="18"/>
        <v>0</v>
      </c>
      <c r="G46" s="37">
        <f t="shared" si="19"/>
        <v>0</v>
      </c>
      <c r="H46" s="37">
        <f t="shared" si="20"/>
        <v>0</v>
      </c>
      <c r="I46" s="37">
        <f t="shared" si="21"/>
        <v>0</v>
      </c>
      <c r="J46" s="37">
        <f t="shared" si="22"/>
        <v>0</v>
      </c>
      <c r="K46" s="37">
        <f>IF($A46&gt;LastT,0,J46*Policy_Sched!$C46*Policy_Sched!$D46*C46)</f>
        <v>0</v>
      </c>
      <c r="L46" s="41">
        <f t="shared" si="23"/>
        <v>0</v>
      </c>
      <c r="M46" s="38">
        <f t="shared" si="24"/>
        <v>0</v>
      </c>
      <c r="N46" s="38">
        <f t="shared" si="25"/>
        <v>0</v>
      </c>
      <c r="O46" s="38">
        <f t="shared" si="26"/>
        <v>0</v>
      </c>
      <c r="P46" s="38">
        <f>Policy_Sched!$I46*(L46+I46)</f>
        <v>0</v>
      </c>
      <c r="Q46" s="42">
        <f t="shared" si="27"/>
        <v>0</v>
      </c>
      <c r="R46" s="38">
        <f t="shared" si="28"/>
        <v>0</v>
      </c>
      <c r="S46" s="38">
        <f t="shared" si="29"/>
        <v>0</v>
      </c>
      <c r="T46" s="38">
        <f>Policy_Sched!$J46*J46</f>
        <v>0</v>
      </c>
      <c r="U46" s="42">
        <f t="shared" si="30"/>
        <v>0</v>
      </c>
      <c r="V46" s="42">
        <f t="shared" si="31"/>
        <v>0</v>
      </c>
      <c r="W46" s="38">
        <f>IF($A46&gt;LastT,0,N46+W47/(1+Policy_Sched!$K46))</f>
        <v>0</v>
      </c>
      <c r="X46" s="38">
        <f>IF($A46&gt;LastT,0,(-Q46+X47)/(1+Policy_Sched!$K46))</f>
        <v>0</v>
      </c>
      <c r="Y46" s="38">
        <f>IF($A46&gt;LastT,0,-V46+Y47/(1+Policy_Sched!$K46))</f>
        <v>0</v>
      </c>
      <c r="Z46" s="42">
        <f t="shared" si="32"/>
        <v>0</v>
      </c>
      <c r="AA46" s="38">
        <f>IF($A46&gt;LastT,0,N46-V46-Q46/(1+Policy_Sched!$K46)+Z47/(1+Policy_Sched!$K46))</f>
        <v>0</v>
      </c>
    </row>
    <row r="47" spans="1:27" x14ac:dyDescent="0.2">
      <c r="A47" s="30">
        <f t="shared" si="33"/>
        <v>40</v>
      </c>
      <c r="B47" s="31">
        <f t="shared" si="34"/>
        <v>0</v>
      </c>
      <c r="C47" s="31">
        <f>IF($A47&gt;LastT,0,IF(AND($D$3&lt;&gt;0,$A47&gt;=T0,Policy_Sched!$B47&lt;LastAge),1+$D$3*$E$3,1))</f>
        <v>0</v>
      </c>
      <c r="D47" s="36">
        <f>IF($A47&gt;LastT,0,IF($C$3="up",MIN(Policy_Sched!$E47*(1+IF($A47&gt;=T0,$E$3,0)),$F$3),IF($C$3="down",MAX(Policy_Sched!$E47*(1-IF($A47&gt;=T0,$E$3,0)),Policy_Sched!$E47-$F$3),Policy_Sched!$E47)))</f>
        <v>0</v>
      </c>
      <c r="E47" s="37">
        <f t="shared" si="35"/>
        <v>0</v>
      </c>
      <c r="F47" s="37">
        <f t="shared" si="18"/>
        <v>0</v>
      </c>
      <c r="G47" s="37">
        <f t="shared" si="19"/>
        <v>0</v>
      </c>
      <c r="H47" s="37">
        <f t="shared" si="20"/>
        <v>0</v>
      </c>
      <c r="I47" s="37">
        <f t="shared" si="21"/>
        <v>0</v>
      </c>
      <c r="J47" s="37">
        <f t="shared" si="22"/>
        <v>0</v>
      </c>
      <c r="K47" s="37">
        <f>IF($A47&gt;LastT,0,J47*Policy_Sched!$C47*Policy_Sched!$D47*C47)</f>
        <v>0</v>
      </c>
      <c r="L47" s="41">
        <f t="shared" si="23"/>
        <v>0</v>
      </c>
      <c r="M47" s="38">
        <f t="shared" si="24"/>
        <v>0</v>
      </c>
      <c r="N47" s="38">
        <f t="shared" si="25"/>
        <v>0</v>
      </c>
      <c r="O47" s="38">
        <f t="shared" si="26"/>
        <v>0</v>
      </c>
      <c r="P47" s="38">
        <f>Policy_Sched!$I47*(L47+I47)</f>
        <v>0</v>
      </c>
      <c r="Q47" s="42">
        <f t="shared" si="27"/>
        <v>0</v>
      </c>
      <c r="R47" s="38">
        <f t="shared" si="28"/>
        <v>0</v>
      </c>
      <c r="S47" s="38">
        <f t="shared" si="29"/>
        <v>0</v>
      </c>
      <c r="T47" s="38">
        <f>Policy_Sched!$J47*J47</f>
        <v>0</v>
      </c>
      <c r="U47" s="42">
        <f t="shared" si="30"/>
        <v>0</v>
      </c>
      <c r="V47" s="42">
        <f t="shared" si="31"/>
        <v>0</v>
      </c>
      <c r="W47" s="38">
        <f>IF($A47&gt;LastT,0,N47+W48/(1+Policy_Sched!$K47))</f>
        <v>0</v>
      </c>
      <c r="X47" s="38">
        <f>IF($A47&gt;LastT,0,(-Q47+X48)/(1+Policy_Sched!$K47))</f>
        <v>0</v>
      </c>
      <c r="Y47" s="38">
        <f>IF($A47&gt;LastT,0,-V47+Y48/(1+Policy_Sched!$K47))</f>
        <v>0</v>
      </c>
      <c r="Z47" s="42">
        <f t="shared" si="32"/>
        <v>0</v>
      </c>
      <c r="AA47" s="38">
        <f>IF($A47&gt;LastT,0,N47-V47-Q47/(1+Policy_Sched!$K47)+Z48/(1+Policy_Sched!$K47))</f>
        <v>0</v>
      </c>
    </row>
    <row r="48" spans="1:27" x14ac:dyDescent="0.2">
      <c r="A48" s="30">
        <f t="shared" si="33"/>
        <v>41</v>
      </c>
      <c r="B48" s="31">
        <f t="shared" si="34"/>
        <v>0</v>
      </c>
      <c r="C48" s="31">
        <f>IF($A48&gt;LastT,0,IF(AND($D$3&lt;&gt;0,$A48&gt;=T0,Policy_Sched!$B48&lt;LastAge),1+$D$3*$E$3,1))</f>
        <v>0</v>
      </c>
      <c r="D48" s="36">
        <f>IF($A48&gt;LastT,0,IF($C$3="up",MIN(Policy_Sched!$E48*(1+IF($A48&gt;=T0,$E$3,0)),$F$3),IF($C$3="down",MAX(Policy_Sched!$E48*(1-IF($A48&gt;=T0,$E$3,0)),Policy_Sched!$E48-$F$3),Policy_Sched!$E48)))</f>
        <v>0</v>
      </c>
      <c r="E48" s="37">
        <f t="shared" si="35"/>
        <v>0</v>
      </c>
      <c r="F48" s="37">
        <f t="shared" si="18"/>
        <v>0</v>
      </c>
      <c r="G48" s="37">
        <f t="shared" si="19"/>
        <v>0</v>
      </c>
      <c r="H48" s="37">
        <f t="shared" si="20"/>
        <v>0</v>
      </c>
      <c r="I48" s="37">
        <f t="shared" si="21"/>
        <v>0</v>
      </c>
      <c r="J48" s="37">
        <f t="shared" si="22"/>
        <v>0</v>
      </c>
      <c r="K48" s="37">
        <f>IF($A48&gt;LastT,0,J48*Policy_Sched!$C48*Policy_Sched!$D48*C48)</f>
        <v>0</v>
      </c>
      <c r="L48" s="41">
        <f t="shared" si="23"/>
        <v>0</v>
      </c>
      <c r="M48" s="38">
        <f t="shared" si="24"/>
        <v>0</v>
      </c>
      <c r="N48" s="38">
        <f t="shared" si="25"/>
        <v>0</v>
      </c>
      <c r="O48" s="38">
        <f t="shared" si="26"/>
        <v>0</v>
      </c>
      <c r="P48" s="38">
        <f>Policy_Sched!$I48*(L48+I48)</f>
        <v>0</v>
      </c>
      <c r="Q48" s="42">
        <f t="shared" si="27"/>
        <v>0</v>
      </c>
      <c r="R48" s="38">
        <f t="shared" si="28"/>
        <v>0</v>
      </c>
      <c r="S48" s="38">
        <f t="shared" si="29"/>
        <v>0</v>
      </c>
      <c r="T48" s="38">
        <f>Policy_Sched!$J48*J48</f>
        <v>0</v>
      </c>
      <c r="U48" s="42">
        <f t="shared" si="30"/>
        <v>0</v>
      </c>
      <c r="V48" s="42">
        <f t="shared" si="31"/>
        <v>0</v>
      </c>
      <c r="W48" s="38">
        <f>IF($A48&gt;LastT,0,N48+W49/(1+Policy_Sched!$K48))</f>
        <v>0</v>
      </c>
      <c r="X48" s="38">
        <f>IF($A48&gt;LastT,0,(-Q48+X49)/(1+Policy_Sched!$K48))</f>
        <v>0</v>
      </c>
      <c r="Y48" s="38">
        <f>IF($A48&gt;LastT,0,-V48+Y49/(1+Policy_Sched!$K48))</f>
        <v>0</v>
      </c>
      <c r="Z48" s="42">
        <f t="shared" si="32"/>
        <v>0</v>
      </c>
      <c r="AA48" s="38">
        <f>IF($A48&gt;LastT,0,N48-V48-Q48/(1+Policy_Sched!$K48)+Z49/(1+Policy_Sched!$K48))</f>
        <v>0</v>
      </c>
    </row>
    <row r="49" spans="1:27" x14ac:dyDescent="0.2">
      <c r="A49" s="30">
        <f t="shared" si="33"/>
        <v>42</v>
      </c>
      <c r="B49" s="31">
        <f t="shared" si="34"/>
        <v>0</v>
      </c>
      <c r="C49" s="31">
        <f>IF($A49&gt;LastT,0,IF(AND($D$3&lt;&gt;0,$A49&gt;=T0,Policy_Sched!$B49&lt;LastAge),1+$D$3*$E$3,1))</f>
        <v>0</v>
      </c>
      <c r="D49" s="36">
        <f>IF($A49&gt;LastT,0,IF($C$3="up",MIN(Policy_Sched!$E49*(1+IF($A49&gt;=T0,$E$3,0)),$F$3),IF($C$3="down",MAX(Policy_Sched!$E49*(1-IF($A49&gt;=T0,$E$3,0)),Policy_Sched!$E49-$F$3),Policy_Sched!$E49)))</f>
        <v>0</v>
      </c>
      <c r="E49" s="37">
        <f t="shared" si="35"/>
        <v>0</v>
      </c>
      <c r="F49" s="37">
        <f t="shared" si="18"/>
        <v>0</v>
      </c>
      <c r="G49" s="37">
        <f t="shared" si="19"/>
        <v>0</v>
      </c>
      <c r="H49" s="37">
        <f t="shared" si="20"/>
        <v>0</v>
      </c>
      <c r="I49" s="37">
        <f t="shared" si="21"/>
        <v>0</v>
      </c>
      <c r="J49" s="37">
        <f t="shared" si="22"/>
        <v>0</v>
      </c>
      <c r="K49" s="37">
        <f>IF($A49&gt;LastT,0,J49*Policy_Sched!$C49*Policy_Sched!$D49*C49)</f>
        <v>0</v>
      </c>
      <c r="L49" s="41">
        <f t="shared" si="23"/>
        <v>0</v>
      </c>
      <c r="M49" s="38">
        <f t="shared" si="24"/>
        <v>0</v>
      </c>
      <c r="N49" s="38">
        <f t="shared" si="25"/>
        <v>0</v>
      </c>
      <c r="O49" s="38">
        <f t="shared" si="26"/>
        <v>0</v>
      </c>
      <c r="P49" s="38">
        <f>Policy_Sched!$I49*(L49+I49)</f>
        <v>0</v>
      </c>
      <c r="Q49" s="42">
        <f t="shared" si="27"/>
        <v>0</v>
      </c>
      <c r="R49" s="38">
        <f t="shared" si="28"/>
        <v>0</v>
      </c>
      <c r="S49" s="38">
        <f t="shared" si="29"/>
        <v>0</v>
      </c>
      <c r="T49" s="38">
        <f>Policy_Sched!$J49*J49</f>
        <v>0</v>
      </c>
      <c r="U49" s="42">
        <f t="shared" si="30"/>
        <v>0</v>
      </c>
      <c r="V49" s="42">
        <f t="shared" si="31"/>
        <v>0</v>
      </c>
      <c r="W49" s="38">
        <f>IF($A49&gt;LastT,0,N49+W50/(1+Policy_Sched!$K49))</f>
        <v>0</v>
      </c>
      <c r="X49" s="38">
        <f>IF($A49&gt;LastT,0,(-Q49+X50)/(1+Policy_Sched!$K49))</f>
        <v>0</v>
      </c>
      <c r="Y49" s="38">
        <f>IF($A49&gt;LastT,0,-V49+Y50/(1+Policy_Sched!$K49))</f>
        <v>0</v>
      </c>
      <c r="Z49" s="42">
        <f t="shared" si="32"/>
        <v>0</v>
      </c>
      <c r="AA49" s="38">
        <f>IF($A49&gt;LastT,0,N49-V49-Q49/(1+Policy_Sched!$K49)+Z50/(1+Policy_Sched!$K49))</f>
        <v>0</v>
      </c>
    </row>
    <row r="50" spans="1:27" x14ac:dyDescent="0.2">
      <c r="A50" s="30">
        <f t="shared" si="33"/>
        <v>43</v>
      </c>
      <c r="B50" s="31">
        <f t="shared" si="34"/>
        <v>0</v>
      </c>
      <c r="C50" s="31">
        <f>IF($A50&gt;LastT,0,IF(AND($D$3&lt;&gt;0,$A50&gt;=T0,Policy_Sched!$B50&lt;LastAge),1+$D$3*$E$3,1))</f>
        <v>0</v>
      </c>
      <c r="D50" s="36">
        <f>IF($A50&gt;LastT,0,IF($C$3="up",MIN(Policy_Sched!$E50*(1+IF($A50&gt;=T0,$E$3,0)),$F$3),IF($C$3="down",MAX(Policy_Sched!$E50*(1-IF($A50&gt;=T0,$E$3,0)),Policy_Sched!$E50-$F$3),Policy_Sched!$E50)))</f>
        <v>0</v>
      </c>
      <c r="E50" s="37">
        <f t="shared" si="35"/>
        <v>0</v>
      </c>
      <c r="F50" s="37">
        <f t="shared" si="18"/>
        <v>0</v>
      </c>
      <c r="G50" s="37">
        <f t="shared" si="19"/>
        <v>0</v>
      </c>
      <c r="H50" s="37">
        <f t="shared" si="20"/>
        <v>0</v>
      </c>
      <c r="I50" s="37">
        <f t="shared" si="21"/>
        <v>0</v>
      </c>
      <c r="J50" s="37">
        <f t="shared" si="22"/>
        <v>0</v>
      </c>
      <c r="K50" s="37">
        <f>IF($A50&gt;LastT,0,J50*Policy_Sched!$C50*Policy_Sched!$D50*C50)</f>
        <v>0</v>
      </c>
      <c r="L50" s="41">
        <f t="shared" si="23"/>
        <v>0</v>
      </c>
      <c r="M50" s="38">
        <f t="shared" si="24"/>
        <v>0</v>
      </c>
      <c r="N50" s="38">
        <f t="shared" si="25"/>
        <v>0</v>
      </c>
      <c r="O50" s="38">
        <f t="shared" si="26"/>
        <v>0</v>
      </c>
      <c r="P50" s="38">
        <f>Policy_Sched!$I50*(L50+I50)</f>
        <v>0</v>
      </c>
      <c r="Q50" s="42">
        <f t="shared" si="27"/>
        <v>0</v>
      </c>
      <c r="R50" s="38">
        <f t="shared" si="28"/>
        <v>0</v>
      </c>
      <c r="S50" s="38">
        <f t="shared" si="29"/>
        <v>0</v>
      </c>
      <c r="T50" s="38">
        <f>Policy_Sched!$J50*J50</f>
        <v>0</v>
      </c>
      <c r="U50" s="42">
        <f t="shared" si="30"/>
        <v>0</v>
      </c>
      <c r="V50" s="42">
        <f t="shared" si="31"/>
        <v>0</v>
      </c>
      <c r="W50" s="38">
        <f>IF($A50&gt;LastT,0,N50+W51/(1+Policy_Sched!$K50))</f>
        <v>0</v>
      </c>
      <c r="X50" s="38">
        <f>IF($A50&gt;LastT,0,(-Q50+X51)/(1+Policy_Sched!$K50))</f>
        <v>0</v>
      </c>
      <c r="Y50" s="38">
        <f>IF($A50&gt;LastT,0,-V50+Y51/(1+Policy_Sched!$K50))</f>
        <v>0</v>
      </c>
      <c r="Z50" s="42">
        <f t="shared" si="32"/>
        <v>0</v>
      </c>
      <c r="AA50" s="38">
        <f>IF($A50&gt;LastT,0,N50-V50-Q50/(1+Policy_Sched!$K50)+Z51/(1+Policy_Sched!$K50))</f>
        <v>0</v>
      </c>
    </row>
    <row r="51" spans="1:27" x14ac:dyDescent="0.2">
      <c r="A51" s="30">
        <f t="shared" si="33"/>
        <v>44</v>
      </c>
      <c r="B51" s="31">
        <f t="shared" si="34"/>
        <v>0</v>
      </c>
      <c r="C51" s="31">
        <f>IF($A51&gt;LastT,0,IF(AND($D$3&lt;&gt;0,$A51&gt;=T0,Policy_Sched!$B51&lt;LastAge),1+$D$3*$E$3,1))</f>
        <v>0</v>
      </c>
      <c r="D51" s="36">
        <f>IF($A51&gt;LastT,0,IF($C$3="up",MIN(Policy_Sched!$E51*(1+IF($A51&gt;=T0,$E$3,0)),$F$3),IF($C$3="down",MAX(Policy_Sched!$E51*(1-IF($A51&gt;=T0,$E$3,0)),Policy_Sched!$E51-$F$3),Policy_Sched!$E51)))</f>
        <v>0</v>
      </c>
      <c r="E51" s="37">
        <f t="shared" si="35"/>
        <v>0</v>
      </c>
      <c r="F51" s="37">
        <f t="shared" si="18"/>
        <v>0</v>
      </c>
      <c r="G51" s="37">
        <f t="shared" si="19"/>
        <v>0</v>
      </c>
      <c r="H51" s="37">
        <f t="shared" si="20"/>
        <v>0</v>
      </c>
      <c r="I51" s="37">
        <f t="shared" si="21"/>
        <v>0</v>
      </c>
      <c r="J51" s="37">
        <f t="shared" si="22"/>
        <v>0</v>
      </c>
      <c r="K51" s="37">
        <f>IF($A51&gt;LastT,0,J51*Policy_Sched!$C51*Policy_Sched!$D51*C51)</f>
        <v>0</v>
      </c>
      <c r="L51" s="41">
        <f t="shared" si="23"/>
        <v>0</v>
      </c>
      <c r="M51" s="38">
        <f t="shared" si="24"/>
        <v>0</v>
      </c>
      <c r="N51" s="38">
        <f t="shared" si="25"/>
        <v>0</v>
      </c>
      <c r="O51" s="38">
        <f t="shared" si="26"/>
        <v>0</v>
      </c>
      <c r="P51" s="38">
        <f>Policy_Sched!$I51*(L51+I51)</f>
        <v>0</v>
      </c>
      <c r="Q51" s="42">
        <f t="shared" si="27"/>
        <v>0</v>
      </c>
      <c r="R51" s="38">
        <f t="shared" si="28"/>
        <v>0</v>
      </c>
      <c r="S51" s="38">
        <f t="shared" si="29"/>
        <v>0</v>
      </c>
      <c r="T51" s="38">
        <f>Policy_Sched!$J51*J51</f>
        <v>0</v>
      </c>
      <c r="U51" s="42">
        <f t="shared" si="30"/>
        <v>0</v>
      </c>
      <c r="V51" s="42">
        <f t="shared" si="31"/>
        <v>0</v>
      </c>
      <c r="W51" s="38">
        <f>IF($A51&gt;LastT,0,N51+W52/(1+Policy_Sched!$K51))</f>
        <v>0</v>
      </c>
      <c r="X51" s="38">
        <f>IF($A51&gt;LastT,0,(-Q51+X52)/(1+Policy_Sched!$K51))</f>
        <v>0</v>
      </c>
      <c r="Y51" s="38">
        <f>IF($A51&gt;LastT,0,-V51+Y52/(1+Policy_Sched!$K51))</f>
        <v>0</v>
      </c>
      <c r="Z51" s="42">
        <f t="shared" si="32"/>
        <v>0</v>
      </c>
      <c r="AA51" s="38">
        <f>IF($A51&gt;LastT,0,N51-V51-Q51/(1+Policy_Sched!$K51)+Z52/(1+Policy_Sched!$K51))</f>
        <v>0</v>
      </c>
    </row>
    <row r="52" spans="1:27" x14ac:dyDescent="0.2">
      <c r="A52" s="30">
        <f t="shared" si="33"/>
        <v>45</v>
      </c>
      <c r="B52" s="31">
        <f t="shared" si="34"/>
        <v>0</v>
      </c>
      <c r="C52" s="31">
        <f>IF($A52&gt;LastT,0,IF(AND($D$3&lt;&gt;0,$A52&gt;=T0,Policy_Sched!$B52&lt;LastAge),1+$D$3*$E$3,1))</f>
        <v>0</v>
      </c>
      <c r="D52" s="36">
        <f>IF($A52&gt;LastT,0,IF($C$3="up",MIN(Policy_Sched!$E52*(1+IF($A52&gt;=T0,$E$3,0)),$F$3),IF($C$3="down",MAX(Policy_Sched!$E52*(1-IF($A52&gt;=T0,$E$3,0)),Policy_Sched!$E52-$F$3),Policy_Sched!$E52)))</f>
        <v>0</v>
      </c>
      <c r="E52" s="37">
        <f t="shared" si="35"/>
        <v>0</v>
      </c>
      <c r="F52" s="37">
        <f t="shared" si="18"/>
        <v>0</v>
      </c>
      <c r="G52" s="37">
        <f t="shared" si="19"/>
        <v>0</v>
      </c>
      <c r="H52" s="37">
        <f t="shared" si="20"/>
        <v>0</v>
      </c>
      <c r="I52" s="37">
        <f t="shared" si="21"/>
        <v>0</v>
      </c>
      <c r="J52" s="37">
        <f t="shared" si="22"/>
        <v>0</v>
      </c>
      <c r="K52" s="37">
        <f>IF($A52&gt;LastT,0,J52*Policy_Sched!$C52*Policy_Sched!$D52*C52)</f>
        <v>0</v>
      </c>
      <c r="L52" s="41">
        <f t="shared" si="23"/>
        <v>0</v>
      </c>
      <c r="M52" s="38">
        <f t="shared" si="24"/>
        <v>0</v>
      </c>
      <c r="N52" s="38">
        <f t="shared" si="25"/>
        <v>0</v>
      </c>
      <c r="O52" s="38">
        <f t="shared" si="26"/>
        <v>0</v>
      </c>
      <c r="P52" s="38">
        <f>Policy_Sched!$I52*(L52+I52)</f>
        <v>0</v>
      </c>
      <c r="Q52" s="42">
        <f t="shared" si="27"/>
        <v>0</v>
      </c>
      <c r="R52" s="38">
        <f t="shared" si="28"/>
        <v>0</v>
      </c>
      <c r="S52" s="38">
        <f t="shared" si="29"/>
        <v>0</v>
      </c>
      <c r="T52" s="38">
        <f>Policy_Sched!$J52*J52</f>
        <v>0</v>
      </c>
      <c r="U52" s="42">
        <f t="shared" si="30"/>
        <v>0</v>
      </c>
      <c r="V52" s="42">
        <f t="shared" si="31"/>
        <v>0</v>
      </c>
      <c r="W52" s="38">
        <f>IF($A52&gt;LastT,0,N52+W53/(1+Policy_Sched!$K52))</f>
        <v>0</v>
      </c>
      <c r="X52" s="38">
        <f>IF($A52&gt;LastT,0,(-Q52+X53)/(1+Policy_Sched!$K52))</f>
        <v>0</v>
      </c>
      <c r="Y52" s="38">
        <f>IF($A52&gt;LastT,0,-V52+Y53/(1+Policy_Sched!$K52))</f>
        <v>0</v>
      </c>
      <c r="Z52" s="42">
        <f t="shared" si="32"/>
        <v>0</v>
      </c>
      <c r="AA52" s="38">
        <f>IF($A52&gt;LastT,0,N52-V52-Q52/(1+Policy_Sched!$K52)+Z53/(1+Policy_Sched!$K52))</f>
        <v>0</v>
      </c>
    </row>
    <row r="53" spans="1:27" x14ac:dyDescent="0.2">
      <c r="A53" s="30">
        <f t="shared" si="33"/>
        <v>46</v>
      </c>
      <c r="B53" s="31">
        <f t="shared" si="34"/>
        <v>0</v>
      </c>
      <c r="C53" s="31">
        <f>IF($A53&gt;LastT,0,IF(AND($D$3&lt;&gt;0,$A53&gt;=T0,Policy_Sched!$B53&lt;LastAge),1+$D$3*$E$3,1))</f>
        <v>0</v>
      </c>
      <c r="D53" s="36">
        <f>IF($A53&gt;LastT,0,IF($C$3="up",MIN(Policy_Sched!$E53*(1+IF($A53&gt;=T0,$E$3,0)),$F$3),IF($C$3="down",MAX(Policy_Sched!$E53*(1-IF($A53&gt;=T0,$E$3,0)),Policy_Sched!$E53-$F$3),Policy_Sched!$E53)))</f>
        <v>0</v>
      </c>
      <c r="E53" s="37">
        <f t="shared" si="35"/>
        <v>0</v>
      </c>
      <c r="F53" s="37">
        <f t="shared" si="18"/>
        <v>0</v>
      </c>
      <c r="G53" s="37">
        <f t="shared" si="19"/>
        <v>0</v>
      </c>
      <c r="H53" s="37">
        <f t="shared" si="20"/>
        <v>0</v>
      </c>
      <c r="I53" s="37">
        <f t="shared" si="21"/>
        <v>0</v>
      </c>
      <c r="J53" s="37">
        <f t="shared" si="22"/>
        <v>0</v>
      </c>
      <c r="K53" s="37">
        <f>IF($A53&gt;LastT,0,J53*Policy_Sched!$C53*Policy_Sched!$D53*C53)</f>
        <v>0</v>
      </c>
      <c r="L53" s="41">
        <f t="shared" si="23"/>
        <v>0</v>
      </c>
      <c r="M53" s="38">
        <f t="shared" si="24"/>
        <v>0</v>
      </c>
      <c r="N53" s="38">
        <f t="shared" si="25"/>
        <v>0</v>
      </c>
      <c r="O53" s="38">
        <f t="shared" si="26"/>
        <v>0</v>
      </c>
      <c r="P53" s="38">
        <f>Policy_Sched!$I53*(L53+I53)</f>
        <v>0</v>
      </c>
      <c r="Q53" s="42">
        <f t="shared" si="27"/>
        <v>0</v>
      </c>
      <c r="R53" s="38">
        <f t="shared" si="28"/>
        <v>0</v>
      </c>
      <c r="S53" s="38">
        <f t="shared" si="29"/>
        <v>0</v>
      </c>
      <c r="T53" s="38">
        <f>Policy_Sched!$J53*J53</f>
        <v>0</v>
      </c>
      <c r="U53" s="42">
        <f t="shared" si="30"/>
        <v>0</v>
      </c>
      <c r="V53" s="42">
        <f t="shared" si="31"/>
        <v>0</v>
      </c>
      <c r="W53" s="38">
        <f>IF($A53&gt;LastT,0,N53+W54/(1+Policy_Sched!$K53))</f>
        <v>0</v>
      </c>
      <c r="X53" s="38">
        <f>IF($A53&gt;LastT,0,(-Q53+X54)/(1+Policy_Sched!$K53))</f>
        <v>0</v>
      </c>
      <c r="Y53" s="38">
        <f>IF($A53&gt;LastT,0,-V53+Y54/(1+Policy_Sched!$K53))</f>
        <v>0</v>
      </c>
      <c r="Z53" s="42">
        <f t="shared" si="32"/>
        <v>0</v>
      </c>
      <c r="AA53" s="38">
        <f>IF($A53&gt;LastT,0,N53-V53-Q53/(1+Policy_Sched!$K53)+Z54/(1+Policy_Sched!$K53))</f>
        <v>0</v>
      </c>
    </row>
    <row r="54" spans="1:27" x14ac:dyDescent="0.2">
      <c r="A54" s="30">
        <f t="shared" si="33"/>
        <v>47</v>
      </c>
      <c r="B54" s="31">
        <f t="shared" si="34"/>
        <v>0</v>
      </c>
      <c r="C54" s="31">
        <f>IF($A54&gt;LastT,0,IF(AND($D$3&lt;&gt;0,$A54&gt;=T0,Policy_Sched!$B54&lt;LastAge),1+$D$3*$E$3,1))</f>
        <v>0</v>
      </c>
      <c r="D54" s="36">
        <f>IF($A54&gt;LastT,0,IF($C$3="up",MIN(Policy_Sched!$E54*(1+IF($A54&gt;=T0,$E$3,0)),$F$3),IF($C$3="down",MAX(Policy_Sched!$E54*(1-IF($A54&gt;=T0,$E$3,0)),Policy_Sched!$E54-$F$3),Policy_Sched!$E54)))</f>
        <v>0</v>
      </c>
      <c r="E54" s="37">
        <f t="shared" si="35"/>
        <v>0</v>
      </c>
      <c r="F54" s="37">
        <f t="shared" si="18"/>
        <v>0</v>
      </c>
      <c r="G54" s="37">
        <f t="shared" si="19"/>
        <v>0</v>
      </c>
      <c r="H54" s="37">
        <f t="shared" si="20"/>
        <v>0</v>
      </c>
      <c r="I54" s="37">
        <f t="shared" si="21"/>
        <v>0</v>
      </c>
      <c r="J54" s="37">
        <f t="shared" si="22"/>
        <v>0</v>
      </c>
      <c r="K54" s="37">
        <f>IF($A54&gt;LastT,0,J54*Policy_Sched!$C54*Policy_Sched!$D54*C54)</f>
        <v>0</v>
      </c>
      <c r="L54" s="41">
        <f t="shared" si="23"/>
        <v>0</v>
      </c>
      <c r="M54" s="38">
        <f t="shared" si="24"/>
        <v>0</v>
      </c>
      <c r="N54" s="38">
        <f t="shared" si="25"/>
        <v>0</v>
      </c>
      <c r="O54" s="38">
        <f t="shared" si="26"/>
        <v>0</v>
      </c>
      <c r="P54" s="38">
        <f>Policy_Sched!$I54*(L54+I54)</f>
        <v>0</v>
      </c>
      <c r="Q54" s="42">
        <f t="shared" si="27"/>
        <v>0</v>
      </c>
      <c r="R54" s="38">
        <f t="shared" si="28"/>
        <v>0</v>
      </c>
      <c r="S54" s="38">
        <f t="shared" si="29"/>
        <v>0</v>
      </c>
      <c r="T54" s="38">
        <f>Policy_Sched!$J54*J54</f>
        <v>0</v>
      </c>
      <c r="U54" s="42">
        <f t="shared" si="30"/>
        <v>0</v>
      </c>
      <c r="V54" s="42">
        <f t="shared" si="31"/>
        <v>0</v>
      </c>
      <c r="W54" s="38">
        <f>IF($A54&gt;LastT,0,N54+W55/(1+Policy_Sched!$K54))</f>
        <v>0</v>
      </c>
      <c r="X54" s="38">
        <f>IF($A54&gt;LastT,0,(-Q54+X55)/(1+Policy_Sched!$K54))</f>
        <v>0</v>
      </c>
      <c r="Y54" s="38">
        <f>IF($A54&gt;LastT,0,-V54+Y55/(1+Policy_Sched!$K54))</f>
        <v>0</v>
      </c>
      <c r="Z54" s="42">
        <f t="shared" si="32"/>
        <v>0</v>
      </c>
      <c r="AA54" s="38">
        <f>IF($A54&gt;LastT,0,N54-V54-Q54/(1+Policy_Sched!$K54)+Z55/(1+Policy_Sched!$K54))</f>
        <v>0</v>
      </c>
    </row>
    <row r="55" spans="1:27" x14ac:dyDescent="0.2">
      <c r="A55" s="30">
        <f t="shared" si="33"/>
        <v>48</v>
      </c>
      <c r="B55" s="31">
        <f t="shared" si="34"/>
        <v>0</v>
      </c>
      <c r="C55" s="31">
        <f>IF($A55&gt;LastT,0,IF(AND($D$3&lt;&gt;0,$A55&gt;=T0,Policy_Sched!$B55&lt;LastAge),1+$D$3*$E$3,1))</f>
        <v>0</v>
      </c>
      <c r="D55" s="36">
        <f>IF($A55&gt;LastT,0,IF($C$3="up",MIN(Policy_Sched!$E55*(1+IF($A55&gt;=T0,$E$3,0)),$F$3),IF($C$3="down",MAX(Policy_Sched!$E55*(1-IF($A55&gt;=T0,$E$3,0)),Policy_Sched!$E55-$F$3),Policy_Sched!$E55)))</f>
        <v>0</v>
      </c>
      <c r="E55" s="37">
        <f t="shared" si="35"/>
        <v>0</v>
      </c>
      <c r="F55" s="37">
        <f t="shared" si="18"/>
        <v>0</v>
      </c>
      <c r="G55" s="37">
        <f t="shared" si="19"/>
        <v>0</v>
      </c>
      <c r="H55" s="37">
        <f t="shared" si="20"/>
        <v>0</v>
      </c>
      <c r="I55" s="37">
        <f t="shared" si="21"/>
        <v>0</v>
      </c>
      <c r="J55" s="37">
        <f t="shared" si="22"/>
        <v>0</v>
      </c>
      <c r="K55" s="37">
        <f>IF($A55&gt;LastT,0,J55*Policy_Sched!$C55*Policy_Sched!$D55*C55)</f>
        <v>0</v>
      </c>
      <c r="L55" s="41">
        <f t="shared" si="23"/>
        <v>0</v>
      </c>
      <c r="M55" s="38">
        <f t="shared" si="24"/>
        <v>0</v>
      </c>
      <c r="N55" s="38">
        <f t="shared" si="25"/>
        <v>0</v>
      </c>
      <c r="O55" s="38">
        <f t="shared" si="26"/>
        <v>0</v>
      </c>
      <c r="P55" s="38">
        <f>Policy_Sched!$I55*(L55+I55)</f>
        <v>0</v>
      </c>
      <c r="Q55" s="42">
        <f t="shared" si="27"/>
        <v>0</v>
      </c>
      <c r="R55" s="38">
        <f t="shared" si="28"/>
        <v>0</v>
      </c>
      <c r="S55" s="38">
        <f t="shared" si="29"/>
        <v>0</v>
      </c>
      <c r="T55" s="38">
        <f>Policy_Sched!$J55*J55</f>
        <v>0</v>
      </c>
      <c r="U55" s="42">
        <f t="shared" si="30"/>
        <v>0</v>
      </c>
      <c r="V55" s="42">
        <f t="shared" si="31"/>
        <v>0</v>
      </c>
      <c r="W55" s="38">
        <f>IF($A55&gt;LastT,0,N55+W56/(1+Policy_Sched!$K55))</f>
        <v>0</v>
      </c>
      <c r="X55" s="38">
        <f>IF($A55&gt;LastT,0,(-Q55+X56)/(1+Policy_Sched!$K55))</f>
        <v>0</v>
      </c>
      <c r="Y55" s="38">
        <f>IF($A55&gt;LastT,0,-V55+Y56/(1+Policy_Sched!$K55))</f>
        <v>0</v>
      </c>
      <c r="Z55" s="42">
        <f t="shared" si="32"/>
        <v>0</v>
      </c>
      <c r="AA55" s="38">
        <f>IF($A55&gt;LastT,0,N55-V55-Q55/(1+Policy_Sched!$K55)+Z56/(1+Policy_Sched!$K55))</f>
        <v>0</v>
      </c>
    </row>
    <row r="56" spans="1:27" x14ac:dyDescent="0.2">
      <c r="A56" s="30">
        <f t="shared" si="33"/>
        <v>49</v>
      </c>
      <c r="B56" s="31">
        <f t="shared" si="34"/>
        <v>0</v>
      </c>
      <c r="C56" s="31">
        <f>IF($A56&gt;LastT,0,IF(AND($D$3&lt;&gt;0,$A56&gt;=T0,Policy_Sched!$B56&lt;LastAge),1+$D$3*$E$3,1))</f>
        <v>0</v>
      </c>
      <c r="D56" s="36">
        <f>IF($A56&gt;LastT,0,IF($C$3="up",MIN(Policy_Sched!$E56*(1+IF($A56&gt;=T0,$E$3,0)),$F$3),IF($C$3="down",MAX(Policy_Sched!$E56*(1-IF($A56&gt;=T0,$E$3,0)),Policy_Sched!$E56-$F$3),Policy_Sched!$E56)))</f>
        <v>0</v>
      </c>
      <c r="E56" s="37">
        <f t="shared" si="35"/>
        <v>0</v>
      </c>
      <c r="F56" s="37">
        <f t="shared" si="18"/>
        <v>0</v>
      </c>
      <c r="G56" s="37">
        <f t="shared" si="19"/>
        <v>0</v>
      </c>
      <c r="H56" s="37">
        <f t="shared" si="20"/>
        <v>0</v>
      </c>
      <c r="I56" s="37">
        <f t="shared" si="21"/>
        <v>0</v>
      </c>
      <c r="J56" s="37">
        <f t="shared" si="22"/>
        <v>0</v>
      </c>
      <c r="K56" s="37">
        <f>IF($A56&gt;LastT,0,J56*Policy_Sched!$C56*Policy_Sched!$D56*C56)</f>
        <v>0</v>
      </c>
      <c r="L56" s="41">
        <f t="shared" si="23"/>
        <v>0</v>
      </c>
      <c r="M56" s="38">
        <f t="shared" si="24"/>
        <v>0</v>
      </c>
      <c r="N56" s="38">
        <f t="shared" si="25"/>
        <v>0</v>
      </c>
      <c r="O56" s="38">
        <f t="shared" si="26"/>
        <v>0</v>
      </c>
      <c r="P56" s="38">
        <f>Policy_Sched!$I56*(L56+I56)</f>
        <v>0</v>
      </c>
      <c r="Q56" s="42">
        <f t="shared" si="27"/>
        <v>0</v>
      </c>
      <c r="R56" s="38">
        <f t="shared" si="28"/>
        <v>0</v>
      </c>
      <c r="S56" s="38">
        <f t="shared" si="29"/>
        <v>0</v>
      </c>
      <c r="T56" s="38">
        <f>Policy_Sched!$J56*J56</f>
        <v>0</v>
      </c>
      <c r="U56" s="42">
        <f t="shared" si="30"/>
        <v>0</v>
      </c>
      <c r="V56" s="42">
        <f t="shared" si="31"/>
        <v>0</v>
      </c>
      <c r="W56" s="38">
        <f>IF($A56&gt;LastT,0,N56+W57/(1+Policy_Sched!$K56))</f>
        <v>0</v>
      </c>
      <c r="X56" s="38">
        <f>IF($A56&gt;LastT,0,(-Q56+X57)/(1+Policy_Sched!$K56))</f>
        <v>0</v>
      </c>
      <c r="Y56" s="38">
        <f>IF($A56&gt;LastT,0,-V56+Y57/(1+Policy_Sched!$K56))</f>
        <v>0</v>
      </c>
      <c r="Z56" s="42">
        <f t="shared" si="32"/>
        <v>0</v>
      </c>
      <c r="AA56" s="38">
        <f>IF($A56&gt;LastT,0,N56-V56-Q56/(1+Policy_Sched!$K56)+Z57/(1+Policy_Sched!$K56))</f>
        <v>0</v>
      </c>
    </row>
    <row r="57" spans="1:27" x14ac:dyDescent="0.2">
      <c r="A57" s="30">
        <f t="shared" si="33"/>
        <v>50</v>
      </c>
      <c r="B57" s="31">
        <f t="shared" si="34"/>
        <v>0</v>
      </c>
      <c r="C57" s="31">
        <f>IF($A57&gt;LastT,0,IF(AND($D$3&lt;&gt;0,$A57&gt;=T0,Policy_Sched!$B57&lt;LastAge),1+$D$3*$E$3,1))</f>
        <v>0</v>
      </c>
      <c r="D57" s="36">
        <f>IF($A57&gt;LastT,0,IF($C$3="up",MIN(Policy_Sched!$E57*(1+IF($A57&gt;=T0,$E$3,0)),$F$3),IF($C$3="down",MAX(Policy_Sched!$E57*(1-IF($A57&gt;=T0,$E$3,0)),Policy_Sched!$E57-$F$3),Policy_Sched!$E57)))</f>
        <v>0</v>
      </c>
      <c r="E57" s="37">
        <f t="shared" si="35"/>
        <v>0</v>
      </c>
      <c r="F57" s="37">
        <f t="shared" si="18"/>
        <v>0</v>
      </c>
      <c r="G57" s="37">
        <f t="shared" si="19"/>
        <v>0</v>
      </c>
      <c r="H57" s="37">
        <f t="shared" si="20"/>
        <v>0</v>
      </c>
      <c r="I57" s="37">
        <f t="shared" si="21"/>
        <v>0</v>
      </c>
      <c r="J57" s="37">
        <f t="shared" si="22"/>
        <v>0</v>
      </c>
      <c r="K57" s="37">
        <f>IF($A57&gt;LastT,0,J57*Policy_Sched!$C57*Policy_Sched!$D57*C57)</f>
        <v>0</v>
      </c>
      <c r="L57" s="41">
        <f t="shared" si="23"/>
        <v>0</v>
      </c>
      <c r="M57" s="38">
        <f t="shared" si="24"/>
        <v>0</v>
      </c>
      <c r="N57" s="38">
        <f t="shared" si="25"/>
        <v>0</v>
      </c>
      <c r="O57" s="38">
        <f t="shared" si="26"/>
        <v>0</v>
      </c>
      <c r="P57" s="38">
        <f>Policy_Sched!$I57*(L57+I57)</f>
        <v>0</v>
      </c>
      <c r="Q57" s="42">
        <f t="shared" si="27"/>
        <v>0</v>
      </c>
      <c r="R57" s="38">
        <f t="shared" si="28"/>
        <v>0</v>
      </c>
      <c r="S57" s="38">
        <f t="shared" si="29"/>
        <v>0</v>
      </c>
      <c r="T57" s="38">
        <f>Policy_Sched!$J57*J57</f>
        <v>0</v>
      </c>
      <c r="U57" s="42">
        <f t="shared" si="30"/>
        <v>0</v>
      </c>
      <c r="V57" s="42">
        <f t="shared" si="31"/>
        <v>0</v>
      </c>
      <c r="W57" s="38">
        <f>IF($A57&gt;LastT,0,N57+W58/(1+Policy_Sched!$K57))</f>
        <v>0</v>
      </c>
      <c r="X57" s="38">
        <f>IF($A57&gt;LastT,0,(-Q57+X58)/(1+Policy_Sched!$K57))</f>
        <v>0</v>
      </c>
      <c r="Y57" s="38">
        <f>IF($A57&gt;LastT,0,-V57+Y58/(1+Policy_Sched!$K57))</f>
        <v>0</v>
      </c>
      <c r="Z57" s="42">
        <f t="shared" si="32"/>
        <v>0</v>
      </c>
      <c r="AA57" s="38">
        <f>IF($A57&gt;LastT,0,N57-V57-Q57/(1+Policy_Sched!$K57)+Z58/(1+Policy_Sched!$K57))</f>
        <v>0</v>
      </c>
    </row>
    <row r="58" spans="1:27" x14ac:dyDescent="0.2">
      <c r="A58" s="30">
        <f t="shared" si="33"/>
        <v>51</v>
      </c>
      <c r="B58" s="31">
        <f t="shared" si="34"/>
        <v>0</v>
      </c>
      <c r="C58" s="31">
        <f>IF($A58&gt;LastT,0,IF(AND($D$3&lt;&gt;0,$A58&gt;=T0,Policy_Sched!$B58&lt;LastAge),1+$D$3*$E$3,1))</f>
        <v>0</v>
      </c>
      <c r="D58" s="36">
        <f>IF($A58&gt;LastT,0,IF($C$3="up",MIN(Policy_Sched!$E58*(1+IF($A58&gt;=T0,$E$3,0)),$F$3),IF($C$3="down",MAX(Policy_Sched!$E58*(1-IF($A58&gt;=T0,$E$3,0)),Policy_Sched!$E58-$F$3),Policy_Sched!$E58)))</f>
        <v>0</v>
      </c>
      <c r="E58" s="37">
        <f t="shared" si="35"/>
        <v>0</v>
      </c>
      <c r="F58" s="37">
        <f t="shared" si="18"/>
        <v>0</v>
      </c>
      <c r="G58" s="37">
        <f t="shared" si="19"/>
        <v>0</v>
      </c>
      <c r="H58" s="37">
        <f t="shared" si="20"/>
        <v>0</v>
      </c>
      <c r="I58" s="37">
        <f t="shared" si="21"/>
        <v>0</v>
      </c>
      <c r="J58" s="37">
        <f t="shared" si="22"/>
        <v>0</v>
      </c>
      <c r="K58" s="37">
        <f>IF($A58&gt;LastT,0,J58*Policy_Sched!$C58*Policy_Sched!$D58*C58)</f>
        <v>0</v>
      </c>
      <c r="L58" s="41">
        <f t="shared" si="23"/>
        <v>0</v>
      </c>
      <c r="M58" s="38">
        <f t="shared" si="24"/>
        <v>0</v>
      </c>
      <c r="N58" s="38">
        <f t="shared" si="25"/>
        <v>0</v>
      </c>
      <c r="O58" s="38">
        <f t="shared" si="26"/>
        <v>0</v>
      </c>
      <c r="P58" s="38">
        <f>Policy_Sched!$I58*(L58+I58)</f>
        <v>0</v>
      </c>
      <c r="Q58" s="42">
        <f t="shared" si="27"/>
        <v>0</v>
      </c>
      <c r="R58" s="38">
        <f t="shared" si="28"/>
        <v>0</v>
      </c>
      <c r="S58" s="38">
        <f t="shared" si="29"/>
        <v>0</v>
      </c>
      <c r="T58" s="38">
        <f>Policy_Sched!$J58*J58</f>
        <v>0</v>
      </c>
      <c r="U58" s="42">
        <f t="shared" si="30"/>
        <v>0</v>
      </c>
      <c r="V58" s="42">
        <f t="shared" si="31"/>
        <v>0</v>
      </c>
      <c r="W58" s="38">
        <f>IF($A58&gt;LastT,0,N58+W59/(1+Policy_Sched!$K58))</f>
        <v>0</v>
      </c>
      <c r="X58" s="38">
        <f>IF($A58&gt;LastT,0,(-Q58+X59)/(1+Policy_Sched!$K58))</f>
        <v>0</v>
      </c>
      <c r="Y58" s="38">
        <f>IF($A58&gt;LastT,0,-V58+Y59/(1+Policy_Sched!$K58))</f>
        <v>0</v>
      </c>
      <c r="Z58" s="42">
        <f t="shared" si="32"/>
        <v>0</v>
      </c>
      <c r="AA58" s="38">
        <f>IF($A58&gt;LastT,0,N58-V58-Q58/(1+Policy_Sched!$K58)+Z59/(1+Policy_Sched!$K58))</f>
        <v>0</v>
      </c>
    </row>
    <row r="59" spans="1:27" x14ac:dyDescent="0.2">
      <c r="A59" s="30">
        <f t="shared" si="33"/>
        <v>52</v>
      </c>
      <c r="B59" s="31">
        <f t="shared" si="34"/>
        <v>0</v>
      </c>
      <c r="C59" s="31">
        <f>IF($A59&gt;LastT,0,IF(AND($D$3&lt;&gt;0,$A59&gt;=T0,Policy_Sched!$B59&lt;LastAge),1+$D$3*$E$3,1))</f>
        <v>0</v>
      </c>
      <c r="D59" s="36">
        <f>IF($A59&gt;LastT,0,IF($C$3="up",MIN(Policy_Sched!$E59*(1+IF($A59&gt;=T0,$E$3,0)),$F$3),IF($C$3="down",MAX(Policy_Sched!$E59*(1-IF($A59&gt;=T0,$E$3,0)),Policy_Sched!$E59-$F$3),Policy_Sched!$E59)))</f>
        <v>0</v>
      </c>
      <c r="E59" s="37">
        <f t="shared" si="35"/>
        <v>0</v>
      </c>
      <c r="F59" s="37">
        <f t="shared" si="18"/>
        <v>0</v>
      </c>
      <c r="G59" s="37">
        <f t="shared" si="19"/>
        <v>0</v>
      </c>
      <c r="H59" s="37">
        <f t="shared" si="20"/>
        <v>0</v>
      </c>
      <c r="I59" s="37">
        <f t="shared" si="21"/>
        <v>0</v>
      </c>
      <c r="J59" s="37">
        <f t="shared" si="22"/>
        <v>0</v>
      </c>
      <c r="K59" s="37">
        <f>IF($A59&gt;LastT,0,J59*Policy_Sched!$C59*Policy_Sched!$D59*C59)</f>
        <v>0</v>
      </c>
      <c r="L59" s="41">
        <f t="shared" si="23"/>
        <v>0</v>
      </c>
      <c r="M59" s="38">
        <f t="shared" si="24"/>
        <v>0</v>
      </c>
      <c r="N59" s="38">
        <f t="shared" si="25"/>
        <v>0</v>
      </c>
      <c r="O59" s="38">
        <f t="shared" si="26"/>
        <v>0</v>
      </c>
      <c r="P59" s="38">
        <f>Policy_Sched!$I59*(L59+I59)</f>
        <v>0</v>
      </c>
      <c r="Q59" s="42">
        <f t="shared" si="27"/>
        <v>0</v>
      </c>
      <c r="R59" s="38">
        <f t="shared" si="28"/>
        <v>0</v>
      </c>
      <c r="S59" s="38">
        <f t="shared" si="29"/>
        <v>0</v>
      </c>
      <c r="T59" s="38">
        <f>Policy_Sched!$J59*J59</f>
        <v>0</v>
      </c>
      <c r="U59" s="42">
        <f t="shared" si="30"/>
        <v>0</v>
      </c>
      <c r="V59" s="42">
        <f t="shared" si="31"/>
        <v>0</v>
      </c>
      <c r="W59" s="38">
        <f>IF($A59&gt;LastT,0,N59+W60/(1+Policy_Sched!$K59))</f>
        <v>0</v>
      </c>
      <c r="X59" s="38">
        <f>IF($A59&gt;LastT,0,(-Q59+X60)/(1+Policy_Sched!$K59))</f>
        <v>0</v>
      </c>
      <c r="Y59" s="38">
        <f>IF($A59&gt;LastT,0,-V59+Y60/(1+Policy_Sched!$K59))</f>
        <v>0</v>
      </c>
      <c r="Z59" s="42">
        <f t="shared" si="32"/>
        <v>0</v>
      </c>
      <c r="AA59" s="38">
        <f>IF($A59&gt;LastT,0,N59-V59-Q59/(1+Policy_Sched!$K59)+Z60/(1+Policy_Sched!$K59))</f>
        <v>0</v>
      </c>
    </row>
    <row r="60" spans="1:27" x14ac:dyDescent="0.2">
      <c r="A60" s="30">
        <f t="shared" si="33"/>
        <v>53</v>
      </c>
      <c r="B60" s="31">
        <f t="shared" si="34"/>
        <v>0</v>
      </c>
      <c r="C60" s="31">
        <f>IF($A60&gt;LastT,0,IF(AND($D$3&lt;&gt;0,$A60&gt;=T0,Policy_Sched!$B60&lt;LastAge),1+$D$3*$E$3,1))</f>
        <v>0</v>
      </c>
      <c r="D60" s="36">
        <f>IF($A60&gt;LastT,0,IF($C$3="up",MIN(Policy_Sched!$E60*(1+IF($A60&gt;=T0,$E$3,0)),$F$3),IF($C$3="down",MAX(Policy_Sched!$E60*(1-IF($A60&gt;=T0,$E$3,0)),Policy_Sched!$E60-$F$3),Policy_Sched!$E60)))</f>
        <v>0</v>
      </c>
      <c r="E60" s="37">
        <f t="shared" si="35"/>
        <v>0</v>
      </c>
      <c r="F60" s="37">
        <f t="shared" si="18"/>
        <v>0</v>
      </c>
      <c r="G60" s="37">
        <f t="shared" si="19"/>
        <v>0</v>
      </c>
      <c r="H60" s="37">
        <f t="shared" si="20"/>
        <v>0</v>
      </c>
      <c r="I60" s="37">
        <f t="shared" si="21"/>
        <v>0</v>
      </c>
      <c r="J60" s="37">
        <f t="shared" si="22"/>
        <v>0</v>
      </c>
      <c r="K60" s="37">
        <f>IF($A60&gt;LastT,0,J60*Policy_Sched!$C60*Policy_Sched!$D60*C60)</f>
        <v>0</v>
      </c>
      <c r="L60" s="41">
        <f t="shared" si="23"/>
        <v>0</v>
      </c>
      <c r="M60" s="38">
        <f t="shared" si="24"/>
        <v>0</v>
      </c>
      <c r="N60" s="38">
        <f t="shared" si="25"/>
        <v>0</v>
      </c>
      <c r="O60" s="38">
        <f t="shared" si="26"/>
        <v>0</v>
      </c>
      <c r="P60" s="38">
        <f>Policy_Sched!$I60*(L60+I60)</f>
        <v>0</v>
      </c>
      <c r="Q60" s="42">
        <f t="shared" si="27"/>
        <v>0</v>
      </c>
      <c r="R60" s="38">
        <f t="shared" si="28"/>
        <v>0</v>
      </c>
      <c r="S60" s="38">
        <f t="shared" si="29"/>
        <v>0</v>
      </c>
      <c r="T60" s="38">
        <f>Policy_Sched!$J60*J60</f>
        <v>0</v>
      </c>
      <c r="U60" s="42">
        <f t="shared" si="30"/>
        <v>0</v>
      </c>
      <c r="V60" s="42">
        <f t="shared" si="31"/>
        <v>0</v>
      </c>
      <c r="W60" s="38">
        <f>IF($A60&gt;LastT,0,N60+W61/(1+Policy_Sched!$K60))</f>
        <v>0</v>
      </c>
      <c r="X60" s="38">
        <f>IF($A60&gt;LastT,0,(-Q60+X61)/(1+Policy_Sched!$K60))</f>
        <v>0</v>
      </c>
      <c r="Y60" s="38">
        <f>IF($A60&gt;LastT,0,-V60+Y61/(1+Policy_Sched!$K60))</f>
        <v>0</v>
      </c>
      <c r="Z60" s="42">
        <f t="shared" si="32"/>
        <v>0</v>
      </c>
      <c r="AA60" s="38">
        <f>IF($A60&gt;LastT,0,N60-V60-Q60/(1+Policy_Sched!$K60)+Z61/(1+Policy_Sched!$K60))</f>
        <v>0</v>
      </c>
    </row>
    <row r="61" spans="1:27" x14ac:dyDescent="0.2">
      <c r="A61" s="30">
        <f t="shared" si="33"/>
        <v>54</v>
      </c>
      <c r="B61" s="31">
        <f t="shared" si="34"/>
        <v>0</v>
      </c>
      <c r="C61" s="31">
        <f>IF($A61&gt;LastT,0,IF(AND($D$3&lt;&gt;0,$A61&gt;=T0,Policy_Sched!$B61&lt;LastAge),1+$D$3*$E$3,1))</f>
        <v>0</v>
      </c>
      <c r="D61" s="36">
        <f>IF($A61&gt;LastT,0,IF($C$3="up",MIN(Policy_Sched!$E61*(1+IF($A61&gt;=T0,$E$3,0)),$F$3),IF($C$3="down",MAX(Policy_Sched!$E61*(1-IF($A61&gt;=T0,$E$3,0)),Policy_Sched!$E61-$F$3),Policy_Sched!$E61)))</f>
        <v>0</v>
      </c>
      <c r="E61" s="37">
        <f t="shared" si="35"/>
        <v>0</v>
      </c>
      <c r="F61" s="37">
        <f t="shared" si="18"/>
        <v>0</v>
      </c>
      <c r="G61" s="37">
        <f t="shared" si="19"/>
        <v>0</v>
      </c>
      <c r="H61" s="37">
        <f t="shared" si="20"/>
        <v>0</v>
      </c>
      <c r="I61" s="37">
        <f t="shared" si="21"/>
        <v>0</v>
      </c>
      <c r="J61" s="37">
        <f t="shared" si="22"/>
        <v>0</v>
      </c>
      <c r="K61" s="37">
        <f>IF($A61&gt;LastT,0,J61*Policy_Sched!$C61*Policy_Sched!$D61*C61)</f>
        <v>0</v>
      </c>
      <c r="L61" s="41">
        <f t="shared" si="23"/>
        <v>0</v>
      </c>
      <c r="M61" s="38">
        <f t="shared" si="24"/>
        <v>0</v>
      </c>
      <c r="N61" s="38">
        <f t="shared" si="25"/>
        <v>0</v>
      </c>
      <c r="O61" s="38">
        <f t="shared" si="26"/>
        <v>0</v>
      </c>
      <c r="P61" s="38">
        <f>Policy_Sched!$I61*(L61+I61)</f>
        <v>0</v>
      </c>
      <c r="Q61" s="42">
        <f t="shared" si="27"/>
        <v>0</v>
      </c>
      <c r="R61" s="38">
        <f t="shared" si="28"/>
        <v>0</v>
      </c>
      <c r="S61" s="38">
        <f t="shared" si="29"/>
        <v>0</v>
      </c>
      <c r="T61" s="38">
        <f>Policy_Sched!$J61*J61</f>
        <v>0</v>
      </c>
      <c r="U61" s="42">
        <f t="shared" si="30"/>
        <v>0</v>
      </c>
      <c r="V61" s="42">
        <f t="shared" si="31"/>
        <v>0</v>
      </c>
      <c r="W61" s="38">
        <f>IF($A61&gt;LastT,0,N61+W62/(1+Policy_Sched!$K61))</f>
        <v>0</v>
      </c>
      <c r="X61" s="38">
        <f>IF($A61&gt;LastT,0,(-Q61+X62)/(1+Policy_Sched!$K61))</f>
        <v>0</v>
      </c>
      <c r="Y61" s="38">
        <f>IF($A61&gt;LastT,0,-V61+Y62/(1+Policy_Sched!$K61))</f>
        <v>0</v>
      </c>
      <c r="Z61" s="42">
        <f t="shared" si="32"/>
        <v>0</v>
      </c>
      <c r="AA61" s="38">
        <f>IF($A61&gt;LastT,0,N61-V61-Q61/(1+Policy_Sched!$K61)+Z62/(1+Policy_Sched!$K61))</f>
        <v>0</v>
      </c>
    </row>
    <row r="62" spans="1:27" x14ac:dyDescent="0.2">
      <c r="A62" s="30">
        <f t="shared" si="33"/>
        <v>55</v>
      </c>
      <c r="B62" s="31">
        <f t="shared" si="34"/>
        <v>0</v>
      </c>
      <c r="C62" s="31">
        <f>IF($A62&gt;LastT,0,IF(AND($D$3&lt;&gt;0,$A62&gt;=T0,Policy_Sched!$B62&lt;LastAge),1+$D$3*$E$3,1))</f>
        <v>0</v>
      </c>
      <c r="D62" s="36">
        <f>IF($A62&gt;LastT,0,IF($C$3="up",MIN(Policy_Sched!$E62*(1+IF($A62&gt;=T0,$E$3,0)),$F$3),IF($C$3="down",MAX(Policy_Sched!$E62*(1-IF($A62&gt;=T0,$E$3,0)),Policy_Sched!$E62-$F$3),Policy_Sched!$E62)))</f>
        <v>0</v>
      </c>
      <c r="E62" s="37">
        <f t="shared" si="35"/>
        <v>0</v>
      </c>
      <c r="F62" s="37">
        <f t="shared" si="18"/>
        <v>0</v>
      </c>
      <c r="G62" s="37">
        <f t="shared" si="19"/>
        <v>0</v>
      </c>
      <c r="H62" s="37">
        <f t="shared" si="20"/>
        <v>0</v>
      </c>
      <c r="I62" s="37">
        <f t="shared" si="21"/>
        <v>0</v>
      </c>
      <c r="J62" s="37">
        <f t="shared" si="22"/>
        <v>0</v>
      </c>
      <c r="K62" s="37">
        <f>IF($A62&gt;LastT,0,J62*Policy_Sched!$C62*Policy_Sched!$D62*C62)</f>
        <v>0</v>
      </c>
      <c r="L62" s="41">
        <f t="shared" si="23"/>
        <v>0</v>
      </c>
      <c r="M62" s="38">
        <f t="shared" si="24"/>
        <v>0</v>
      </c>
      <c r="N62" s="38">
        <f t="shared" si="25"/>
        <v>0</v>
      </c>
      <c r="O62" s="38">
        <f t="shared" si="26"/>
        <v>0</v>
      </c>
      <c r="P62" s="38">
        <f>Policy_Sched!$I62*(L62+I62)</f>
        <v>0</v>
      </c>
      <c r="Q62" s="42">
        <f t="shared" si="27"/>
        <v>0</v>
      </c>
      <c r="R62" s="38">
        <f t="shared" si="28"/>
        <v>0</v>
      </c>
      <c r="S62" s="38">
        <f t="shared" si="29"/>
        <v>0</v>
      </c>
      <c r="T62" s="38">
        <f>Policy_Sched!$J62*J62</f>
        <v>0</v>
      </c>
      <c r="U62" s="42">
        <f t="shared" si="30"/>
        <v>0</v>
      </c>
      <c r="V62" s="42">
        <f t="shared" si="31"/>
        <v>0</v>
      </c>
      <c r="W62" s="38">
        <f>IF($A62&gt;LastT,0,N62+W63/(1+Policy_Sched!$K62))</f>
        <v>0</v>
      </c>
      <c r="X62" s="38">
        <f>IF($A62&gt;LastT,0,(-Q62+X63)/(1+Policy_Sched!$K62))</f>
        <v>0</v>
      </c>
      <c r="Y62" s="38">
        <f>IF($A62&gt;LastT,0,-V62+Y63/(1+Policy_Sched!$K62))</f>
        <v>0</v>
      </c>
      <c r="Z62" s="42">
        <f t="shared" si="32"/>
        <v>0</v>
      </c>
      <c r="AA62" s="38">
        <f>IF($A62&gt;LastT,0,N62-V62-Q62/(1+Policy_Sched!$K62)+Z63/(1+Policy_Sched!$K62))</f>
        <v>0</v>
      </c>
    </row>
    <row r="63" spans="1:27" x14ac:dyDescent="0.2">
      <c r="A63" s="30">
        <f t="shared" si="33"/>
        <v>56</v>
      </c>
      <c r="B63" s="31">
        <f t="shared" si="34"/>
        <v>0</v>
      </c>
      <c r="C63" s="31">
        <f>IF($A63&gt;LastT,0,IF(AND($D$3&lt;&gt;0,$A63&gt;=T0,Policy_Sched!$B63&lt;LastAge),1+$D$3*$E$3,1))</f>
        <v>0</v>
      </c>
      <c r="D63" s="36">
        <f>IF($A63&gt;LastT,0,IF($C$3="up",MIN(Policy_Sched!$E63*(1+IF($A63&gt;=T0,$E$3,0)),$F$3),IF($C$3="down",MAX(Policy_Sched!$E63*(1-IF($A63&gt;=T0,$E$3,0)),Policy_Sched!$E63-$F$3),Policy_Sched!$E63)))</f>
        <v>0</v>
      </c>
      <c r="E63" s="37">
        <f t="shared" si="35"/>
        <v>0</v>
      </c>
      <c r="F63" s="37">
        <f t="shared" si="18"/>
        <v>0</v>
      </c>
      <c r="G63" s="37">
        <f t="shared" si="19"/>
        <v>0</v>
      </c>
      <c r="H63" s="37">
        <f t="shared" si="20"/>
        <v>0</v>
      </c>
      <c r="I63" s="37">
        <f t="shared" si="21"/>
        <v>0</v>
      </c>
      <c r="J63" s="37">
        <f t="shared" si="22"/>
        <v>0</v>
      </c>
      <c r="K63" s="37">
        <f>IF($A63&gt;LastT,0,J63*Policy_Sched!$C63*Policy_Sched!$D63*C63)</f>
        <v>0</v>
      </c>
      <c r="L63" s="41">
        <f t="shared" si="23"/>
        <v>0</v>
      </c>
      <c r="M63" s="38">
        <f t="shared" si="24"/>
        <v>0</v>
      </c>
      <c r="N63" s="38">
        <f t="shared" si="25"/>
        <v>0</v>
      </c>
      <c r="O63" s="38">
        <f t="shared" si="26"/>
        <v>0</v>
      </c>
      <c r="P63" s="38">
        <f>Policy_Sched!$I63*(L63+I63)</f>
        <v>0</v>
      </c>
      <c r="Q63" s="42">
        <f t="shared" si="27"/>
        <v>0</v>
      </c>
      <c r="R63" s="38">
        <f t="shared" si="28"/>
        <v>0</v>
      </c>
      <c r="S63" s="38">
        <f t="shared" si="29"/>
        <v>0</v>
      </c>
      <c r="T63" s="38">
        <f>Policy_Sched!$J63*J63</f>
        <v>0</v>
      </c>
      <c r="U63" s="42">
        <f t="shared" si="30"/>
        <v>0</v>
      </c>
      <c r="V63" s="42">
        <f t="shared" si="31"/>
        <v>0</v>
      </c>
      <c r="W63" s="38">
        <f>IF($A63&gt;LastT,0,N63+W64/(1+Policy_Sched!$K63))</f>
        <v>0</v>
      </c>
      <c r="X63" s="38">
        <f>IF($A63&gt;LastT,0,(-Q63+X64)/(1+Policy_Sched!$K63))</f>
        <v>0</v>
      </c>
      <c r="Y63" s="38">
        <f>IF($A63&gt;LastT,0,-V63+Y64/(1+Policy_Sched!$K63))</f>
        <v>0</v>
      </c>
      <c r="Z63" s="42">
        <f t="shared" si="32"/>
        <v>0</v>
      </c>
      <c r="AA63" s="38">
        <f>IF($A63&gt;LastT,0,N63-V63-Q63/(1+Policy_Sched!$K63)+Z64/(1+Policy_Sched!$K63))</f>
        <v>0</v>
      </c>
    </row>
    <row r="64" spans="1:27" x14ac:dyDescent="0.2">
      <c r="A64" s="30">
        <f t="shared" si="33"/>
        <v>57</v>
      </c>
      <c r="B64" s="31">
        <f t="shared" si="34"/>
        <v>0</v>
      </c>
      <c r="C64" s="31">
        <f>IF($A64&gt;LastT,0,IF(AND($D$3&lt;&gt;0,$A64&gt;=T0,Policy_Sched!$B64&lt;LastAge),1+$D$3*$E$3,1))</f>
        <v>0</v>
      </c>
      <c r="D64" s="36">
        <f>IF($A64&gt;LastT,0,IF($C$3="up",MIN(Policy_Sched!$E64*(1+IF($A64&gt;=T0,$E$3,0)),$F$3),IF($C$3="down",MAX(Policy_Sched!$E64*(1-IF($A64&gt;=T0,$E$3,0)),Policy_Sched!$E64-$F$3),Policy_Sched!$E64)))</f>
        <v>0</v>
      </c>
      <c r="E64" s="37">
        <f t="shared" si="35"/>
        <v>0</v>
      </c>
      <c r="F64" s="37">
        <f t="shared" si="18"/>
        <v>0</v>
      </c>
      <c r="G64" s="37">
        <f t="shared" si="19"/>
        <v>0</v>
      </c>
      <c r="H64" s="37">
        <f t="shared" si="20"/>
        <v>0</v>
      </c>
      <c r="I64" s="37">
        <f t="shared" si="21"/>
        <v>0</v>
      </c>
      <c r="J64" s="37">
        <f t="shared" si="22"/>
        <v>0</v>
      </c>
      <c r="K64" s="37">
        <f>IF($A64&gt;LastT,0,J64*Policy_Sched!$C64*Policy_Sched!$D64*C64)</f>
        <v>0</v>
      </c>
      <c r="L64" s="41">
        <f t="shared" si="23"/>
        <v>0</v>
      </c>
      <c r="M64" s="38">
        <f t="shared" si="24"/>
        <v>0</v>
      </c>
      <c r="N64" s="38">
        <f t="shared" si="25"/>
        <v>0</v>
      </c>
      <c r="O64" s="38">
        <f t="shared" si="26"/>
        <v>0</v>
      </c>
      <c r="P64" s="38">
        <f>Policy_Sched!$I64*(L64+I64)</f>
        <v>0</v>
      </c>
      <c r="Q64" s="42">
        <f t="shared" si="27"/>
        <v>0</v>
      </c>
      <c r="R64" s="38">
        <f t="shared" si="28"/>
        <v>0</v>
      </c>
      <c r="S64" s="38">
        <f t="shared" si="29"/>
        <v>0</v>
      </c>
      <c r="T64" s="38">
        <f>Policy_Sched!$J64*J64</f>
        <v>0</v>
      </c>
      <c r="U64" s="42">
        <f t="shared" si="30"/>
        <v>0</v>
      </c>
      <c r="V64" s="42">
        <f t="shared" si="31"/>
        <v>0</v>
      </c>
      <c r="W64" s="38">
        <f>IF($A64&gt;LastT,0,N64+W65/(1+Policy_Sched!$K64))</f>
        <v>0</v>
      </c>
      <c r="X64" s="38">
        <f>IF($A64&gt;LastT,0,(-Q64+X65)/(1+Policy_Sched!$K64))</f>
        <v>0</v>
      </c>
      <c r="Y64" s="38">
        <f>IF($A64&gt;LastT,0,-V64+Y65/(1+Policy_Sched!$K64))</f>
        <v>0</v>
      </c>
      <c r="Z64" s="42">
        <f t="shared" si="32"/>
        <v>0</v>
      </c>
      <c r="AA64" s="38">
        <f>IF($A64&gt;LastT,0,N64-V64-Q64/(1+Policy_Sched!$K64)+Z65/(1+Policy_Sched!$K64))</f>
        <v>0</v>
      </c>
    </row>
    <row r="65" spans="1:27" x14ac:dyDescent="0.2">
      <c r="A65" s="30">
        <f t="shared" si="33"/>
        <v>58</v>
      </c>
      <c r="B65" s="31">
        <f t="shared" si="34"/>
        <v>0</v>
      </c>
      <c r="C65" s="31">
        <f>IF($A65&gt;LastT,0,IF(AND($D$3&lt;&gt;0,$A65&gt;=T0,Policy_Sched!$B65&lt;LastAge),1+$D$3*$E$3,1))</f>
        <v>0</v>
      </c>
      <c r="D65" s="36">
        <f>IF($A65&gt;LastT,0,IF($C$3="up",MIN(Policy_Sched!$E65*(1+IF($A65&gt;=T0,$E$3,0)),$F$3),IF($C$3="down",MAX(Policy_Sched!$E65*(1-IF($A65&gt;=T0,$E$3,0)),Policy_Sched!$E65-$F$3),Policy_Sched!$E65)))</f>
        <v>0</v>
      </c>
      <c r="E65" s="37">
        <f t="shared" si="35"/>
        <v>0</v>
      </c>
      <c r="F65" s="37">
        <f t="shared" si="18"/>
        <v>0</v>
      </c>
      <c r="G65" s="37">
        <f t="shared" si="19"/>
        <v>0</v>
      </c>
      <c r="H65" s="37">
        <f t="shared" si="20"/>
        <v>0</v>
      </c>
      <c r="I65" s="37">
        <f t="shared" si="21"/>
        <v>0</v>
      </c>
      <c r="J65" s="37">
        <f t="shared" si="22"/>
        <v>0</v>
      </c>
      <c r="K65" s="37">
        <f>IF($A65&gt;LastT,0,J65*Policy_Sched!$C65*Policy_Sched!$D65*C65)</f>
        <v>0</v>
      </c>
      <c r="L65" s="41">
        <f t="shared" si="23"/>
        <v>0</v>
      </c>
      <c r="M65" s="38">
        <f t="shared" si="24"/>
        <v>0</v>
      </c>
      <c r="N65" s="38">
        <f t="shared" si="25"/>
        <v>0</v>
      </c>
      <c r="O65" s="38">
        <f t="shared" si="26"/>
        <v>0</v>
      </c>
      <c r="P65" s="38">
        <f>Policy_Sched!$I65*(L65+I65)</f>
        <v>0</v>
      </c>
      <c r="Q65" s="42">
        <f t="shared" si="27"/>
        <v>0</v>
      </c>
      <c r="R65" s="38">
        <f t="shared" si="28"/>
        <v>0</v>
      </c>
      <c r="S65" s="38">
        <f t="shared" si="29"/>
        <v>0</v>
      </c>
      <c r="T65" s="38">
        <f>Policy_Sched!$J65*J65</f>
        <v>0</v>
      </c>
      <c r="U65" s="42">
        <f t="shared" si="30"/>
        <v>0</v>
      </c>
      <c r="V65" s="42">
        <f t="shared" si="31"/>
        <v>0</v>
      </c>
      <c r="W65" s="38">
        <f>IF($A65&gt;LastT,0,N65+W66/(1+Policy_Sched!$K65))</f>
        <v>0</v>
      </c>
      <c r="X65" s="38">
        <f>IF($A65&gt;LastT,0,(-Q65+X66)/(1+Policy_Sched!$K65))</f>
        <v>0</v>
      </c>
      <c r="Y65" s="38">
        <f>IF($A65&gt;LastT,0,-V65+Y66/(1+Policy_Sched!$K65))</f>
        <v>0</v>
      </c>
      <c r="Z65" s="42">
        <f t="shared" si="32"/>
        <v>0</v>
      </c>
      <c r="AA65" s="38">
        <f>IF($A65&gt;LastT,0,N65-V65-Q65/(1+Policy_Sched!$K65)+Z66/(1+Policy_Sched!$K65))</f>
        <v>0</v>
      </c>
    </row>
    <row r="66" spans="1:27" x14ac:dyDescent="0.2">
      <c r="A66" s="30">
        <f t="shared" si="33"/>
        <v>59</v>
      </c>
      <c r="B66" s="31">
        <f t="shared" si="34"/>
        <v>0</v>
      </c>
      <c r="C66" s="31">
        <f>IF($A66&gt;LastT,0,IF(AND($D$3&lt;&gt;0,$A66&gt;=T0,Policy_Sched!$B66&lt;LastAge),1+$D$3*$E$3,1))</f>
        <v>0</v>
      </c>
      <c r="D66" s="36">
        <f>IF($A66&gt;LastT,0,IF($C$3="up",MIN(Policy_Sched!$E66*(1+IF($A66&gt;=T0,$E$3,0)),$F$3),IF($C$3="down",MAX(Policy_Sched!$E66*(1-IF($A66&gt;=T0,$E$3,0)),Policy_Sched!$E66-$F$3),Policy_Sched!$E66)))</f>
        <v>0</v>
      </c>
      <c r="E66" s="37">
        <f t="shared" si="35"/>
        <v>0</v>
      </c>
      <c r="F66" s="37">
        <f t="shared" si="18"/>
        <v>0</v>
      </c>
      <c r="G66" s="37">
        <f t="shared" si="19"/>
        <v>0</v>
      </c>
      <c r="H66" s="37">
        <f t="shared" si="20"/>
        <v>0</v>
      </c>
      <c r="I66" s="37">
        <f t="shared" si="21"/>
        <v>0</v>
      </c>
      <c r="J66" s="37">
        <f t="shared" si="22"/>
        <v>0</v>
      </c>
      <c r="K66" s="37">
        <f>IF($A66&gt;LastT,0,J66*Policy_Sched!$C66*Policy_Sched!$D66*C66)</f>
        <v>0</v>
      </c>
      <c r="L66" s="41">
        <f t="shared" si="23"/>
        <v>0</v>
      </c>
      <c r="M66" s="38">
        <f t="shared" si="24"/>
        <v>0</v>
      </c>
      <c r="N66" s="38">
        <f t="shared" si="25"/>
        <v>0</v>
      </c>
      <c r="O66" s="38">
        <f t="shared" si="26"/>
        <v>0</v>
      </c>
      <c r="P66" s="38">
        <f>Policy_Sched!$I66*(L66+I66)</f>
        <v>0</v>
      </c>
      <c r="Q66" s="42">
        <f t="shared" si="27"/>
        <v>0</v>
      </c>
      <c r="R66" s="38">
        <f t="shared" si="28"/>
        <v>0</v>
      </c>
      <c r="S66" s="38">
        <f t="shared" si="29"/>
        <v>0</v>
      </c>
      <c r="T66" s="38">
        <f>Policy_Sched!$J66*J66</f>
        <v>0</v>
      </c>
      <c r="U66" s="42">
        <f t="shared" si="30"/>
        <v>0</v>
      </c>
      <c r="V66" s="42">
        <f t="shared" si="31"/>
        <v>0</v>
      </c>
      <c r="W66" s="38">
        <f>IF($A66&gt;LastT,0,N66+W67/(1+Policy_Sched!$K66))</f>
        <v>0</v>
      </c>
      <c r="X66" s="38">
        <f>IF($A66&gt;LastT,0,(-Q66+X67)/(1+Policy_Sched!$K66))</f>
        <v>0</v>
      </c>
      <c r="Y66" s="38">
        <f>IF($A66&gt;LastT,0,-V66+Y67/(1+Policy_Sched!$K66))</f>
        <v>0</v>
      </c>
      <c r="Z66" s="42">
        <f t="shared" si="32"/>
        <v>0</v>
      </c>
      <c r="AA66" s="38">
        <f>IF($A66&gt;LastT,0,N66-V66-Q66/(1+Policy_Sched!$K66)+Z67/(1+Policy_Sched!$K66))</f>
        <v>0</v>
      </c>
    </row>
    <row r="67" spans="1:27" x14ac:dyDescent="0.2">
      <c r="A67" s="30">
        <f t="shared" si="33"/>
        <v>60</v>
      </c>
      <c r="B67" s="31">
        <f t="shared" si="34"/>
        <v>0</v>
      </c>
      <c r="C67" s="31">
        <f>IF($A67&gt;LastT,0,IF(AND($D$3&lt;&gt;0,$A67&gt;=T0,Policy_Sched!$B67&lt;LastAge),1+$D$3*$E$3,1))</f>
        <v>0</v>
      </c>
      <c r="D67" s="36">
        <f>IF($A67&gt;LastT,0,IF($C$3="up",MIN(Policy_Sched!$E67*(1+IF($A67&gt;=T0,$E$3,0)),$F$3),IF($C$3="down",MAX(Policy_Sched!$E67*(1-IF($A67&gt;=T0,$E$3,0)),Policy_Sched!$E67-$F$3),Policy_Sched!$E67)))</f>
        <v>0</v>
      </c>
      <c r="E67" s="37">
        <f t="shared" si="35"/>
        <v>0</v>
      </c>
      <c r="F67" s="37">
        <f t="shared" si="18"/>
        <v>0</v>
      </c>
      <c r="G67" s="37">
        <f t="shared" si="19"/>
        <v>0</v>
      </c>
      <c r="H67" s="37">
        <f t="shared" si="20"/>
        <v>0</v>
      </c>
      <c r="I67" s="37">
        <f t="shared" si="21"/>
        <v>0</v>
      </c>
      <c r="J67" s="37">
        <f t="shared" si="22"/>
        <v>0</v>
      </c>
      <c r="K67" s="37">
        <f>IF($A67&gt;LastT,0,J67*Policy_Sched!$C67*Policy_Sched!$D67*C67)</f>
        <v>0</v>
      </c>
      <c r="L67" s="41">
        <f t="shared" si="23"/>
        <v>0</v>
      </c>
      <c r="M67" s="38">
        <f t="shared" si="24"/>
        <v>0</v>
      </c>
      <c r="N67" s="38">
        <f t="shared" si="25"/>
        <v>0</v>
      </c>
      <c r="O67" s="38">
        <f t="shared" si="26"/>
        <v>0</v>
      </c>
      <c r="P67" s="38">
        <f>Policy_Sched!$I67*(L67+I67)</f>
        <v>0</v>
      </c>
      <c r="Q67" s="42">
        <f t="shared" si="27"/>
        <v>0</v>
      </c>
      <c r="R67" s="38">
        <f t="shared" si="28"/>
        <v>0</v>
      </c>
      <c r="S67" s="38">
        <f t="shared" si="29"/>
        <v>0</v>
      </c>
      <c r="T67" s="38">
        <f>Policy_Sched!$J67*J67</f>
        <v>0</v>
      </c>
      <c r="U67" s="42">
        <f t="shared" si="30"/>
        <v>0</v>
      </c>
      <c r="V67" s="42">
        <f t="shared" si="31"/>
        <v>0</v>
      </c>
      <c r="W67" s="38">
        <f>IF($A67&gt;LastT,0,N67+W68/(1+Policy_Sched!$K67))</f>
        <v>0</v>
      </c>
      <c r="X67" s="38">
        <f>IF($A67&gt;LastT,0,(-Q67+X68)/(1+Policy_Sched!$K67))</f>
        <v>0</v>
      </c>
      <c r="Y67" s="38">
        <f>IF($A67&gt;LastT,0,-V67+Y68/(1+Policy_Sched!$K67))</f>
        <v>0</v>
      </c>
      <c r="Z67" s="42">
        <f t="shared" si="32"/>
        <v>0</v>
      </c>
      <c r="AA67" s="38">
        <f>IF($A67&gt;LastT,0,N67-V67-Q67/(1+Policy_Sched!$K67)+Z68/(1+Policy_Sched!$K67))</f>
        <v>0</v>
      </c>
    </row>
    <row r="68" spans="1:27" x14ac:dyDescent="0.2">
      <c r="A68" s="30">
        <f t="shared" si="33"/>
        <v>61</v>
      </c>
      <c r="B68" s="31">
        <f t="shared" si="34"/>
        <v>0</v>
      </c>
      <c r="C68" s="31">
        <f>IF($A68&gt;LastT,0,IF(AND($D$3&lt;&gt;0,$A68&gt;=T0,Policy_Sched!$B68&lt;LastAge),1+$D$3*$E$3,1))</f>
        <v>0</v>
      </c>
      <c r="D68" s="36">
        <f>IF($A68&gt;LastT,0,IF($C$3="up",MIN(Policy_Sched!$E68*(1+IF($A68&gt;=T0,$E$3,0)),$F$3),IF($C$3="down",MAX(Policy_Sched!$E68*(1-IF($A68&gt;=T0,$E$3,0)),Policy_Sched!$E68-$F$3),Policy_Sched!$E68)))</f>
        <v>0</v>
      </c>
      <c r="E68" s="37">
        <f t="shared" si="35"/>
        <v>0</v>
      </c>
      <c r="F68" s="37">
        <f t="shared" si="18"/>
        <v>0</v>
      </c>
      <c r="G68" s="37">
        <f t="shared" si="19"/>
        <v>0</v>
      </c>
      <c r="H68" s="37">
        <f t="shared" si="20"/>
        <v>0</v>
      </c>
      <c r="I68" s="37">
        <f t="shared" si="21"/>
        <v>0</v>
      </c>
      <c r="J68" s="37">
        <f t="shared" si="22"/>
        <v>0</v>
      </c>
      <c r="K68" s="37">
        <f>IF($A68&gt;LastT,0,J68*Policy_Sched!$C68*Policy_Sched!$D68*C68)</f>
        <v>0</v>
      </c>
      <c r="L68" s="41">
        <f t="shared" si="23"/>
        <v>0</v>
      </c>
      <c r="M68" s="38">
        <f t="shared" si="24"/>
        <v>0</v>
      </c>
      <c r="N68" s="38">
        <f t="shared" si="25"/>
        <v>0</v>
      </c>
      <c r="O68" s="38">
        <f t="shared" si="26"/>
        <v>0</v>
      </c>
      <c r="P68" s="38">
        <f>Policy_Sched!$I68*(L68+I68)</f>
        <v>0</v>
      </c>
      <c r="Q68" s="42">
        <f t="shared" si="27"/>
        <v>0</v>
      </c>
      <c r="R68" s="38">
        <f t="shared" si="28"/>
        <v>0</v>
      </c>
      <c r="S68" s="38">
        <f t="shared" si="29"/>
        <v>0</v>
      </c>
      <c r="T68" s="38">
        <f>Policy_Sched!$J68*J68</f>
        <v>0</v>
      </c>
      <c r="U68" s="42">
        <f t="shared" si="30"/>
        <v>0</v>
      </c>
      <c r="V68" s="42">
        <f t="shared" si="31"/>
        <v>0</v>
      </c>
      <c r="W68" s="38">
        <f>IF($A68&gt;LastT,0,N68+W69/(1+Policy_Sched!$K68))</f>
        <v>0</v>
      </c>
      <c r="X68" s="38">
        <f>IF($A68&gt;LastT,0,(-Q68+X69)/(1+Policy_Sched!$K68))</f>
        <v>0</v>
      </c>
      <c r="Y68" s="38">
        <f>IF($A68&gt;LastT,0,-V68+Y69/(1+Policy_Sched!$K68))</f>
        <v>0</v>
      </c>
      <c r="Z68" s="42">
        <f t="shared" si="32"/>
        <v>0</v>
      </c>
      <c r="AA68" s="38">
        <f>IF($A68&gt;LastT,0,N68-V68-Q68/(1+Policy_Sched!$K68)+Z69/(1+Policy_Sched!$K68))</f>
        <v>0</v>
      </c>
    </row>
    <row r="69" spans="1:27" x14ac:dyDescent="0.2">
      <c r="A69" s="30">
        <f t="shared" si="33"/>
        <v>62</v>
      </c>
      <c r="B69" s="31">
        <f t="shared" si="34"/>
        <v>0</v>
      </c>
      <c r="C69" s="31">
        <f>IF($A69&gt;LastT,0,IF(AND($D$3&lt;&gt;0,$A69&gt;=T0,Policy_Sched!$B69&lt;LastAge),1+$D$3*$E$3,1))</f>
        <v>0</v>
      </c>
      <c r="D69" s="36">
        <f>IF($A69&gt;LastT,0,IF($C$3="up",MIN(Policy_Sched!$E69*(1+IF($A69&gt;=T0,$E$3,0)),$F$3),IF($C$3="down",MAX(Policy_Sched!$E69*(1-IF($A69&gt;=T0,$E$3,0)),Policy_Sched!$E69-$F$3),Policy_Sched!$E69)))</f>
        <v>0</v>
      </c>
      <c r="E69" s="37">
        <f t="shared" si="35"/>
        <v>0</v>
      </c>
      <c r="F69" s="37">
        <f t="shared" si="18"/>
        <v>0</v>
      </c>
      <c r="G69" s="37">
        <f t="shared" si="19"/>
        <v>0</v>
      </c>
      <c r="H69" s="37">
        <f t="shared" si="20"/>
        <v>0</v>
      </c>
      <c r="I69" s="37">
        <f t="shared" si="21"/>
        <v>0</v>
      </c>
      <c r="J69" s="37">
        <f t="shared" si="22"/>
        <v>0</v>
      </c>
      <c r="K69" s="37">
        <f>IF($A69&gt;LastT,0,J69*Policy_Sched!$C69*Policy_Sched!$D69*C69)</f>
        <v>0</v>
      </c>
      <c r="L69" s="41">
        <f t="shared" si="23"/>
        <v>0</v>
      </c>
      <c r="M69" s="38">
        <f t="shared" si="24"/>
        <v>0</v>
      </c>
      <c r="N69" s="38">
        <f t="shared" si="25"/>
        <v>0</v>
      </c>
      <c r="O69" s="38">
        <f t="shared" si="26"/>
        <v>0</v>
      </c>
      <c r="P69" s="38">
        <f>Policy_Sched!$I69*(L69+I69)</f>
        <v>0</v>
      </c>
      <c r="Q69" s="42">
        <f t="shared" si="27"/>
        <v>0</v>
      </c>
      <c r="R69" s="38">
        <f t="shared" si="28"/>
        <v>0</v>
      </c>
      <c r="S69" s="38">
        <f t="shared" si="29"/>
        <v>0</v>
      </c>
      <c r="T69" s="38">
        <f>Policy_Sched!$J69*J69</f>
        <v>0</v>
      </c>
      <c r="U69" s="42">
        <f t="shared" si="30"/>
        <v>0</v>
      </c>
      <c r="V69" s="42">
        <f t="shared" si="31"/>
        <v>0</v>
      </c>
      <c r="W69" s="38">
        <f>IF($A69&gt;LastT,0,N69+W70/(1+Policy_Sched!$K69))</f>
        <v>0</v>
      </c>
      <c r="X69" s="38">
        <f>IF($A69&gt;LastT,0,(-Q69+X70)/(1+Policy_Sched!$K69))</f>
        <v>0</v>
      </c>
      <c r="Y69" s="38">
        <f>IF($A69&gt;LastT,0,-V69+Y70/(1+Policy_Sched!$K69))</f>
        <v>0</v>
      </c>
      <c r="Z69" s="42">
        <f t="shared" si="32"/>
        <v>0</v>
      </c>
      <c r="AA69" s="38">
        <f>IF($A69&gt;LastT,0,N69-V69-Q69/(1+Policy_Sched!$K69)+Z70/(1+Policy_Sched!$K69))</f>
        <v>0</v>
      </c>
    </row>
    <row r="70" spans="1:27" x14ac:dyDescent="0.2">
      <c r="A70" s="30">
        <f t="shared" si="33"/>
        <v>63</v>
      </c>
      <c r="B70" s="31">
        <f t="shared" si="34"/>
        <v>0</v>
      </c>
      <c r="C70" s="31">
        <f>IF($A70&gt;LastT,0,IF(AND($D$3&lt;&gt;0,$A70&gt;=T0,Policy_Sched!$B70&lt;LastAge),1+$D$3*$E$3,1))</f>
        <v>0</v>
      </c>
      <c r="D70" s="36">
        <f>IF($A70&gt;LastT,0,IF($C$3="up",MIN(Policy_Sched!$E70*(1+IF($A70&gt;=T0,$E$3,0)),$F$3),IF($C$3="down",MAX(Policy_Sched!$E70*(1-IF($A70&gt;=T0,$E$3,0)),Policy_Sched!$E70-$F$3),Policy_Sched!$E70)))</f>
        <v>0</v>
      </c>
      <c r="E70" s="37">
        <f t="shared" si="35"/>
        <v>0</v>
      </c>
      <c r="F70" s="37">
        <f t="shared" si="18"/>
        <v>0</v>
      </c>
      <c r="G70" s="37">
        <f t="shared" si="19"/>
        <v>0</v>
      </c>
      <c r="H70" s="37">
        <f t="shared" si="20"/>
        <v>0</v>
      </c>
      <c r="I70" s="37">
        <f t="shared" si="21"/>
        <v>0</v>
      </c>
      <c r="J70" s="37">
        <f t="shared" si="22"/>
        <v>0</v>
      </c>
      <c r="K70" s="37">
        <f>IF($A70&gt;LastT,0,J70*Policy_Sched!$C70*Policy_Sched!$D70*C70)</f>
        <v>0</v>
      </c>
      <c r="L70" s="41">
        <f t="shared" si="23"/>
        <v>0</v>
      </c>
      <c r="M70" s="38">
        <f t="shared" si="24"/>
        <v>0</v>
      </c>
      <c r="N70" s="38">
        <f t="shared" si="25"/>
        <v>0</v>
      </c>
      <c r="O70" s="38">
        <f t="shared" si="26"/>
        <v>0</v>
      </c>
      <c r="P70" s="38">
        <f>Policy_Sched!$I70*(L70+I70)</f>
        <v>0</v>
      </c>
      <c r="Q70" s="42">
        <f t="shared" si="27"/>
        <v>0</v>
      </c>
      <c r="R70" s="38">
        <f t="shared" si="28"/>
        <v>0</v>
      </c>
      <c r="S70" s="38">
        <f t="shared" si="29"/>
        <v>0</v>
      </c>
      <c r="T70" s="38">
        <f>Policy_Sched!$J70*J70</f>
        <v>0</v>
      </c>
      <c r="U70" s="42">
        <f t="shared" si="30"/>
        <v>0</v>
      </c>
      <c r="V70" s="42">
        <f t="shared" si="31"/>
        <v>0</v>
      </c>
      <c r="W70" s="38">
        <f>IF($A70&gt;LastT,0,N70+W71/(1+Policy_Sched!$K70))</f>
        <v>0</v>
      </c>
      <c r="X70" s="38">
        <f>IF($A70&gt;LastT,0,(-Q70+X71)/(1+Policy_Sched!$K70))</f>
        <v>0</v>
      </c>
      <c r="Y70" s="38">
        <f>IF($A70&gt;LastT,0,-V70+Y71/(1+Policy_Sched!$K70))</f>
        <v>0</v>
      </c>
      <c r="Z70" s="42">
        <f t="shared" si="32"/>
        <v>0</v>
      </c>
      <c r="AA70" s="38">
        <f>IF($A70&gt;LastT,0,N70-V70-Q70/(1+Policy_Sched!$K70)+Z71/(1+Policy_Sched!$K70))</f>
        <v>0</v>
      </c>
    </row>
    <row r="71" spans="1:27" x14ac:dyDescent="0.2">
      <c r="A71" s="30">
        <f t="shared" si="33"/>
        <v>64</v>
      </c>
      <c r="B71" s="31">
        <f t="shared" si="34"/>
        <v>0</v>
      </c>
      <c r="C71" s="31">
        <f>IF($A71&gt;LastT,0,IF(AND($D$3&lt;&gt;0,$A71&gt;=T0,Policy_Sched!$B71&lt;LastAge),1+$D$3*$E$3,1))</f>
        <v>0</v>
      </c>
      <c r="D71" s="36">
        <f>IF($A71&gt;LastT,0,IF($C$3="up",MIN(Policy_Sched!$E71*(1+IF($A71&gt;=T0,$E$3,0)),$F$3),IF($C$3="down",MAX(Policy_Sched!$E71*(1-IF($A71&gt;=T0,$E$3,0)),Policy_Sched!$E71-$F$3),Policy_Sched!$E71)))</f>
        <v>0</v>
      </c>
      <c r="E71" s="37">
        <f t="shared" si="35"/>
        <v>0</v>
      </c>
      <c r="F71" s="37">
        <f t="shared" ref="F71:F102" si="36">IF($A71&gt;LastT,0,IF($A71=PolicyTerm,E71,0))</f>
        <v>0</v>
      </c>
      <c r="G71" s="37">
        <f t="shared" ref="G71:G102" si="37">IF($A71&gt;LastT,0,E71-F71)</f>
        <v>0</v>
      </c>
      <c r="H71" s="37">
        <f t="shared" ref="H71:H102" si="38">IF($A71=0,PolicyCount,0)</f>
        <v>0</v>
      </c>
      <c r="I71" s="37">
        <f t="shared" ref="I71:I102" si="39">IF($A71&gt;LastT,0,IF(AND($C$3="mass",$A71=T0),(G71+H71)*$E$3,0))</f>
        <v>0</v>
      </c>
      <c r="J71" s="37">
        <f t="shared" ref="J71:J102" si="40">IF($A71&gt;LastT,0,G71+H71-I71)</f>
        <v>0</v>
      </c>
      <c r="K71" s="37">
        <f>IF($A71&gt;LastT,0,J71*Policy_Sched!$C71*Policy_Sched!$D71*C71)</f>
        <v>0</v>
      </c>
      <c r="L71" s="41">
        <f t="shared" ref="L71:L102" si="41">J71*D71</f>
        <v>0</v>
      </c>
      <c r="M71" s="38">
        <f t="shared" ref="M71:M102" si="42">IF($A71&gt;LastT,0,(SizeAnnPrem*ExpsMaintAnnPrem+(SumAssured*ExpsMaintSA+ExpsMaintPol)*B71)*(1+IF($B$3="exps",$E$3,0)))</f>
        <v>0</v>
      </c>
      <c r="N71" s="38">
        <f t="shared" ref="N71:N102" si="43">SizePremium*J71</f>
        <v>0</v>
      </c>
      <c r="O71" s="38">
        <f t="shared" ref="O71:O102" si="44">SumAssured*K71</f>
        <v>0</v>
      </c>
      <c r="P71" s="38">
        <f>Policy_Sched!$I71*(L71+I71)</f>
        <v>0</v>
      </c>
      <c r="Q71" s="42">
        <f t="shared" ref="Q71:Q102" si="45">O71+P71</f>
        <v>0</v>
      </c>
      <c r="R71" s="38">
        <f t="shared" ref="R71:R102" si="46">IF($A71=0,SizeExpsAcq0*H71,0)</f>
        <v>0</v>
      </c>
      <c r="S71" s="38">
        <f t="shared" ref="S71:S102" si="47">IF($A71=0,SizeExpsCommInit0*J71,0)</f>
        <v>0</v>
      </c>
      <c r="T71" s="38">
        <f>Policy_Sched!$J71*J71</f>
        <v>0</v>
      </c>
      <c r="U71" s="42">
        <f t="shared" ref="U71:U102" si="48">M71*J71</f>
        <v>0</v>
      </c>
      <c r="V71" s="42">
        <f t="shared" ref="V71:V102" si="49">S71+T71+R71+U71</f>
        <v>0</v>
      </c>
      <c r="W71" s="38">
        <f>IF($A71&gt;LastT,0,N71+W72/(1+Policy_Sched!$K71))</f>
        <v>0</v>
      </c>
      <c r="X71" s="38">
        <f>IF($A71&gt;LastT,0,(-Q71+X72)/(1+Policy_Sched!$K71))</f>
        <v>0</v>
      </c>
      <c r="Y71" s="38">
        <f>IF($A71&gt;LastT,0,-V71+Y72/(1+Policy_Sched!$K71))</f>
        <v>0</v>
      </c>
      <c r="Z71" s="42">
        <f t="shared" ref="Z71:Z102" si="50">W71+Y71+X71</f>
        <v>0</v>
      </c>
      <c r="AA71" s="38">
        <f>IF($A71&gt;LastT,0,N71-V71-Q71/(1+Policy_Sched!$K71)+Z72/(1+Policy_Sched!$K71))</f>
        <v>0</v>
      </c>
    </row>
    <row r="72" spans="1:27" x14ac:dyDescent="0.2">
      <c r="A72" s="30">
        <f t="shared" ref="A72:A103" si="51">A71+1</f>
        <v>65</v>
      </c>
      <c r="B72" s="31">
        <f t="shared" ref="B72:B103" si="52">IF($A72&gt;LastT,0,IF($B$3="exps",B71*(1+InflRate+IF($A72&gt;=T0,$G$3,0)),B71/(1+InflRate)))</f>
        <v>0</v>
      </c>
      <c r="C72" s="31">
        <f>IF($A72&gt;LastT,0,IF(AND($D$3&lt;&gt;0,$A72&gt;=T0,Policy_Sched!$B72&lt;LastAge),1+$D$3*$E$3,1))</f>
        <v>0</v>
      </c>
      <c r="D72" s="36">
        <f>IF($A72&gt;LastT,0,IF($C$3="up",MIN(Policy_Sched!$E72*(1+IF($A72&gt;=T0,$E$3,0)),$F$3),IF($C$3="down",MAX(Policy_Sched!$E72*(1-IF($A72&gt;=T0,$E$3,0)),Policy_Sched!$E72-$F$3),Policy_Sched!$E72)))</f>
        <v>0</v>
      </c>
      <c r="E72" s="37">
        <f t="shared" ref="E72:E103" si="53">IF($A72&gt;LastT,0,J71-K71-L71)</f>
        <v>0</v>
      </c>
      <c r="F72" s="37">
        <f t="shared" si="36"/>
        <v>0</v>
      </c>
      <c r="G72" s="37">
        <f t="shared" si="37"/>
        <v>0</v>
      </c>
      <c r="H72" s="37">
        <f t="shared" si="38"/>
        <v>0</v>
      </c>
      <c r="I72" s="37">
        <f t="shared" si="39"/>
        <v>0</v>
      </c>
      <c r="J72" s="37">
        <f t="shared" si="40"/>
        <v>0</v>
      </c>
      <c r="K72" s="37">
        <f>IF($A72&gt;LastT,0,J72*Policy_Sched!$C72*Policy_Sched!$D72*C72)</f>
        <v>0</v>
      </c>
      <c r="L72" s="41">
        <f t="shared" si="41"/>
        <v>0</v>
      </c>
      <c r="M72" s="38">
        <f t="shared" si="42"/>
        <v>0</v>
      </c>
      <c r="N72" s="38">
        <f t="shared" si="43"/>
        <v>0</v>
      </c>
      <c r="O72" s="38">
        <f t="shared" si="44"/>
        <v>0</v>
      </c>
      <c r="P72" s="38">
        <f>Policy_Sched!$I72*(L72+I72)</f>
        <v>0</v>
      </c>
      <c r="Q72" s="42">
        <f t="shared" si="45"/>
        <v>0</v>
      </c>
      <c r="R72" s="38">
        <f t="shared" si="46"/>
        <v>0</v>
      </c>
      <c r="S72" s="38">
        <f t="shared" si="47"/>
        <v>0</v>
      </c>
      <c r="T72" s="38">
        <f>Policy_Sched!$J72*J72</f>
        <v>0</v>
      </c>
      <c r="U72" s="42">
        <f t="shared" si="48"/>
        <v>0</v>
      </c>
      <c r="V72" s="42">
        <f t="shared" si="49"/>
        <v>0</v>
      </c>
      <c r="W72" s="38">
        <f>IF($A72&gt;LastT,0,N72+W73/(1+Policy_Sched!$K72))</f>
        <v>0</v>
      </c>
      <c r="X72" s="38">
        <f>IF($A72&gt;LastT,0,(-Q72+X73)/(1+Policy_Sched!$K72))</f>
        <v>0</v>
      </c>
      <c r="Y72" s="38">
        <f>IF($A72&gt;LastT,0,-V72+Y73/(1+Policy_Sched!$K72))</f>
        <v>0</v>
      </c>
      <c r="Z72" s="42">
        <f t="shared" si="50"/>
        <v>0</v>
      </c>
      <c r="AA72" s="38">
        <f>IF($A72&gt;LastT,0,N72-V72-Q72/(1+Policy_Sched!$K72)+Z73/(1+Policy_Sched!$K72))</f>
        <v>0</v>
      </c>
    </row>
    <row r="73" spans="1:27" x14ac:dyDescent="0.2">
      <c r="A73" s="30">
        <f t="shared" si="51"/>
        <v>66</v>
      </c>
      <c r="B73" s="31">
        <f t="shared" si="52"/>
        <v>0</v>
      </c>
      <c r="C73" s="31">
        <f>IF($A73&gt;LastT,0,IF(AND($D$3&lt;&gt;0,$A73&gt;=T0,Policy_Sched!$B73&lt;LastAge),1+$D$3*$E$3,1))</f>
        <v>0</v>
      </c>
      <c r="D73" s="36">
        <f>IF($A73&gt;LastT,0,IF($C$3="up",MIN(Policy_Sched!$E73*(1+IF($A73&gt;=T0,$E$3,0)),$F$3),IF($C$3="down",MAX(Policy_Sched!$E73*(1-IF($A73&gt;=T0,$E$3,0)),Policy_Sched!$E73-$F$3),Policy_Sched!$E73)))</f>
        <v>0</v>
      </c>
      <c r="E73" s="37">
        <f t="shared" si="53"/>
        <v>0</v>
      </c>
      <c r="F73" s="37">
        <f t="shared" si="36"/>
        <v>0</v>
      </c>
      <c r="G73" s="37">
        <f t="shared" si="37"/>
        <v>0</v>
      </c>
      <c r="H73" s="37">
        <f t="shared" si="38"/>
        <v>0</v>
      </c>
      <c r="I73" s="37">
        <f t="shared" si="39"/>
        <v>0</v>
      </c>
      <c r="J73" s="37">
        <f t="shared" si="40"/>
        <v>0</v>
      </c>
      <c r="K73" s="37">
        <f>IF($A73&gt;LastT,0,J73*Policy_Sched!$C73*Policy_Sched!$D73*C73)</f>
        <v>0</v>
      </c>
      <c r="L73" s="41">
        <f t="shared" si="41"/>
        <v>0</v>
      </c>
      <c r="M73" s="38">
        <f t="shared" si="42"/>
        <v>0</v>
      </c>
      <c r="N73" s="38">
        <f t="shared" si="43"/>
        <v>0</v>
      </c>
      <c r="O73" s="38">
        <f t="shared" si="44"/>
        <v>0</v>
      </c>
      <c r="P73" s="38">
        <f>Policy_Sched!$I73*(L73+I73)</f>
        <v>0</v>
      </c>
      <c r="Q73" s="42">
        <f t="shared" si="45"/>
        <v>0</v>
      </c>
      <c r="R73" s="38">
        <f t="shared" si="46"/>
        <v>0</v>
      </c>
      <c r="S73" s="38">
        <f t="shared" si="47"/>
        <v>0</v>
      </c>
      <c r="T73" s="38">
        <f>Policy_Sched!$J73*J73</f>
        <v>0</v>
      </c>
      <c r="U73" s="42">
        <f t="shared" si="48"/>
        <v>0</v>
      </c>
      <c r="V73" s="42">
        <f t="shared" si="49"/>
        <v>0</v>
      </c>
      <c r="W73" s="38">
        <f>IF($A73&gt;LastT,0,N73+W74/(1+Policy_Sched!$K73))</f>
        <v>0</v>
      </c>
      <c r="X73" s="38">
        <f>IF($A73&gt;LastT,0,(-Q73+X74)/(1+Policy_Sched!$K73))</f>
        <v>0</v>
      </c>
      <c r="Y73" s="38">
        <f>IF($A73&gt;LastT,0,-V73+Y74/(1+Policy_Sched!$K73))</f>
        <v>0</v>
      </c>
      <c r="Z73" s="42">
        <f t="shared" si="50"/>
        <v>0</v>
      </c>
      <c r="AA73" s="38">
        <f>IF($A73&gt;LastT,0,N73-V73-Q73/(1+Policy_Sched!$K73)+Z74/(1+Policy_Sched!$K73))</f>
        <v>0</v>
      </c>
    </row>
    <row r="74" spans="1:27" x14ac:dyDescent="0.2">
      <c r="A74" s="30">
        <f t="shared" si="51"/>
        <v>67</v>
      </c>
      <c r="B74" s="31">
        <f t="shared" si="52"/>
        <v>0</v>
      </c>
      <c r="C74" s="31">
        <f>IF($A74&gt;LastT,0,IF(AND($D$3&lt;&gt;0,$A74&gt;=T0,Policy_Sched!$B74&lt;LastAge),1+$D$3*$E$3,1))</f>
        <v>0</v>
      </c>
      <c r="D74" s="36">
        <f>IF($A74&gt;LastT,0,IF($C$3="up",MIN(Policy_Sched!$E74*(1+IF($A74&gt;=T0,$E$3,0)),$F$3),IF($C$3="down",MAX(Policy_Sched!$E74*(1-IF($A74&gt;=T0,$E$3,0)),Policy_Sched!$E74-$F$3),Policy_Sched!$E74)))</f>
        <v>0</v>
      </c>
      <c r="E74" s="37">
        <f t="shared" si="53"/>
        <v>0</v>
      </c>
      <c r="F74" s="37">
        <f t="shared" si="36"/>
        <v>0</v>
      </c>
      <c r="G74" s="37">
        <f t="shared" si="37"/>
        <v>0</v>
      </c>
      <c r="H74" s="37">
        <f t="shared" si="38"/>
        <v>0</v>
      </c>
      <c r="I74" s="37">
        <f t="shared" si="39"/>
        <v>0</v>
      </c>
      <c r="J74" s="37">
        <f t="shared" si="40"/>
        <v>0</v>
      </c>
      <c r="K74" s="37">
        <f>IF($A74&gt;LastT,0,J74*Policy_Sched!$C74*Policy_Sched!$D74*C74)</f>
        <v>0</v>
      </c>
      <c r="L74" s="41">
        <f t="shared" si="41"/>
        <v>0</v>
      </c>
      <c r="M74" s="38">
        <f t="shared" si="42"/>
        <v>0</v>
      </c>
      <c r="N74" s="38">
        <f t="shared" si="43"/>
        <v>0</v>
      </c>
      <c r="O74" s="38">
        <f t="shared" si="44"/>
        <v>0</v>
      </c>
      <c r="P74" s="38">
        <f>Policy_Sched!$I74*(L74+I74)</f>
        <v>0</v>
      </c>
      <c r="Q74" s="42">
        <f t="shared" si="45"/>
        <v>0</v>
      </c>
      <c r="R74" s="38">
        <f t="shared" si="46"/>
        <v>0</v>
      </c>
      <c r="S74" s="38">
        <f t="shared" si="47"/>
        <v>0</v>
      </c>
      <c r="T74" s="38">
        <f>Policy_Sched!$J74*J74</f>
        <v>0</v>
      </c>
      <c r="U74" s="42">
        <f t="shared" si="48"/>
        <v>0</v>
      </c>
      <c r="V74" s="42">
        <f t="shared" si="49"/>
        <v>0</v>
      </c>
      <c r="W74" s="38">
        <f>IF($A74&gt;LastT,0,N74+W75/(1+Policy_Sched!$K74))</f>
        <v>0</v>
      </c>
      <c r="X74" s="38">
        <f>IF($A74&gt;LastT,0,(-Q74+X75)/(1+Policy_Sched!$K74))</f>
        <v>0</v>
      </c>
      <c r="Y74" s="38">
        <f>IF($A74&gt;LastT,0,-V74+Y75/(1+Policy_Sched!$K74))</f>
        <v>0</v>
      </c>
      <c r="Z74" s="42">
        <f t="shared" si="50"/>
        <v>0</v>
      </c>
      <c r="AA74" s="38">
        <f>IF($A74&gt;LastT,0,N74-V74-Q74/(1+Policy_Sched!$K74)+Z75/(1+Policy_Sched!$K74))</f>
        <v>0</v>
      </c>
    </row>
    <row r="75" spans="1:27" x14ac:dyDescent="0.2">
      <c r="A75" s="30">
        <f t="shared" si="51"/>
        <v>68</v>
      </c>
      <c r="B75" s="31">
        <f t="shared" si="52"/>
        <v>0</v>
      </c>
      <c r="C75" s="31">
        <f>IF($A75&gt;LastT,0,IF(AND($D$3&lt;&gt;0,$A75&gt;=T0,Policy_Sched!$B75&lt;LastAge),1+$D$3*$E$3,1))</f>
        <v>0</v>
      </c>
      <c r="D75" s="36">
        <f>IF($A75&gt;LastT,0,IF($C$3="up",MIN(Policy_Sched!$E75*(1+IF($A75&gt;=T0,$E$3,0)),$F$3),IF($C$3="down",MAX(Policy_Sched!$E75*(1-IF($A75&gt;=T0,$E$3,0)),Policy_Sched!$E75-$F$3),Policy_Sched!$E75)))</f>
        <v>0</v>
      </c>
      <c r="E75" s="37">
        <f t="shared" si="53"/>
        <v>0</v>
      </c>
      <c r="F75" s="37">
        <f t="shared" si="36"/>
        <v>0</v>
      </c>
      <c r="G75" s="37">
        <f t="shared" si="37"/>
        <v>0</v>
      </c>
      <c r="H75" s="37">
        <f t="shared" si="38"/>
        <v>0</v>
      </c>
      <c r="I75" s="37">
        <f t="shared" si="39"/>
        <v>0</v>
      </c>
      <c r="J75" s="37">
        <f t="shared" si="40"/>
        <v>0</v>
      </c>
      <c r="K75" s="37">
        <f>IF($A75&gt;LastT,0,J75*Policy_Sched!$C75*Policy_Sched!$D75*C75)</f>
        <v>0</v>
      </c>
      <c r="L75" s="41">
        <f t="shared" si="41"/>
        <v>0</v>
      </c>
      <c r="M75" s="38">
        <f t="shared" si="42"/>
        <v>0</v>
      </c>
      <c r="N75" s="38">
        <f t="shared" si="43"/>
        <v>0</v>
      </c>
      <c r="O75" s="38">
        <f t="shared" si="44"/>
        <v>0</v>
      </c>
      <c r="P75" s="38">
        <f>Policy_Sched!$I75*(L75+I75)</f>
        <v>0</v>
      </c>
      <c r="Q75" s="42">
        <f t="shared" si="45"/>
        <v>0</v>
      </c>
      <c r="R75" s="38">
        <f t="shared" si="46"/>
        <v>0</v>
      </c>
      <c r="S75" s="38">
        <f t="shared" si="47"/>
        <v>0</v>
      </c>
      <c r="T75" s="38">
        <f>Policy_Sched!$J75*J75</f>
        <v>0</v>
      </c>
      <c r="U75" s="42">
        <f t="shared" si="48"/>
        <v>0</v>
      </c>
      <c r="V75" s="42">
        <f t="shared" si="49"/>
        <v>0</v>
      </c>
      <c r="W75" s="38">
        <f>IF($A75&gt;LastT,0,N75+W76/(1+Policy_Sched!$K75))</f>
        <v>0</v>
      </c>
      <c r="X75" s="38">
        <f>IF($A75&gt;LastT,0,(-Q75+X76)/(1+Policy_Sched!$K75))</f>
        <v>0</v>
      </c>
      <c r="Y75" s="38">
        <f>IF($A75&gt;LastT,0,-V75+Y76/(1+Policy_Sched!$K75))</f>
        <v>0</v>
      </c>
      <c r="Z75" s="42">
        <f t="shared" si="50"/>
        <v>0</v>
      </c>
      <c r="AA75" s="38">
        <f>IF($A75&gt;LastT,0,N75-V75-Q75/(1+Policy_Sched!$K75)+Z76/(1+Policy_Sched!$K75))</f>
        <v>0</v>
      </c>
    </row>
    <row r="76" spans="1:27" x14ac:dyDescent="0.2">
      <c r="A76" s="30">
        <f t="shared" si="51"/>
        <v>69</v>
      </c>
      <c r="B76" s="31">
        <f t="shared" si="52"/>
        <v>0</v>
      </c>
      <c r="C76" s="31">
        <f>IF($A76&gt;LastT,0,IF(AND($D$3&lt;&gt;0,$A76&gt;=T0,Policy_Sched!$B76&lt;LastAge),1+$D$3*$E$3,1))</f>
        <v>0</v>
      </c>
      <c r="D76" s="36">
        <f>IF($A76&gt;LastT,0,IF($C$3="up",MIN(Policy_Sched!$E76*(1+IF($A76&gt;=T0,$E$3,0)),$F$3),IF($C$3="down",MAX(Policy_Sched!$E76*(1-IF($A76&gt;=T0,$E$3,0)),Policy_Sched!$E76-$F$3),Policy_Sched!$E76)))</f>
        <v>0</v>
      </c>
      <c r="E76" s="37">
        <f t="shared" si="53"/>
        <v>0</v>
      </c>
      <c r="F76" s="37">
        <f t="shared" si="36"/>
        <v>0</v>
      </c>
      <c r="G76" s="37">
        <f t="shared" si="37"/>
        <v>0</v>
      </c>
      <c r="H76" s="37">
        <f t="shared" si="38"/>
        <v>0</v>
      </c>
      <c r="I76" s="37">
        <f t="shared" si="39"/>
        <v>0</v>
      </c>
      <c r="J76" s="37">
        <f t="shared" si="40"/>
        <v>0</v>
      </c>
      <c r="K76" s="37">
        <f>IF($A76&gt;LastT,0,J76*Policy_Sched!$C76*Policy_Sched!$D76*C76)</f>
        <v>0</v>
      </c>
      <c r="L76" s="41">
        <f t="shared" si="41"/>
        <v>0</v>
      </c>
      <c r="M76" s="38">
        <f t="shared" si="42"/>
        <v>0</v>
      </c>
      <c r="N76" s="38">
        <f t="shared" si="43"/>
        <v>0</v>
      </c>
      <c r="O76" s="38">
        <f t="shared" si="44"/>
        <v>0</v>
      </c>
      <c r="P76" s="38">
        <f>Policy_Sched!$I76*(L76+I76)</f>
        <v>0</v>
      </c>
      <c r="Q76" s="42">
        <f t="shared" si="45"/>
        <v>0</v>
      </c>
      <c r="R76" s="38">
        <f t="shared" si="46"/>
        <v>0</v>
      </c>
      <c r="S76" s="38">
        <f t="shared" si="47"/>
        <v>0</v>
      </c>
      <c r="T76" s="38">
        <f>Policy_Sched!$J76*J76</f>
        <v>0</v>
      </c>
      <c r="U76" s="42">
        <f t="shared" si="48"/>
        <v>0</v>
      </c>
      <c r="V76" s="42">
        <f t="shared" si="49"/>
        <v>0</v>
      </c>
      <c r="W76" s="38">
        <f>IF($A76&gt;LastT,0,N76+W77/(1+Policy_Sched!$K76))</f>
        <v>0</v>
      </c>
      <c r="X76" s="38">
        <f>IF($A76&gt;LastT,0,(-Q76+X77)/(1+Policy_Sched!$K76))</f>
        <v>0</v>
      </c>
      <c r="Y76" s="38">
        <f>IF($A76&gt;LastT,0,-V76+Y77/(1+Policy_Sched!$K76))</f>
        <v>0</v>
      </c>
      <c r="Z76" s="42">
        <f t="shared" si="50"/>
        <v>0</v>
      </c>
      <c r="AA76" s="38">
        <f>IF($A76&gt;LastT,0,N76-V76-Q76/(1+Policy_Sched!$K76)+Z77/(1+Policy_Sched!$K76))</f>
        <v>0</v>
      </c>
    </row>
    <row r="77" spans="1:27" x14ac:dyDescent="0.2">
      <c r="A77" s="30">
        <f t="shared" si="51"/>
        <v>70</v>
      </c>
      <c r="B77" s="31">
        <f t="shared" si="52"/>
        <v>0</v>
      </c>
      <c r="C77" s="31">
        <f>IF($A77&gt;LastT,0,IF(AND($D$3&lt;&gt;0,$A77&gt;=T0,Policy_Sched!$B77&lt;LastAge),1+$D$3*$E$3,1))</f>
        <v>0</v>
      </c>
      <c r="D77" s="36">
        <f>IF($A77&gt;LastT,0,IF($C$3="up",MIN(Policy_Sched!$E77*(1+IF($A77&gt;=T0,$E$3,0)),$F$3),IF($C$3="down",MAX(Policy_Sched!$E77*(1-IF($A77&gt;=T0,$E$3,0)),Policy_Sched!$E77-$F$3),Policy_Sched!$E77)))</f>
        <v>0</v>
      </c>
      <c r="E77" s="37">
        <f t="shared" si="53"/>
        <v>0</v>
      </c>
      <c r="F77" s="37">
        <f t="shared" si="36"/>
        <v>0</v>
      </c>
      <c r="G77" s="37">
        <f t="shared" si="37"/>
        <v>0</v>
      </c>
      <c r="H77" s="37">
        <f t="shared" si="38"/>
        <v>0</v>
      </c>
      <c r="I77" s="37">
        <f t="shared" si="39"/>
        <v>0</v>
      </c>
      <c r="J77" s="37">
        <f t="shared" si="40"/>
        <v>0</v>
      </c>
      <c r="K77" s="37">
        <f>IF($A77&gt;LastT,0,J77*Policy_Sched!$C77*Policy_Sched!$D77*C77)</f>
        <v>0</v>
      </c>
      <c r="L77" s="41">
        <f t="shared" si="41"/>
        <v>0</v>
      </c>
      <c r="M77" s="38">
        <f t="shared" si="42"/>
        <v>0</v>
      </c>
      <c r="N77" s="38">
        <f t="shared" si="43"/>
        <v>0</v>
      </c>
      <c r="O77" s="38">
        <f t="shared" si="44"/>
        <v>0</v>
      </c>
      <c r="P77" s="38">
        <f>Policy_Sched!$I77*(L77+I77)</f>
        <v>0</v>
      </c>
      <c r="Q77" s="42">
        <f t="shared" si="45"/>
        <v>0</v>
      </c>
      <c r="R77" s="38">
        <f t="shared" si="46"/>
        <v>0</v>
      </c>
      <c r="S77" s="38">
        <f t="shared" si="47"/>
        <v>0</v>
      </c>
      <c r="T77" s="38">
        <f>Policy_Sched!$J77*J77</f>
        <v>0</v>
      </c>
      <c r="U77" s="42">
        <f t="shared" si="48"/>
        <v>0</v>
      </c>
      <c r="V77" s="42">
        <f t="shared" si="49"/>
        <v>0</v>
      </c>
      <c r="W77" s="38">
        <f>IF($A77&gt;LastT,0,N77+W78/(1+Policy_Sched!$K77))</f>
        <v>0</v>
      </c>
      <c r="X77" s="38">
        <f>IF($A77&gt;LastT,0,(-Q77+X78)/(1+Policy_Sched!$K77))</f>
        <v>0</v>
      </c>
      <c r="Y77" s="38">
        <f>IF($A77&gt;LastT,0,-V77+Y78/(1+Policy_Sched!$K77))</f>
        <v>0</v>
      </c>
      <c r="Z77" s="42">
        <f t="shared" si="50"/>
        <v>0</v>
      </c>
      <c r="AA77" s="38">
        <f>IF($A77&gt;LastT,0,N77-V77-Q77/(1+Policy_Sched!$K77)+Z78/(1+Policy_Sched!$K77))</f>
        <v>0</v>
      </c>
    </row>
    <row r="78" spans="1:27" x14ac:dyDescent="0.2">
      <c r="A78" s="30">
        <f t="shared" si="51"/>
        <v>71</v>
      </c>
      <c r="B78" s="31">
        <f t="shared" si="52"/>
        <v>0</v>
      </c>
      <c r="C78" s="31">
        <f>IF($A78&gt;LastT,0,IF(AND($D$3&lt;&gt;0,$A78&gt;=T0,Policy_Sched!$B78&lt;LastAge),1+$D$3*$E$3,1))</f>
        <v>0</v>
      </c>
      <c r="D78" s="36">
        <f>IF($A78&gt;LastT,0,IF($C$3="up",MIN(Policy_Sched!$E78*(1+IF($A78&gt;=T0,$E$3,0)),$F$3),IF($C$3="down",MAX(Policy_Sched!$E78*(1-IF($A78&gt;=T0,$E$3,0)),Policy_Sched!$E78-$F$3),Policy_Sched!$E78)))</f>
        <v>0</v>
      </c>
      <c r="E78" s="37">
        <f t="shared" si="53"/>
        <v>0</v>
      </c>
      <c r="F78" s="37">
        <f t="shared" si="36"/>
        <v>0</v>
      </c>
      <c r="G78" s="37">
        <f t="shared" si="37"/>
        <v>0</v>
      </c>
      <c r="H78" s="37">
        <f t="shared" si="38"/>
        <v>0</v>
      </c>
      <c r="I78" s="37">
        <f t="shared" si="39"/>
        <v>0</v>
      </c>
      <c r="J78" s="37">
        <f t="shared" si="40"/>
        <v>0</v>
      </c>
      <c r="K78" s="37">
        <f>IF($A78&gt;LastT,0,J78*Policy_Sched!$C78*Policy_Sched!$D78*C78)</f>
        <v>0</v>
      </c>
      <c r="L78" s="41">
        <f t="shared" si="41"/>
        <v>0</v>
      </c>
      <c r="M78" s="38">
        <f t="shared" si="42"/>
        <v>0</v>
      </c>
      <c r="N78" s="38">
        <f t="shared" si="43"/>
        <v>0</v>
      </c>
      <c r="O78" s="38">
        <f t="shared" si="44"/>
        <v>0</v>
      </c>
      <c r="P78" s="38">
        <f>Policy_Sched!$I78*(L78+I78)</f>
        <v>0</v>
      </c>
      <c r="Q78" s="42">
        <f t="shared" si="45"/>
        <v>0</v>
      </c>
      <c r="R78" s="38">
        <f t="shared" si="46"/>
        <v>0</v>
      </c>
      <c r="S78" s="38">
        <f t="shared" si="47"/>
        <v>0</v>
      </c>
      <c r="T78" s="38">
        <f>Policy_Sched!$J78*J78</f>
        <v>0</v>
      </c>
      <c r="U78" s="42">
        <f t="shared" si="48"/>
        <v>0</v>
      </c>
      <c r="V78" s="42">
        <f t="shared" si="49"/>
        <v>0</v>
      </c>
      <c r="W78" s="38">
        <f>IF($A78&gt;LastT,0,N78+W79/(1+Policy_Sched!$K78))</f>
        <v>0</v>
      </c>
      <c r="X78" s="38">
        <f>IF($A78&gt;LastT,0,(-Q78+X79)/(1+Policy_Sched!$K78))</f>
        <v>0</v>
      </c>
      <c r="Y78" s="38">
        <f>IF($A78&gt;LastT,0,-V78+Y79/(1+Policy_Sched!$K78))</f>
        <v>0</v>
      </c>
      <c r="Z78" s="42">
        <f t="shared" si="50"/>
        <v>0</v>
      </c>
      <c r="AA78" s="38">
        <f>IF($A78&gt;LastT,0,N78-V78-Q78/(1+Policy_Sched!$K78)+Z79/(1+Policy_Sched!$K78))</f>
        <v>0</v>
      </c>
    </row>
    <row r="79" spans="1:27" x14ac:dyDescent="0.2">
      <c r="A79" s="30">
        <f t="shared" si="51"/>
        <v>72</v>
      </c>
      <c r="B79" s="31">
        <f t="shared" si="52"/>
        <v>0</v>
      </c>
      <c r="C79" s="31">
        <f>IF($A79&gt;LastT,0,IF(AND($D$3&lt;&gt;0,$A79&gt;=T0,Policy_Sched!$B79&lt;LastAge),1+$D$3*$E$3,1))</f>
        <v>0</v>
      </c>
      <c r="D79" s="36">
        <f>IF($A79&gt;LastT,0,IF($C$3="up",MIN(Policy_Sched!$E79*(1+IF($A79&gt;=T0,$E$3,0)),$F$3),IF($C$3="down",MAX(Policy_Sched!$E79*(1-IF($A79&gt;=T0,$E$3,0)),Policy_Sched!$E79-$F$3),Policy_Sched!$E79)))</f>
        <v>0</v>
      </c>
      <c r="E79" s="37">
        <f t="shared" si="53"/>
        <v>0</v>
      </c>
      <c r="F79" s="37">
        <f t="shared" si="36"/>
        <v>0</v>
      </c>
      <c r="G79" s="37">
        <f t="shared" si="37"/>
        <v>0</v>
      </c>
      <c r="H79" s="37">
        <f t="shared" si="38"/>
        <v>0</v>
      </c>
      <c r="I79" s="37">
        <f t="shared" si="39"/>
        <v>0</v>
      </c>
      <c r="J79" s="37">
        <f t="shared" si="40"/>
        <v>0</v>
      </c>
      <c r="K79" s="37">
        <f>IF($A79&gt;LastT,0,J79*Policy_Sched!$C79*Policy_Sched!$D79*C79)</f>
        <v>0</v>
      </c>
      <c r="L79" s="41">
        <f t="shared" si="41"/>
        <v>0</v>
      </c>
      <c r="M79" s="38">
        <f t="shared" si="42"/>
        <v>0</v>
      </c>
      <c r="N79" s="38">
        <f t="shared" si="43"/>
        <v>0</v>
      </c>
      <c r="O79" s="38">
        <f t="shared" si="44"/>
        <v>0</v>
      </c>
      <c r="P79" s="38">
        <f>Policy_Sched!$I79*(L79+I79)</f>
        <v>0</v>
      </c>
      <c r="Q79" s="42">
        <f t="shared" si="45"/>
        <v>0</v>
      </c>
      <c r="R79" s="38">
        <f t="shared" si="46"/>
        <v>0</v>
      </c>
      <c r="S79" s="38">
        <f t="shared" si="47"/>
        <v>0</v>
      </c>
      <c r="T79" s="38">
        <f>Policy_Sched!$J79*J79</f>
        <v>0</v>
      </c>
      <c r="U79" s="42">
        <f t="shared" si="48"/>
        <v>0</v>
      </c>
      <c r="V79" s="42">
        <f t="shared" si="49"/>
        <v>0</v>
      </c>
      <c r="W79" s="38">
        <f>IF($A79&gt;LastT,0,N79+W80/(1+Policy_Sched!$K79))</f>
        <v>0</v>
      </c>
      <c r="X79" s="38">
        <f>IF($A79&gt;LastT,0,(-Q79+X80)/(1+Policy_Sched!$K79))</f>
        <v>0</v>
      </c>
      <c r="Y79" s="38">
        <f>IF($A79&gt;LastT,0,-V79+Y80/(1+Policy_Sched!$K79))</f>
        <v>0</v>
      </c>
      <c r="Z79" s="42">
        <f t="shared" si="50"/>
        <v>0</v>
      </c>
      <c r="AA79" s="38">
        <f>IF($A79&gt;LastT,0,N79-V79-Q79/(1+Policy_Sched!$K79)+Z80/(1+Policy_Sched!$K79))</f>
        <v>0</v>
      </c>
    </row>
    <row r="80" spans="1:27" x14ac:dyDescent="0.2">
      <c r="A80" s="30">
        <f t="shared" si="51"/>
        <v>73</v>
      </c>
      <c r="B80" s="31">
        <f t="shared" si="52"/>
        <v>0</v>
      </c>
      <c r="C80" s="31">
        <f>IF($A80&gt;LastT,0,IF(AND($D$3&lt;&gt;0,$A80&gt;=T0,Policy_Sched!$B80&lt;LastAge),1+$D$3*$E$3,1))</f>
        <v>0</v>
      </c>
      <c r="D80" s="36">
        <f>IF($A80&gt;LastT,0,IF($C$3="up",MIN(Policy_Sched!$E80*(1+IF($A80&gt;=T0,$E$3,0)),$F$3),IF($C$3="down",MAX(Policy_Sched!$E80*(1-IF($A80&gt;=T0,$E$3,0)),Policy_Sched!$E80-$F$3),Policy_Sched!$E80)))</f>
        <v>0</v>
      </c>
      <c r="E80" s="37">
        <f t="shared" si="53"/>
        <v>0</v>
      </c>
      <c r="F80" s="37">
        <f t="shared" si="36"/>
        <v>0</v>
      </c>
      <c r="G80" s="37">
        <f t="shared" si="37"/>
        <v>0</v>
      </c>
      <c r="H80" s="37">
        <f t="shared" si="38"/>
        <v>0</v>
      </c>
      <c r="I80" s="37">
        <f t="shared" si="39"/>
        <v>0</v>
      </c>
      <c r="J80" s="37">
        <f t="shared" si="40"/>
        <v>0</v>
      </c>
      <c r="K80" s="37">
        <f>IF($A80&gt;LastT,0,J80*Policy_Sched!$C80*Policy_Sched!$D80*C80)</f>
        <v>0</v>
      </c>
      <c r="L80" s="41">
        <f t="shared" si="41"/>
        <v>0</v>
      </c>
      <c r="M80" s="38">
        <f t="shared" si="42"/>
        <v>0</v>
      </c>
      <c r="N80" s="38">
        <f t="shared" si="43"/>
        <v>0</v>
      </c>
      <c r="O80" s="38">
        <f t="shared" si="44"/>
        <v>0</v>
      </c>
      <c r="P80" s="38">
        <f>Policy_Sched!$I80*(L80+I80)</f>
        <v>0</v>
      </c>
      <c r="Q80" s="42">
        <f t="shared" si="45"/>
        <v>0</v>
      </c>
      <c r="R80" s="38">
        <f t="shared" si="46"/>
        <v>0</v>
      </c>
      <c r="S80" s="38">
        <f t="shared" si="47"/>
        <v>0</v>
      </c>
      <c r="T80" s="38">
        <f>Policy_Sched!$J80*J80</f>
        <v>0</v>
      </c>
      <c r="U80" s="42">
        <f t="shared" si="48"/>
        <v>0</v>
      </c>
      <c r="V80" s="42">
        <f t="shared" si="49"/>
        <v>0</v>
      </c>
      <c r="W80" s="38">
        <f>IF($A80&gt;LastT,0,N80+W81/(1+Policy_Sched!$K80))</f>
        <v>0</v>
      </c>
      <c r="X80" s="38">
        <f>IF($A80&gt;LastT,0,(-Q80+X81)/(1+Policy_Sched!$K80))</f>
        <v>0</v>
      </c>
      <c r="Y80" s="38">
        <f>IF($A80&gt;LastT,0,-V80+Y81/(1+Policy_Sched!$K80))</f>
        <v>0</v>
      </c>
      <c r="Z80" s="42">
        <f t="shared" si="50"/>
        <v>0</v>
      </c>
      <c r="AA80" s="38">
        <f>IF($A80&gt;LastT,0,N80-V80-Q80/(1+Policy_Sched!$K80)+Z81/(1+Policy_Sched!$K80))</f>
        <v>0</v>
      </c>
    </row>
    <row r="81" spans="1:27" x14ac:dyDescent="0.2">
      <c r="A81" s="30">
        <f t="shared" si="51"/>
        <v>74</v>
      </c>
      <c r="B81" s="31">
        <f t="shared" si="52"/>
        <v>0</v>
      </c>
      <c r="C81" s="31">
        <f>IF($A81&gt;LastT,0,IF(AND($D$3&lt;&gt;0,$A81&gt;=T0,Policy_Sched!$B81&lt;LastAge),1+$D$3*$E$3,1))</f>
        <v>0</v>
      </c>
      <c r="D81" s="36">
        <f>IF($A81&gt;LastT,0,IF($C$3="up",MIN(Policy_Sched!$E81*(1+IF($A81&gt;=T0,$E$3,0)),$F$3),IF($C$3="down",MAX(Policy_Sched!$E81*(1-IF($A81&gt;=T0,$E$3,0)),Policy_Sched!$E81-$F$3),Policy_Sched!$E81)))</f>
        <v>0</v>
      </c>
      <c r="E81" s="37">
        <f t="shared" si="53"/>
        <v>0</v>
      </c>
      <c r="F81" s="37">
        <f t="shared" si="36"/>
        <v>0</v>
      </c>
      <c r="G81" s="37">
        <f t="shared" si="37"/>
        <v>0</v>
      </c>
      <c r="H81" s="37">
        <f t="shared" si="38"/>
        <v>0</v>
      </c>
      <c r="I81" s="37">
        <f t="shared" si="39"/>
        <v>0</v>
      </c>
      <c r="J81" s="37">
        <f t="shared" si="40"/>
        <v>0</v>
      </c>
      <c r="K81" s="37">
        <f>IF($A81&gt;LastT,0,J81*Policy_Sched!$C81*Policy_Sched!$D81*C81)</f>
        <v>0</v>
      </c>
      <c r="L81" s="41">
        <f t="shared" si="41"/>
        <v>0</v>
      </c>
      <c r="M81" s="38">
        <f t="shared" si="42"/>
        <v>0</v>
      </c>
      <c r="N81" s="38">
        <f t="shared" si="43"/>
        <v>0</v>
      </c>
      <c r="O81" s="38">
        <f t="shared" si="44"/>
        <v>0</v>
      </c>
      <c r="P81" s="38">
        <f>Policy_Sched!$I81*(L81+I81)</f>
        <v>0</v>
      </c>
      <c r="Q81" s="42">
        <f t="shared" si="45"/>
        <v>0</v>
      </c>
      <c r="R81" s="38">
        <f t="shared" si="46"/>
        <v>0</v>
      </c>
      <c r="S81" s="38">
        <f t="shared" si="47"/>
        <v>0</v>
      </c>
      <c r="T81" s="38">
        <f>Policy_Sched!$J81*J81</f>
        <v>0</v>
      </c>
      <c r="U81" s="42">
        <f t="shared" si="48"/>
        <v>0</v>
      </c>
      <c r="V81" s="42">
        <f t="shared" si="49"/>
        <v>0</v>
      </c>
      <c r="W81" s="38">
        <f>IF($A81&gt;LastT,0,N81+W82/(1+Policy_Sched!$K81))</f>
        <v>0</v>
      </c>
      <c r="X81" s="38">
        <f>IF($A81&gt;LastT,0,(-Q81+X82)/(1+Policy_Sched!$K81))</f>
        <v>0</v>
      </c>
      <c r="Y81" s="38">
        <f>IF($A81&gt;LastT,0,-V81+Y82/(1+Policy_Sched!$K81))</f>
        <v>0</v>
      </c>
      <c r="Z81" s="42">
        <f t="shared" si="50"/>
        <v>0</v>
      </c>
      <c r="AA81" s="38">
        <f>IF($A81&gt;LastT,0,N81-V81-Q81/(1+Policy_Sched!$K81)+Z82/(1+Policy_Sched!$K81))</f>
        <v>0</v>
      </c>
    </row>
    <row r="82" spans="1:27" x14ac:dyDescent="0.2">
      <c r="A82" s="30">
        <f t="shared" si="51"/>
        <v>75</v>
      </c>
      <c r="B82" s="31">
        <f t="shared" si="52"/>
        <v>0</v>
      </c>
      <c r="C82" s="31">
        <f>IF($A82&gt;LastT,0,IF(AND($D$3&lt;&gt;0,$A82&gt;=T0,Policy_Sched!$B82&lt;LastAge),1+$D$3*$E$3,1))</f>
        <v>0</v>
      </c>
      <c r="D82" s="36">
        <f>IF($A82&gt;LastT,0,IF($C$3="up",MIN(Policy_Sched!$E82*(1+IF($A82&gt;=T0,$E$3,0)),$F$3),IF($C$3="down",MAX(Policy_Sched!$E82*(1-IF($A82&gt;=T0,$E$3,0)),Policy_Sched!$E82-$F$3),Policy_Sched!$E82)))</f>
        <v>0</v>
      </c>
      <c r="E82" s="37">
        <f t="shared" si="53"/>
        <v>0</v>
      </c>
      <c r="F82" s="37">
        <f t="shared" si="36"/>
        <v>0</v>
      </c>
      <c r="G82" s="37">
        <f t="shared" si="37"/>
        <v>0</v>
      </c>
      <c r="H82" s="37">
        <f t="shared" si="38"/>
        <v>0</v>
      </c>
      <c r="I82" s="37">
        <f t="shared" si="39"/>
        <v>0</v>
      </c>
      <c r="J82" s="37">
        <f t="shared" si="40"/>
        <v>0</v>
      </c>
      <c r="K82" s="37">
        <f>IF($A82&gt;LastT,0,J82*Policy_Sched!$C82*Policy_Sched!$D82*C82)</f>
        <v>0</v>
      </c>
      <c r="L82" s="41">
        <f t="shared" si="41"/>
        <v>0</v>
      </c>
      <c r="M82" s="38">
        <f t="shared" si="42"/>
        <v>0</v>
      </c>
      <c r="N82" s="38">
        <f t="shared" si="43"/>
        <v>0</v>
      </c>
      <c r="O82" s="38">
        <f t="shared" si="44"/>
        <v>0</v>
      </c>
      <c r="P82" s="38">
        <f>Policy_Sched!$I82*(L82+I82)</f>
        <v>0</v>
      </c>
      <c r="Q82" s="42">
        <f t="shared" si="45"/>
        <v>0</v>
      </c>
      <c r="R82" s="38">
        <f t="shared" si="46"/>
        <v>0</v>
      </c>
      <c r="S82" s="38">
        <f t="shared" si="47"/>
        <v>0</v>
      </c>
      <c r="T82" s="38">
        <f>Policy_Sched!$J82*J82</f>
        <v>0</v>
      </c>
      <c r="U82" s="42">
        <f t="shared" si="48"/>
        <v>0</v>
      </c>
      <c r="V82" s="42">
        <f t="shared" si="49"/>
        <v>0</v>
      </c>
      <c r="W82" s="38">
        <f>IF($A82&gt;LastT,0,N82+W83/(1+Policy_Sched!$K82))</f>
        <v>0</v>
      </c>
      <c r="X82" s="38">
        <f>IF($A82&gt;LastT,0,(-Q82+X83)/(1+Policy_Sched!$K82))</f>
        <v>0</v>
      </c>
      <c r="Y82" s="38">
        <f>IF($A82&gt;LastT,0,-V82+Y83/(1+Policy_Sched!$K82))</f>
        <v>0</v>
      </c>
      <c r="Z82" s="42">
        <f t="shared" si="50"/>
        <v>0</v>
      </c>
      <c r="AA82" s="38">
        <f>IF($A82&gt;LastT,0,N82-V82-Q82/(1+Policy_Sched!$K82)+Z83/(1+Policy_Sched!$K82))</f>
        <v>0</v>
      </c>
    </row>
    <row r="83" spans="1:27" x14ac:dyDescent="0.2">
      <c r="A83" s="30">
        <f t="shared" si="51"/>
        <v>76</v>
      </c>
      <c r="B83" s="31">
        <f t="shared" si="52"/>
        <v>0</v>
      </c>
      <c r="C83" s="31">
        <f>IF($A83&gt;LastT,0,IF(AND($D$3&lt;&gt;0,$A83&gt;=T0,Policy_Sched!$B83&lt;LastAge),1+$D$3*$E$3,1))</f>
        <v>0</v>
      </c>
      <c r="D83" s="36">
        <f>IF($A83&gt;LastT,0,IF($C$3="up",MIN(Policy_Sched!$E83*(1+IF($A83&gt;=T0,$E$3,0)),$F$3),IF($C$3="down",MAX(Policy_Sched!$E83*(1-IF($A83&gt;=T0,$E$3,0)),Policy_Sched!$E83-$F$3),Policy_Sched!$E83)))</f>
        <v>0</v>
      </c>
      <c r="E83" s="37">
        <f t="shared" si="53"/>
        <v>0</v>
      </c>
      <c r="F83" s="37">
        <f t="shared" si="36"/>
        <v>0</v>
      </c>
      <c r="G83" s="37">
        <f t="shared" si="37"/>
        <v>0</v>
      </c>
      <c r="H83" s="37">
        <f t="shared" si="38"/>
        <v>0</v>
      </c>
      <c r="I83" s="37">
        <f t="shared" si="39"/>
        <v>0</v>
      </c>
      <c r="J83" s="37">
        <f t="shared" si="40"/>
        <v>0</v>
      </c>
      <c r="K83" s="37">
        <f>IF($A83&gt;LastT,0,J83*Policy_Sched!$C83*Policy_Sched!$D83*C83)</f>
        <v>0</v>
      </c>
      <c r="L83" s="41">
        <f t="shared" si="41"/>
        <v>0</v>
      </c>
      <c r="M83" s="38">
        <f t="shared" si="42"/>
        <v>0</v>
      </c>
      <c r="N83" s="38">
        <f t="shared" si="43"/>
        <v>0</v>
      </c>
      <c r="O83" s="38">
        <f t="shared" si="44"/>
        <v>0</v>
      </c>
      <c r="P83" s="38">
        <f>Policy_Sched!$I83*(L83+I83)</f>
        <v>0</v>
      </c>
      <c r="Q83" s="42">
        <f t="shared" si="45"/>
        <v>0</v>
      </c>
      <c r="R83" s="38">
        <f t="shared" si="46"/>
        <v>0</v>
      </c>
      <c r="S83" s="38">
        <f t="shared" si="47"/>
        <v>0</v>
      </c>
      <c r="T83" s="38">
        <f>Policy_Sched!$J83*J83</f>
        <v>0</v>
      </c>
      <c r="U83" s="42">
        <f t="shared" si="48"/>
        <v>0</v>
      </c>
      <c r="V83" s="42">
        <f t="shared" si="49"/>
        <v>0</v>
      </c>
      <c r="W83" s="38">
        <f>IF($A83&gt;LastT,0,N83+W84/(1+Policy_Sched!$K83))</f>
        <v>0</v>
      </c>
      <c r="X83" s="38">
        <f>IF($A83&gt;LastT,0,(-Q83+X84)/(1+Policy_Sched!$K83))</f>
        <v>0</v>
      </c>
      <c r="Y83" s="38">
        <f>IF($A83&gt;LastT,0,-V83+Y84/(1+Policy_Sched!$K83))</f>
        <v>0</v>
      </c>
      <c r="Z83" s="42">
        <f t="shared" si="50"/>
        <v>0</v>
      </c>
      <c r="AA83" s="38">
        <f>IF($A83&gt;LastT,0,N83-V83-Q83/(1+Policy_Sched!$K83)+Z84/(1+Policy_Sched!$K83))</f>
        <v>0</v>
      </c>
    </row>
    <row r="84" spans="1:27" x14ac:dyDescent="0.2">
      <c r="A84" s="30">
        <f t="shared" si="51"/>
        <v>77</v>
      </c>
      <c r="B84" s="31">
        <f t="shared" si="52"/>
        <v>0</v>
      </c>
      <c r="C84" s="31">
        <f>IF($A84&gt;LastT,0,IF(AND($D$3&lt;&gt;0,$A84&gt;=T0,Policy_Sched!$B84&lt;LastAge),1+$D$3*$E$3,1))</f>
        <v>0</v>
      </c>
      <c r="D84" s="36">
        <f>IF($A84&gt;LastT,0,IF($C$3="up",MIN(Policy_Sched!$E84*(1+IF($A84&gt;=T0,$E$3,0)),$F$3),IF($C$3="down",MAX(Policy_Sched!$E84*(1-IF($A84&gt;=T0,$E$3,0)),Policy_Sched!$E84-$F$3),Policy_Sched!$E84)))</f>
        <v>0</v>
      </c>
      <c r="E84" s="37">
        <f t="shared" si="53"/>
        <v>0</v>
      </c>
      <c r="F84" s="37">
        <f t="shared" si="36"/>
        <v>0</v>
      </c>
      <c r="G84" s="37">
        <f t="shared" si="37"/>
        <v>0</v>
      </c>
      <c r="H84" s="37">
        <f t="shared" si="38"/>
        <v>0</v>
      </c>
      <c r="I84" s="37">
        <f t="shared" si="39"/>
        <v>0</v>
      </c>
      <c r="J84" s="37">
        <f t="shared" si="40"/>
        <v>0</v>
      </c>
      <c r="K84" s="37">
        <f>IF($A84&gt;LastT,0,J84*Policy_Sched!$C84*Policy_Sched!$D84*C84)</f>
        <v>0</v>
      </c>
      <c r="L84" s="41">
        <f t="shared" si="41"/>
        <v>0</v>
      </c>
      <c r="M84" s="38">
        <f t="shared" si="42"/>
        <v>0</v>
      </c>
      <c r="N84" s="38">
        <f t="shared" si="43"/>
        <v>0</v>
      </c>
      <c r="O84" s="38">
        <f t="shared" si="44"/>
        <v>0</v>
      </c>
      <c r="P84" s="38">
        <f>Policy_Sched!$I84*(L84+I84)</f>
        <v>0</v>
      </c>
      <c r="Q84" s="42">
        <f t="shared" si="45"/>
        <v>0</v>
      </c>
      <c r="R84" s="38">
        <f t="shared" si="46"/>
        <v>0</v>
      </c>
      <c r="S84" s="38">
        <f t="shared" si="47"/>
        <v>0</v>
      </c>
      <c r="T84" s="38">
        <f>Policy_Sched!$J84*J84</f>
        <v>0</v>
      </c>
      <c r="U84" s="42">
        <f t="shared" si="48"/>
        <v>0</v>
      </c>
      <c r="V84" s="42">
        <f t="shared" si="49"/>
        <v>0</v>
      </c>
      <c r="W84" s="38">
        <f>IF($A84&gt;LastT,0,N84+W85/(1+Policy_Sched!$K84))</f>
        <v>0</v>
      </c>
      <c r="X84" s="38">
        <f>IF($A84&gt;LastT,0,(-Q84+X85)/(1+Policy_Sched!$K84))</f>
        <v>0</v>
      </c>
      <c r="Y84" s="38">
        <f>IF($A84&gt;LastT,0,-V84+Y85/(1+Policy_Sched!$K84))</f>
        <v>0</v>
      </c>
      <c r="Z84" s="42">
        <f t="shared" si="50"/>
        <v>0</v>
      </c>
      <c r="AA84" s="38">
        <f>IF($A84&gt;LastT,0,N84-V84-Q84/(1+Policy_Sched!$K84)+Z85/(1+Policy_Sched!$K84))</f>
        <v>0</v>
      </c>
    </row>
    <row r="85" spans="1:27" x14ac:dyDescent="0.2">
      <c r="A85" s="30">
        <f t="shared" si="51"/>
        <v>78</v>
      </c>
      <c r="B85" s="31">
        <f t="shared" si="52"/>
        <v>0</v>
      </c>
      <c r="C85" s="31">
        <f>IF($A85&gt;LastT,0,IF(AND($D$3&lt;&gt;0,$A85&gt;=T0,Policy_Sched!$B85&lt;LastAge),1+$D$3*$E$3,1))</f>
        <v>0</v>
      </c>
      <c r="D85" s="36">
        <f>IF($A85&gt;LastT,0,IF($C$3="up",MIN(Policy_Sched!$E85*(1+IF($A85&gt;=T0,$E$3,0)),$F$3),IF($C$3="down",MAX(Policy_Sched!$E85*(1-IF($A85&gt;=T0,$E$3,0)),Policy_Sched!$E85-$F$3),Policy_Sched!$E85)))</f>
        <v>0</v>
      </c>
      <c r="E85" s="37">
        <f t="shared" si="53"/>
        <v>0</v>
      </c>
      <c r="F85" s="37">
        <f t="shared" si="36"/>
        <v>0</v>
      </c>
      <c r="G85" s="37">
        <f t="shared" si="37"/>
        <v>0</v>
      </c>
      <c r="H85" s="37">
        <f t="shared" si="38"/>
        <v>0</v>
      </c>
      <c r="I85" s="37">
        <f t="shared" si="39"/>
        <v>0</v>
      </c>
      <c r="J85" s="37">
        <f t="shared" si="40"/>
        <v>0</v>
      </c>
      <c r="K85" s="37">
        <f>IF($A85&gt;LastT,0,J85*Policy_Sched!$C85*Policy_Sched!$D85*C85)</f>
        <v>0</v>
      </c>
      <c r="L85" s="41">
        <f t="shared" si="41"/>
        <v>0</v>
      </c>
      <c r="M85" s="38">
        <f t="shared" si="42"/>
        <v>0</v>
      </c>
      <c r="N85" s="38">
        <f t="shared" si="43"/>
        <v>0</v>
      </c>
      <c r="O85" s="38">
        <f t="shared" si="44"/>
        <v>0</v>
      </c>
      <c r="P85" s="38">
        <f>Policy_Sched!$I85*(L85+I85)</f>
        <v>0</v>
      </c>
      <c r="Q85" s="42">
        <f t="shared" si="45"/>
        <v>0</v>
      </c>
      <c r="R85" s="38">
        <f t="shared" si="46"/>
        <v>0</v>
      </c>
      <c r="S85" s="38">
        <f t="shared" si="47"/>
        <v>0</v>
      </c>
      <c r="T85" s="38">
        <f>Policy_Sched!$J85*J85</f>
        <v>0</v>
      </c>
      <c r="U85" s="42">
        <f t="shared" si="48"/>
        <v>0</v>
      </c>
      <c r="V85" s="42">
        <f t="shared" si="49"/>
        <v>0</v>
      </c>
      <c r="W85" s="38">
        <f>IF($A85&gt;LastT,0,N85+W86/(1+Policy_Sched!$K85))</f>
        <v>0</v>
      </c>
      <c r="X85" s="38">
        <f>IF($A85&gt;LastT,0,(-Q85+X86)/(1+Policy_Sched!$K85))</f>
        <v>0</v>
      </c>
      <c r="Y85" s="38">
        <f>IF($A85&gt;LastT,0,-V85+Y86/(1+Policy_Sched!$K85))</f>
        <v>0</v>
      </c>
      <c r="Z85" s="42">
        <f t="shared" si="50"/>
        <v>0</v>
      </c>
      <c r="AA85" s="38">
        <f>IF($A85&gt;LastT,0,N85-V85-Q85/(1+Policy_Sched!$K85)+Z86/(1+Policy_Sched!$K85))</f>
        <v>0</v>
      </c>
    </row>
    <row r="86" spans="1:27" x14ac:dyDescent="0.2">
      <c r="A86" s="30">
        <f t="shared" si="51"/>
        <v>79</v>
      </c>
      <c r="B86" s="31">
        <f t="shared" si="52"/>
        <v>0</v>
      </c>
      <c r="C86" s="31">
        <f>IF($A86&gt;LastT,0,IF(AND($D$3&lt;&gt;0,$A86&gt;=T0,Policy_Sched!$B86&lt;LastAge),1+$D$3*$E$3,1))</f>
        <v>0</v>
      </c>
      <c r="D86" s="36">
        <f>IF($A86&gt;LastT,0,IF($C$3="up",MIN(Policy_Sched!$E86*(1+IF($A86&gt;=T0,$E$3,0)),$F$3),IF($C$3="down",MAX(Policy_Sched!$E86*(1-IF($A86&gt;=T0,$E$3,0)),Policy_Sched!$E86-$F$3),Policy_Sched!$E86)))</f>
        <v>0</v>
      </c>
      <c r="E86" s="37">
        <f t="shared" si="53"/>
        <v>0</v>
      </c>
      <c r="F86" s="37">
        <f t="shared" si="36"/>
        <v>0</v>
      </c>
      <c r="G86" s="37">
        <f t="shared" si="37"/>
        <v>0</v>
      </c>
      <c r="H86" s="37">
        <f t="shared" si="38"/>
        <v>0</v>
      </c>
      <c r="I86" s="37">
        <f t="shared" si="39"/>
        <v>0</v>
      </c>
      <c r="J86" s="37">
        <f t="shared" si="40"/>
        <v>0</v>
      </c>
      <c r="K86" s="37">
        <f>IF($A86&gt;LastT,0,J86*Policy_Sched!$C86*Policy_Sched!$D86*C86)</f>
        <v>0</v>
      </c>
      <c r="L86" s="41">
        <f t="shared" si="41"/>
        <v>0</v>
      </c>
      <c r="M86" s="38">
        <f t="shared" si="42"/>
        <v>0</v>
      </c>
      <c r="N86" s="38">
        <f t="shared" si="43"/>
        <v>0</v>
      </c>
      <c r="O86" s="38">
        <f t="shared" si="44"/>
        <v>0</v>
      </c>
      <c r="P86" s="38">
        <f>Policy_Sched!$I86*(L86+I86)</f>
        <v>0</v>
      </c>
      <c r="Q86" s="42">
        <f t="shared" si="45"/>
        <v>0</v>
      </c>
      <c r="R86" s="38">
        <f t="shared" si="46"/>
        <v>0</v>
      </c>
      <c r="S86" s="38">
        <f t="shared" si="47"/>
        <v>0</v>
      </c>
      <c r="T86" s="38">
        <f>Policy_Sched!$J86*J86</f>
        <v>0</v>
      </c>
      <c r="U86" s="42">
        <f t="shared" si="48"/>
        <v>0</v>
      </c>
      <c r="V86" s="42">
        <f t="shared" si="49"/>
        <v>0</v>
      </c>
      <c r="W86" s="38">
        <f>IF($A86&gt;LastT,0,N86+W87/(1+Policy_Sched!$K86))</f>
        <v>0</v>
      </c>
      <c r="X86" s="38">
        <f>IF($A86&gt;LastT,0,(-Q86+X87)/(1+Policy_Sched!$K86))</f>
        <v>0</v>
      </c>
      <c r="Y86" s="38">
        <f>IF($A86&gt;LastT,0,-V86+Y87/(1+Policy_Sched!$K86))</f>
        <v>0</v>
      </c>
      <c r="Z86" s="42">
        <f t="shared" si="50"/>
        <v>0</v>
      </c>
      <c r="AA86" s="38">
        <f>IF($A86&gt;LastT,0,N86-V86-Q86/(1+Policy_Sched!$K86)+Z87/(1+Policy_Sched!$K86))</f>
        <v>0</v>
      </c>
    </row>
    <row r="87" spans="1:27" x14ac:dyDescent="0.2">
      <c r="A87" s="30">
        <f t="shared" si="51"/>
        <v>80</v>
      </c>
      <c r="B87" s="31">
        <f t="shared" si="52"/>
        <v>0</v>
      </c>
      <c r="C87" s="31">
        <f>IF($A87&gt;LastT,0,IF(AND($D$3&lt;&gt;0,$A87&gt;=T0,Policy_Sched!$B87&lt;LastAge),1+$D$3*$E$3,1))</f>
        <v>0</v>
      </c>
      <c r="D87" s="36">
        <f>IF($A87&gt;LastT,0,IF($C$3="up",MIN(Policy_Sched!$E87*(1+IF($A87&gt;=T0,$E$3,0)),$F$3),IF($C$3="down",MAX(Policy_Sched!$E87*(1-IF($A87&gt;=T0,$E$3,0)),Policy_Sched!$E87-$F$3),Policy_Sched!$E87)))</f>
        <v>0</v>
      </c>
      <c r="E87" s="37">
        <f t="shared" si="53"/>
        <v>0</v>
      </c>
      <c r="F87" s="37">
        <f t="shared" si="36"/>
        <v>0</v>
      </c>
      <c r="G87" s="37">
        <f t="shared" si="37"/>
        <v>0</v>
      </c>
      <c r="H87" s="37">
        <f t="shared" si="38"/>
        <v>0</v>
      </c>
      <c r="I87" s="37">
        <f t="shared" si="39"/>
        <v>0</v>
      </c>
      <c r="J87" s="37">
        <f t="shared" si="40"/>
        <v>0</v>
      </c>
      <c r="K87" s="37">
        <f>IF($A87&gt;LastT,0,J87*Policy_Sched!$C87*Policy_Sched!$D87*C87)</f>
        <v>0</v>
      </c>
      <c r="L87" s="41">
        <f t="shared" si="41"/>
        <v>0</v>
      </c>
      <c r="M87" s="38">
        <f t="shared" si="42"/>
        <v>0</v>
      </c>
      <c r="N87" s="38">
        <f t="shared" si="43"/>
        <v>0</v>
      </c>
      <c r="O87" s="38">
        <f t="shared" si="44"/>
        <v>0</v>
      </c>
      <c r="P87" s="38">
        <f>Policy_Sched!$I87*(L87+I87)</f>
        <v>0</v>
      </c>
      <c r="Q87" s="42">
        <f t="shared" si="45"/>
        <v>0</v>
      </c>
      <c r="R87" s="38">
        <f t="shared" si="46"/>
        <v>0</v>
      </c>
      <c r="S87" s="38">
        <f t="shared" si="47"/>
        <v>0</v>
      </c>
      <c r="T87" s="38">
        <f>Policy_Sched!$J87*J87</f>
        <v>0</v>
      </c>
      <c r="U87" s="42">
        <f t="shared" si="48"/>
        <v>0</v>
      </c>
      <c r="V87" s="42">
        <f t="shared" si="49"/>
        <v>0</v>
      </c>
      <c r="W87" s="38">
        <f>IF($A87&gt;LastT,0,N87+W88/(1+Policy_Sched!$K87))</f>
        <v>0</v>
      </c>
      <c r="X87" s="38">
        <f>IF($A87&gt;LastT,0,(-Q87+X88)/(1+Policy_Sched!$K87))</f>
        <v>0</v>
      </c>
      <c r="Y87" s="38">
        <f>IF($A87&gt;LastT,0,-V87+Y88/(1+Policy_Sched!$K87))</f>
        <v>0</v>
      </c>
      <c r="Z87" s="42">
        <f t="shared" si="50"/>
        <v>0</v>
      </c>
      <c r="AA87" s="38">
        <f>IF($A87&gt;LastT,0,N87-V87-Q87/(1+Policy_Sched!$K87)+Z88/(1+Policy_Sched!$K87))</f>
        <v>0</v>
      </c>
    </row>
    <row r="88" spans="1:27" x14ac:dyDescent="0.2">
      <c r="A88" s="30">
        <f t="shared" si="51"/>
        <v>81</v>
      </c>
      <c r="B88" s="31">
        <f t="shared" si="52"/>
        <v>0</v>
      </c>
      <c r="C88" s="31">
        <f>IF($A88&gt;LastT,0,IF(AND($D$3&lt;&gt;0,$A88&gt;=T0,Policy_Sched!$B88&lt;LastAge),1+$D$3*$E$3,1))</f>
        <v>0</v>
      </c>
      <c r="D88" s="36">
        <f>IF($A88&gt;LastT,0,IF($C$3="up",MIN(Policy_Sched!$E88*(1+IF($A88&gt;=T0,$E$3,0)),$F$3),IF($C$3="down",MAX(Policy_Sched!$E88*(1-IF($A88&gt;=T0,$E$3,0)),Policy_Sched!$E88-$F$3),Policy_Sched!$E88)))</f>
        <v>0</v>
      </c>
      <c r="E88" s="37">
        <f t="shared" si="53"/>
        <v>0</v>
      </c>
      <c r="F88" s="37">
        <f t="shared" si="36"/>
        <v>0</v>
      </c>
      <c r="G88" s="37">
        <f t="shared" si="37"/>
        <v>0</v>
      </c>
      <c r="H88" s="37">
        <f t="shared" si="38"/>
        <v>0</v>
      </c>
      <c r="I88" s="37">
        <f t="shared" si="39"/>
        <v>0</v>
      </c>
      <c r="J88" s="37">
        <f t="shared" si="40"/>
        <v>0</v>
      </c>
      <c r="K88" s="37">
        <f>IF($A88&gt;LastT,0,J88*Policy_Sched!$C88*Policy_Sched!$D88*C88)</f>
        <v>0</v>
      </c>
      <c r="L88" s="41">
        <f t="shared" si="41"/>
        <v>0</v>
      </c>
      <c r="M88" s="38">
        <f t="shared" si="42"/>
        <v>0</v>
      </c>
      <c r="N88" s="38">
        <f t="shared" si="43"/>
        <v>0</v>
      </c>
      <c r="O88" s="38">
        <f t="shared" si="44"/>
        <v>0</v>
      </c>
      <c r="P88" s="38">
        <f>Policy_Sched!$I88*(L88+I88)</f>
        <v>0</v>
      </c>
      <c r="Q88" s="42">
        <f t="shared" si="45"/>
        <v>0</v>
      </c>
      <c r="R88" s="38">
        <f t="shared" si="46"/>
        <v>0</v>
      </c>
      <c r="S88" s="38">
        <f t="shared" si="47"/>
        <v>0</v>
      </c>
      <c r="T88" s="38">
        <f>Policy_Sched!$J88*J88</f>
        <v>0</v>
      </c>
      <c r="U88" s="42">
        <f t="shared" si="48"/>
        <v>0</v>
      </c>
      <c r="V88" s="42">
        <f t="shared" si="49"/>
        <v>0</v>
      </c>
      <c r="W88" s="38">
        <f>IF($A88&gt;LastT,0,N88+W89/(1+Policy_Sched!$K88))</f>
        <v>0</v>
      </c>
      <c r="X88" s="38">
        <f>IF($A88&gt;LastT,0,(-Q88+X89)/(1+Policy_Sched!$K88))</f>
        <v>0</v>
      </c>
      <c r="Y88" s="38">
        <f>IF($A88&gt;LastT,0,-V88+Y89/(1+Policy_Sched!$K88))</f>
        <v>0</v>
      </c>
      <c r="Z88" s="42">
        <f t="shared" si="50"/>
        <v>0</v>
      </c>
      <c r="AA88" s="38">
        <f>IF($A88&gt;LastT,0,N88-V88-Q88/(1+Policy_Sched!$K88)+Z89/(1+Policy_Sched!$K88))</f>
        <v>0</v>
      </c>
    </row>
    <row r="89" spans="1:27" x14ac:dyDescent="0.2">
      <c r="A89" s="30">
        <f t="shared" si="51"/>
        <v>82</v>
      </c>
      <c r="B89" s="31">
        <f t="shared" si="52"/>
        <v>0</v>
      </c>
      <c r="C89" s="31">
        <f>IF($A89&gt;LastT,0,IF(AND($D$3&lt;&gt;0,$A89&gt;=T0,Policy_Sched!$B89&lt;LastAge),1+$D$3*$E$3,1))</f>
        <v>0</v>
      </c>
      <c r="D89" s="36">
        <f>IF($A89&gt;LastT,0,IF($C$3="up",MIN(Policy_Sched!$E89*(1+IF($A89&gt;=T0,$E$3,0)),$F$3),IF($C$3="down",MAX(Policy_Sched!$E89*(1-IF($A89&gt;=T0,$E$3,0)),Policy_Sched!$E89-$F$3),Policy_Sched!$E89)))</f>
        <v>0</v>
      </c>
      <c r="E89" s="37">
        <f t="shared" si="53"/>
        <v>0</v>
      </c>
      <c r="F89" s="37">
        <f t="shared" si="36"/>
        <v>0</v>
      </c>
      <c r="G89" s="37">
        <f t="shared" si="37"/>
        <v>0</v>
      </c>
      <c r="H89" s="37">
        <f t="shared" si="38"/>
        <v>0</v>
      </c>
      <c r="I89" s="37">
        <f t="shared" si="39"/>
        <v>0</v>
      </c>
      <c r="J89" s="37">
        <f t="shared" si="40"/>
        <v>0</v>
      </c>
      <c r="K89" s="37">
        <f>IF($A89&gt;LastT,0,J89*Policy_Sched!$C89*Policy_Sched!$D89*C89)</f>
        <v>0</v>
      </c>
      <c r="L89" s="41">
        <f t="shared" si="41"/>
        <v>0</v>
      </c>
      <c r="M89" s="38">
        <f t="shared" si="42"/>
        <v>0</v>
      </c>
      <c r="N89" s="38">
        <f t="shared" si="43"/>
        <v>0</v>
      </c>
      <c r="O89" s="38">
        <f t="shared" si="44"/>
        <v>0</v>
      </c>
      <c r="P89" s="38">
        <f>Policy_Sched!$I89*(L89+I89)</f>
        <v>0</v>
      </c>
      <c r="Q89" s="42">
        <f t="shared" si="45"/>
        <v>0</v>
      </c>
      <c r="R89" s="38">
        <f t="shared" si="46"/>
        <v>0</v>
      </c>
      <c r="S89" s="38">
        <f t="shared" si="47"/>
        <v>0</v>
      </c>
      <c r="T89" s="38">
        <f>Policy_Sched!$J89*J89</f>
        <v>0</v>
      </c>
      <c r="U89" s="42">
        <f t="shared" si="48"/>
        <v>0</v>
      </c>
      <c r="V89" s="42">
        <f t="shared" si="49"/>
        <v>0</v>
      </c>
      <c r="W89" s="38">
        <f>IF($A89&gt;LastT,0,N89+W90/(1+Policy_Sched!$K89))</f>
        <v>0</v>
      </c>
      <c r="X89" s="38">
        <f>IF($A89&gt;LastT,0,(-Q89+X90)/(1+Policy_Sched!$K89))</f>
        <v>0</v>
      </c>
      <c r="Y89" s="38">
        <f>IF($A89&gt;LastT,0,-V89+Y90/(1+Policy_Sched!$K89))</f>
        <v>0</v>
      </c>
      <c r="Z89" s="42">
        <f t="shared" si="50"/>
        <v>0</v>
      </c>
      <c r="AA89" s="38">
        <f>IF($A89&gt;LastT,0,N89-V89-Q89/(1+Policy_Sched!$K89)+Z90/(1+Policy_Sched!$K89))</f>
        <v>0</v>
      </c>
    </row>
    <row r="90" spans="1:27" x14ac:dyDescent="0.2">
      <c r="A90" s="30">
        <f t="shared" si="51"/>
        <v>83</v>
      </c>
      <c r="B90" s="31">
        <f t="shared" si="52"/>
        <v>0</v>
      </c>
      <c r="C90" s="31">
        <f>IF($A90&gt;LastT,0,IF(AND($D$3&lt;&gt;0,$A90&gt;=T0,Policy_Sched!$B90&lt;LastAge),1+$D$3*$E$3,1))</f>
        <v>0</v>
      </c>
      <c r="D90" s="36">
        <f>IF($A90&gt;LastT,0,IF($C$3="up",MIN(Policy_Sched!$E90*(1+IF($A90&gt;=T0,$E$3,0)),$F$3),IF($C$3="down",MAX(Policy_Sched!$E90*(1-IF($A90&gt;=T0,$E$3,0)),Policy_Sched!$E90-$F$3),Policy_Sched!$E90)))</f>
        <v>0</v>
      </c>
      <c r="E90" s="37">
        <f t="shared" si="53"/>
        <v>0</v>
      </c>
      <c r="F90" s="37">
        <f t="shared" si="36"/>
        <v>0</v>
      </c>
      <c r="G90" s="37">
        <f t="shared" si="37"/>
        <v>0</v>
      </c>
      <c r="H90" s="37">
        <f t="shared" si="38"/>
        <v>0</v>
      </c>
      <c r="I90" s="37">
        <f t="shared" si="39"/>
        <v>0</v>
      </c>
      <c r="J90" s="37">
        <f t="shared" si="40"/>
        <v>0</v>
      </c>
      <c r="K90" s="37">
        <f>IF($A90&gt;LastT,0,J90*Policy_Sched!$C90*Policy_Sched!$D90*C90)</f>
        <v>0</v>
      </c>
      <c r="L90" s="41">
        <f t="shared" si="41"/>
        <v>0</v>
      </c>
      <c r="M90" s="38">
        <f t="shared" si="42"/>
        <v>0</v>
      </c>
      <c r="N90" s="38">
        <f t="shared" si="43"/>
        <v>0</v>
      </c>
      <c r="O90" s="38">
        <f t="shared" si="44"/>
        <v>0</v>
      </c>
      <c r="P90" s="38">
        <f>Policy_Sched!$I90*(L90+I90)</f>
        <v>0</v>
      </c>
      <c r="Q90" s="42">
        <f t="shared" si="45"/>
        <v>0</v>
      </c>
      <c r="R90" s="38">
        <f t="shared" si="46"/>
        <v>0</v>
      </c>
      <c r="S90" s="38">
        <f t="shared" si="47"/>
        <v>0</v>
      </c>
      <c r="T90" s="38">
        <f>Policy_Sched!$J90*J90</f>
        <v>0</v>
      </c>
      <c r="U90" s="42">
        <f t="shared" si="48"/>
        <v>0</v>
      </c>
      <c r="V90" s="42">
        <f t="shared" si="49"/>
        <v>0</v>
      </c>
      <c r="W90" s="38">
        <f>IF($A90&gt;LastT,0,N90+W91/(1+Policy_Sched!$K90))</f>
        <v>0</v>
      </c>
      <c r="X90" s="38">
        <f>IF($A90&gt;LastT,0,(-Q90+X91)/(1+Policy_Sched!$K90))</f>
        <v>0</v>
      </c>
      <c r="Y90" s="38">
        <f>IF($A90&gt;LastT,0,-V90+Y91/(1+Policy_Sched!$K90))</f>
        <v>0</v>
      </c>
      <c r="Z90" s="42">
        <f t="shared" si="50"/>
        <v>0</v>
      </c>
      <c r="AA90" s="38">
        <f>IF($A90&gt;LastT,0,N90-V90-Q90/(1+Policy_Sched!$K90)+Z91/(1+Policy_Sched!$K90))</f>
        <v>0</v>
      </c>
    </row>
    <row r="91" spans="1:27" x14ac:dyDescent="0.2">
      <c r="A91" s="30">
        <f t="shared" si="51"/>
        <v>84</v>
      </c>
      <c r="B91" s="31">
        <f t="shared" si="52"/>
        <v>0</v>
      </c>
      <c r="C91" s="31">
        <f>IF($A91&gt;LastT,0,IF(AND($D$3&lt;&gt;0,$A91&gt;=T0,Policy_Sched!$B91&lt;LastAge),1+$D$3*$E$3,1))</f>
        <v>0</v>
      </c>
      <c r="D91" s="36">
        <f>IF($A91&gt;LastT,0,IF($C$3="up",MIN(Policy_Sched!$E91*(1+IF($A91&gt;=T0,$E$3,0)),$F$3),IF($C$3="down",MAX(Policy_Sched!$E91*(1-IF($A91&gt;=T0,$E$3,0)),Policy_Sched!$E91-$F$3),Policy_Sched!$E91)))</f>
        <v>0</v>
      </c>
      <c r="E91" s="37">
        <f t="shared" si="53"/>
        <v>0</v>
      </c>
      <c r="F91" s="37">
        <f t="shared" si="36"/>
        <v>0</v>
      </c>
      <c r="G91" s="37">
        <f t="shared" si="37"/>
        <v>0</v>
      </c>
      <c r="H91" s="37">
        <f t="shared" si="38"/>
        <v>0</v>
      </c>
      <c r="I91" s="37">
        <f t="shared" si="39"/>
        <v>0</v>
      </c>
      <c r="J91" s="37">
        <f t="shared" si="40"/>
        <v>0</v>
      </c>
      <c r="K91" s="37">
        <f>IF($A91&gt;LastT,0,J91*Policy_Sched!$C91*Policy_Sched!$D91*C91)</f>
        <v>0</v>
      </c>
      <c r="L91" s="41">
        <f t="shared" si="41"/>
        <v>0</v>
      </c>
      <c r="M91" s="38">
        <f t="shared" si="42"/>
        <v>0</v>
      </c>
      <c r="N91" s="38">
        <f t="shared" si="43"/>
        <v>0</v>
      </c>
      <c r="O91" s="38">
        <f t="shared" si="44"/>
        <v>0</v>
      </c>
      <c r="P91" s="38">
        <f>Policy_Sched!$I91*(L91+I91)</f>
        <v>0</v>
      </c>
      <c r="Q91" s="42">
        <f t="shared" si="45"/>
        <v>0</v>
      </c>
      <c r="R91" s="38">
        <f t="shared" si="46"/>
        <v>0</v>
      </c>
      <c r="S91" s="38">
        <f t="shared" si="47"/>
        <v>0</v>
      </c>
      <c r="T91" s="38">
        <f>Policy_Sched!$J91*J91</f>
        <v>0</v>
      </c>
      <c r="U91" s="42">
        <f t="shared" si="48"/>
        <v>0</v>
      </c>
      <c r="V91" s="42">
        <f t="shared" si="49"/>
        <v>0</v>
      </c>
      <c r="W91" s="38">
        <f>IF($A91&gt;LastT,0,N91+W92/(1+Policy_Sched!$K91))</f>
        <v>0</v>
      </c>
      <c r="X91" s="38">
        <f>IF($A91&gt;LastT,0,(-Q91+X92)/(1+Policy_Sched!$K91))</f>
        <v>0</v>
      </c>
      <c r="Y91" s="38">
        <f>IF($A91&gt;LastT,0,-V91+Y92/(1+Policy_Sched!$K91))</f>
        <v>0</v>
      </c>
      <c r="Z91" s="42">
        <f t="shared" si="50"/>
        <v>0</v>
      </c>
      <c r="AA91" s="38">
        <f>IF($A91&gt;LastT,0,N91-V91-Q91/(1+Policy_Sched!$K91)+Z92/(1+Policy_Sched!$K91))</f>
        <v>0</v>
      </c>
    </row>
    <row r="92" spans="1:27" x14ac:dyDescent="0.2">
      <c r="A92" s="30">
        <f t="shared" si="51"/>
        <v>85</v>
      </c>
      <c r="B92" s="31">
        <f t="shared" si="52"/>
        <v>0</v>
      </c>
      <c r="C92" s="31">
        <f>IF($A92&gt;LastT,0,IF(AND($D$3&lt;&gt;0,$A92&gt;=T0,Policy_Sched!$B92&lt;LastAge),1+$D$3*$E$3,1))</f>
        <v>0</v>
      </c>
      <c r="D92" s="36">
        <f>IF($A92&gt;LastT,0,IF($C$3="up",MIN(Policy_Sched!$E92*(1+IF($A92&gt;=T0,$E$3,0)),$F$3),IF($C$3="down",MAX(Policy_Sched!$E92*(1-IF($A92&gt;=T0,$E$3,0)),Policy_Sched!$E92-$F$3),Policy_Sched!$E92)))</f>
        <v>0</v>
      </c>
      <c r="E92" s="37">
        <f t="shared" si="53"/>
        <v>0</v>
      </c>
      <c r="F92" s="37">
        <f t="shared" si="36"/>
        <v>0</v>
      </c>
      <c r="G92" s="37">
        <f t="shared" si="37"/>
        <v>0</v>
      </c>
      <c r="H92" s="37">
        <f t="shared" si="38"/>
        <v>0</v>
      </c>
      <c r="I92" s="37">
        <f t="shared" si="39"/>
        <v>0</v>
      </c>
      <c r="J92" s="37">
        <f t="shared" si="40"/>
        <v>0</v>
      </c>
      <c r="K92" s="37">
        <f>IF($A92&gt;LastT,0,J92*Policy_Sched!$C92*Policy_Sched!$D92*C92)</f>
        <v>0</v>
      </c>
      <c r="L92" s="41">
        <f t="shared" si="41"/>
        <v>0</v>
      </c>
      <c r="M92" s="38">
        <f t="shared" si="42"/>
        <v>0</v>
      </c>
      <c r="N92" s="38">
        <f t="shared" si="43"/>
        <v>0</v>
      </c>
      <c r="O92" s="38">
        <f t="shared" si="44"/>
        <v>0</v>
      </c>
      <c r="P92" s="38">
        <f>Policy_Sched!$I92*(L92+I92)</f>
        <v>0</v>
      </c>
      <c r="Q92" s="42">
        <f t="shared" si="45"/>
        <v>0</v>
      </c>
      <c r="R92" s="38">
        <f t="shared" si="46"/>
        <v>0</v>
      </c>
      <c r="S92" s="38">
        <f t="shared" si="47"/>
        <v>0</v>
      </c>
      <c r="T92" s="38">
        <f>Policy_Sched!$J92*J92</f>
        <v>0</v>
      </c>
      <c r="U92" s="42">
        <f t="shared" si="48"/>
        <v>0</v>
      </c>
      <c r="V92" s="42">
        <f t="shared" si="49"/>
        <v>0</v>
      </c>
      <c r="W92" s="38">
        <f>IF($A92&gt;LastT,0,N92+W93/(1+Policy_Sched!$K92))</f>
        <v>0</v>
      </c>
      <c r="X92" s="38">
        <f>IF($A92&gt;LastT,0,(-Q92+X93)/(1+Policy_Sched!$K92))</f>
        <v>0</v>
      </c>
      <c r="Y92" s="38">
        <f>IF($A92&gt;LastT,0,-V92+Y93/(1+Policy_Sched!$K92))</f>
        <v>0</v>
      </c>
      <c r="Z92" s="42">
        <f t="shared" si="50"/>
        <v>0</v>
      </c>
      <c r="AA92" s="38">
        <f>IF($A92&gt;LastT,0,N92-V92-Q92/(1+Policy_Sched!$K92)+Z93/(1+Policy_Sched!$K92))</f>
        <v>0</v>
      </c>
    </row>
    <row r="93" spans="1:27" x14ac:dyDescent="0.2">
      <c r="A93" s="30">
        <f t="shared" si="51"/>
        <v>86</v>
      </c>
      <c r="B93" s="31">
        <f t="shared" si="52"/>
        <v>0</v>
      </c>
      <c r="C93" s="31">
        <f>IF($A93&gt;LastT,0,IF(AND($D$3&lt;&gt;0,$A93&gt;=T0,Policy_Sched!$B93&lt;LastAge),1+$D$3*$E$3,1))</f>
        <v>0</v>
      </c>
      <c r="D93" s="36">
        <f>IF($A93&gt;LastT,0,IF($C$3="up",MIN(Policy_Sched!$E93*(1+IF($A93&gt;=T0,$E$3,0)),$F$3),IF($C$3="down",MAX(Policy_Sched!$E93*(1-IF($A93&gt;=T0,$E$3,0)),Policy_Sched!$E93-$F$3),Policy_Sched!$E93)))</f>
        <v>0</v>
      </c>
      <c r="E93" s="37">
        <f t="shared" si="53"/>
        <v>0</v>
      </c>
      <c r="F93" s="37">
        <f t="shared" si="36"/>
        <v>0</v>
      </c>
      <c r="G93" s="37">
        <f t="shared" si="37"/>
        <v>0</v>
      </c>
      <c r="H93" s="37">
        <f t="shared" si="38"/>
        <v>0</v>
      </c>
      <c r="I93" s="37">
        <f t="shared" si="39"/>
        <v>0</v>
      </c>
      <c r="J93" s="37">
        <f t="shared" si="40"/>
        <v>0</v>
      </c>
      <c r="K93" s="37">
        <f>IF($A93&gt;LastT,0,J93*Policy_Sched!$C93*Policy_Sched!$D93*C93)</f>
        <v>0</v>
      </c>
      <c r="L93" s="41">
        <f t="shared" si="41"/>
        <v>0</v>
      </c>
      <c r="M93" s="38">
        <f t="shared" si="42"/>
        <v>0</v>
      </c>
      <c r="N93" s="38">
        <f t="shared" si="43"/>
        <v>0</v>
      </c>
      <c r="O93" s="38">
        <f t="shared" si="44"/>
        <v>0</v>
      </c>
      <c r="P93" s="38">
        <f>Policy_Sched!$I93*(L93+I93)</f>
        <v>0</v>
      </c>
      <c r="Q93" s="42">
        <f t="shared" si="45"/>
        <v>0</v>
      </c>
      <c r="R93" s="38">
        <f t="shared" si="46"/>
        <v>0</v>
      </c>
      <c r="S93" s="38">
        <f t="shared" si="47"/>
        <v>0</v>
      </c>
      <c r="T93" s="38">
        <f>Policy_Sched!$J93*J93</f>
        <v>0</v>
      </c>
      <c r="U93" s="42">
        <f t="shared" si="48"/>
        <v>0</v>
      </c>
      <c r="V93" s="42">
        <f t="shared" si="49"/>
        <v>0</v>
      </c>
      <c r="W93" s="38">
        <f>IF($A93&gt;LastT,0,N93+W94/(1+Policy_Sched!$K93))</f>
        <v>0</v>
      </c>
      <c r="X93" s="38">
        <f>IF($A93&gt;LastT,0,(-Q93+X94)/(1+Policy_Sched!$K93))</f>
        <v>0</v>
      </c>
      <c r="Y93" s="38">
        <f>IF($A93&gt;LastT,0,-V93+Y94/(1+Policy_Sched!$K93))</f>
        <v>0</v>
      </c>
      <c r="Z93" s="42">
        <f t="shared" si="50"/>
        <v>0</v>
      </c>
      <c r="AA93" s="38">
        <f>IF($A93&gt;LastT,0,N93-V93-Q93/(1+Policy_Sched!$K93)+Z94/(1+Policy_Sched!$K93))</f>
        <v>0</v>
      </c>
    </row>
    <row r="94" spans="1:27" x14ac:dyDescent="0.2">
      <c r="A94" s="30">
        <f t="shared" si="51"/>
        <v>87</v>
      </c>
      <c r="B94" s="31">
        <f t="shared" si="52"/>
        <v>0</v>
      </c>
      <c r="C94" s="31">
        <f>IF($A94&gt;LastT,0,IF(AND($D$3&lt;&gt;0,$A94&gt;=T0,Policy_Sched!$B94&lt;LastAge),1+$D$3*$E$3,1))</f>
        <v>0</v>
      </c>
      <c r="D94" s="36">
        <f>IF($A94&gt;LastT,0,IF($C$3="up",MIN(Policy_Sched!$E94*(1+IF($A94&gt;=T0,$E$3,0)),$F$3),IF($C$3="down",MAX(Policy_Sched!$E94*(1-IF($A94&gt;=T0,$E$3,0)),Policy_Sched!$E94-$F$3),Policy_Sched!$E94)))</f>
        <v>0</v>
      </c>
      <c r="E94" s="37">
        <f t="shared" si="53"/>
        <v>0</v>
      </c>
      <c r="F94" s="37">
        <f t="shared" si="36"/>
        <v>0</v>
      </c>
      <c r="G94" s="37">
        <f t="shared" si="37"/>
        <v>0</v>
      </c>
      <c r="H94" s="37">
        <f t="shared" si="38"/>
        <v>0</v>
      </c>
      <c r="I94" s="37">
        <f t="shared" si="39"/>
        <v>0</v>
      </c>
      <c r="J94" s="37">
        <f t="shared" si="40"/>
        <v>0</v>
      </c>
      <c r="K94" s="37">
        <f>IF($A94&gt;LastT,0,J94*Policy_Sched!$C94*Policy_Sched!$D94*C94)</f>
        <v>0</v>
      </c>
      <c r="L94" s="41">
        <f t="shared" si="41"/>
        <v>0</v>
      </c>
      <c r="M94" s="38">
        <f t="shared" si="42"/>
        <v>0</v>
      </c>
      <c r="N94" s="38">
        <f t="shared" si="43"/>
        <v>0</v>
      </c>
      <c r="O94" s="38">
        <f t="shared" si="44"/>
        <v>0</v>
      </c>
      <c r="P94" s="38">
        <f>Policy_Sched!$I94*(L94+I94)</f>
        <v>0</v>
      </c>
      <c r="Q94" s="42">
        <f t="shared" si="45"/>
        <v>0</v>
      </c>
      <c r="R94" s="38">
        <f t="shared" si="46"/>
        <v>0</v>
      </c>
      <c r="S94" s="38">
        <f t="shared" si="47"/>
        <v>0</v>
      </c>
      <c r="T94" s="38">
        <f>Policy_Sched!$J94*J94</f>
        <v>0</v>
      </c>
      <c r="U94" s="42">
        <f t="shared" si="48"/>
        <v>0</v>
      </c>
      <c r="V94" s="42">
        <f t="shared" si="49"/>
        <v>0</v>
      </c>
      <c r="W94" s="38">
        <f>IF($A94&gt;LastT,0,N94+W95/(1+Policy_Sched!$K94))</f>
        <v>0</v>
      </c>
      <c r="X94" s="38">
        <f>IF($A94&gt;LastT,0,(-Q94+X95)/(1+Policy_Sched!$K94))</f>
        <v>0</v>
      </c>
      <c r="Y94" s="38">
        <f>IF($A94&gt;LastT,0,-V94+Y95/(1+Policy_Sched!$K94))</f>
        <v>0</v>
      </c>
      <c r="Z94" s="42">
        <f t="shared" si="50"/>
        <v>0</v>
      </c>
      <c r="AA94" s="38">
        <f>IF($A94&gt;LastT,0,N94-V94-Q94/(1+Policy_Sched!$K94)+Z95/(1+Policy_Sched!$K94))</f>
        <v>0</v>
      </c>
    </row>
    <row r="95" spans="1:27" x14ac:dyDescent="0.2">
      <c r="A95" s="30">
        <f t="shared" si="51"/>
        <v>88</v>
      </c>
      <c r="B95" s="31">
        <f t="shared" si="52"/>
        <v>0</v>
      </c>
      <c r="C95" s="31">
        <f>IF($A95&gt;LastT,0,IF(AND($D$3&lt;&gt;0,$A95&gt;=T0,Policy_Sched!$B95&lt;LastAge),1+$D$3*$E$3,1))</f>
        <v>0</v>
      </c>
      <c r="D95" s="36">
        <f>IF($A95&gt;LastT,0,IF($C$3="up",MIN(Policy_Sched!$E95*(1+IF($A95&gt;=T0,$E$3,0)),$F$3),IF($C$3="down",MAX(Policy_Sched!$E95*(1-IF($A95&gt;=T0,$E$3,0)),Policy_Sched!$E95-$F$3),Policy_Sched!$E95)))</f>
        <v>0</v>
      </c>
      <c r="E95" s="37">
        <f t="shared" si="53"/>
        <v>0</v>
      </c>
      <c r="F95" s="37">
        <f t="shared" si="36"/>
        <v>0</v>
      </c>
      <c r="G95" s="37">
        <f t="shared" si="37"/>
        <v>0</v>
      </c>
      <c r="H95" s="37">
        <f t="shared" si="38"/>
        <v>0</v>
      </c>
      <c r="I95" s="37">
        <f t="shared" si="39"/>
        <v>0</v>
      </c>
      <c r="J95" s="37">
        <f t="shared" si="40"/>
        <v>0</v>
      </c>
      <c r="K95" s="37">
        <f>IF($A95&gt;LastT,0,J95*Policy_Sched!$C95*Policy_Sched!$D95*C95)</f>
        <v>0</v>
      </c>
      <c r="L95" s="41">
        <f t="shared" si="41"/>
        <v>0</v>
      </c>
      <c r="M95" s="38">
        <f t="shared" si="42"/>
        <v>0</v>
      </c>
      <c r="N95" s="38">
        <f t="shared" si="43"/>
        <v>0</v>
      </c>
      <c r="O95" s="38">
        <f t="shared" si="44"/>
        <v>0</v>
      </c>
      <c r="P95" s="38">
        <f>Policy_Sched!$I95*(L95+I95)</f>
        <v>0</v>
      </c>
      <c r="Q95" s="42">
        <f t="shared" si="45"/>
        <v>0</v>
      </c>
      <c r="R95" s="38">
        <f t="shared" si="46"/>
        <v>0</v>
      </c>
      <c r="S95" s="38">
        <f t="shared" si="47"/>
        <v>0</v>
      </c>
      <c r="T95" s="38">
        <f>Policy_Sched!$J95*J95</f>
        <v>0</v>
      </c>
      <c r="U95" s="42">
        <f t="shared" si="48"/>
        <v>0</v>
      </c>
      <c r="V95" s="42">
        <f t="shared" si="49"/>
        <v>0</v>
      </c>
      <c r="W95" s="38">
        <f>IF($A95&gt;LastT,0,N95+W96/(1+Policy_Sched!$K95))</f>
        <v>0</v>
      </c>
      <c r="X95" s="38">
        <f>IF($A95&gt;LastT,0,(-Q95+X96)/(1+Policy_Sched!$K95))</f>
        <v>0</v>
      </c>
      <c r="Y95" s="38">
        <f>IF($A95&gt;LastT,0,-V95+Y96/(1+Policy_Sched!$K95))</f>
        <v>0</v>
      </c>
      <c r="Z95" s="42">
        <f t="shared" si="50"/>
        <v>0</v>
      </c>
      <c r="AA95" s="38">
        <f>IF($A95&gt;LastT,0,N95-V95-Q95/(1+Policy_Sched!$K95)+Z96/(1+Policy_Sched!$K95))</f>
        <v>0</v>
      </c>
    </row>
    <row r="96" spans="1:27" x14ac:dyDescent="0.2">
      <c r="A96" s="30">
        <f t="shared" si="51"/>
        <v>89</v>
      </c>
      <c r="B96" s="31">
        <f t="shared" si="52"/>
        <v>0</v>
      </c>
      <c r="C96" s="31">
        <f>IF($A96&gt;LastT,0,IF(AND($D$3&lt;&gt;0,$A96&gt;=T0,Policy_Sched!$B96&lt;LastAge),1+$D$3*$E$3,1))</f>
        <v>0</v>
      </c>
      <c r="D96" s="36">
        <f>IF($A96&gt;LastT,0,IF($C$3="up",MIN(Policy_Sched!$E96*(1+IF($A96&gt;=T0,$E$3,0)),$F$3),IF($C$3="down",MAX(Policy_Sched!$E96*(1-IF($A96&gt;=T0,$E$3,0)),Policy_Sched!$E96-$F$3),Policy_Sched!$E96)))</f>
        <v>0</v>
      </c>
      <c r="E96" s="37">
        <f t="shared" si="53"/>
        <v>0</v>
      </c>
      <c r="F96" s="37">
        <f t="shared" si="36"/>
        <v>0</v>
      </c>
      <c r="G96" s="37">
        <f t="shared" si="37"/>
        <v>0</v>
      </c>
      <c r="H96" s="37">
        <f t="shared" si="38"/>
        <v>0</v>
      </c>
      <c r="I96" s="37">
        <f t="shared" si="39"/>
        <v>0</v>
      </c>
      <c r="J96" s="37">
        <f t="shared" si="40"/>
        <v>0</v>
      </c>
      <c r="K96" s="37">
        <f>IF($A96&gt;LastT,0,J96*Policy_Sched!$C96*Policy_Sched!$D96*C96)</f>
        <v>0</v>
      </c>
      <c r="L96" s="41">
        <f t="shared" si="41"/>
        <v>0</v>
      </c>
      <c r="M96" s="38">
        <f t="shared" si="42"/>
        <v>0</v>
      </c>
      <c r="N96" s="38">
        <f t="shared" si="43"/>
        <v>0</v>
      </c>
      <c r="O96" s="38">
        <f t="shared" si="44"/>
        <v>0</v>
      </c>
      <c r="P96" s="38">
        <f>Policy_Sched!$I96*(L96+I96)</f>
        <v>0</v>
      </c>
      <c r="Q96" s="42">
        <f t="shared" si="45"/>
        <v>0</v>
      </c>
      <c r="R96" s="38">
        <f t="shared" si="46"/>
        <v>0</v>
      </c>
      <c r="S96" s="38">
        <f t="shared" si="47"/>
        <v>0</v>
      </c>
      <c r="T96" s="38">
        <f>Policy_Sched!$J96*J96</f>
        <v>0</v>
      </c>
      <c r="U96" s="42">
        <f t="shared" si="48"/>
        <v>0</v>
      </c>
      <c r="V96" s="42">
        <f t="shared" si="49"/>
        <v>0</v>
      </c>
      <c r="W96" s="38">
        <f>IF($A96&gt;LastT,0,N96+W97/(1+Policy_Sched!$K96))</f>
        <v>0</v>
      </c>
      <c r="X96" s="38">
        <f>IF($A96&gt;LastT,0,(-Q96+X97)/(1+Policy_Sched!$K96))</f>
        <v>0</v>
      </c>
      <c r="Y96" s="38">
        <f>IF($A96&gt;LastT,0,-V96+Y97/(1+Policy_Sched!$K96))</f>
        <v>0</v>
      </c>
      <c r="Z96" s="42">
        <f t="shared" si="50"/>
        <v>0</v>
      </c>
      <c r="AA96" s="38">
        <f>IF($A96&gt;LastT,0,N96-V96-Q96/(1+Policy_Sched!$K96)+Z97/(1+Policy_Sched!$K96))</f>
        <v>0</v>
      </c>
    </row>
    <row r="97" spans="1:27" x14ac:dyDescent="0.2">
      <c r="A97" s="30">
        <f t="shared" si="51"/>
        <v>90</v>
      </c>
      <c r="B97" s="31">
        <f t="shared" si="52"/>
        <v>0</v>
      </c>
      <c r="C97" s="31">
        <f>IF($A97&gt;LastT,0,IF(AND($D$3&lt;&gt;0,$A97&gt;=T0,Policy_Sched!$B97&lt;LastAge),1+$D$3*$E$3,1))</f>
        <v>0</v>
      </c>
      <c r="D97" s="36">
        <f>IF($A97&gt;LastT,0,IF($C$3="up",MIN(Policy_Sched!$E97*(1+IF($A97&gt;=T0,$E$3,0)),$F$3),IF($C$3="down",MAX(Policy_Sched!$E97*(1-IF($A97&gt;=T0,$E$3,0)),Policy_Sched!$E97-$F$3),Policy_Sched!$E97)))</f>
        <v>0</v>
      </c>
      <c r="E97" s="37">
        <f t="shared" si="53"/>
        <v>0</v>
      </c>
      <c r="F97" s="37">
        <f t="shared" si="36"/>
        <v>0</v>
      </c>
      <c r="G97" s="37">
        <f t="shared" si="37"/>
        <v>0</v>
      </c>
      <c r="H97" s="37">
        <f t="shared" si="38"/>
        <v>0</v>
      </c>
      <c r="I97" s="37">
        <f t="shared" si="39"/>
        <v>0</v>
      </c>
      <c r="J97" s="37">
        <f t="shared" si="40"/>
        <v>0</v>
      </c>
      <c r="K97" s="37">
        <f>IF($A97&gt;LastT,0,J97*Policy_Sched!$C97*Policy_Sched!$D97*C97)</f>
        <v>0</v>
      </c>
      <c r="L97" s="41">
        <f t="shared" si="41"/>
        <v>0</v>
      </c>
      <c r="M97" s="38">
        <f t="shared" si="42"/>
        <v>0</v>
      </c>
      <c r="N97" s="38">
        <f t="shared" si="43"/>
        <v>0</v>
      </c>
      <c r="O97" s="38">
        <f t="shared" si="44"/>
        <v>0</v>
      </c>
      <c r="P97" s="38">
        <f>Policy_Sched!$I97*(L97+I97)</f>
        <v>0</v>
      </c>
      <c r="Q97" s="42">
        <f t="shared" si="45"/>
        <v>0</v>
      </c>
      <c r="R97" s="38">
        <f t="shared" si="46"/>
        <v>0</v>
      </c>
      <c r="S97" s="38">
        <f t="shared" si="47"/>
        <v>0</v>
      </c>
      <c r="T97" s="38">
        <f>Policy_Sched!$J97*J97</f>
        <v>0</v>
      </c>
      <c r="U97" s="42">
        <f t="shared" si="48"/>
        <v>0</v>
      </c>
      <c r="V97" s="42">
        <f t="shared" si="49"/>
        <v>0</v>
      </c>
      <c r="W97" s="38">
        <f>IF($A97&gt;LastT,0,N97+W98/(1+Policy_Sched!$K97))</f>
        <v>0</v>
      </c>
      <c r="X97" s="38">
        <f>IF($A97&gt;LastT,0,(-Q97+X98)/(1+Policy_Sched!$K97))</f>
        <v>0</v>
      </c>
      <c r="Y97" s="38">
        <f>IF($A97&gt;LastT,0,-V97+Y98/(1+Policy_Sched!$K97))</f>
        <v>0</v>
      </c>
      <c r="Z97" s="42">
        <f t="shared" si="50"/>
        <v>0</v>
      </c>
      <c r="AA97" s="38">
        <f>IF($A97&gt;LastT,0,N97-V97-Q97/(1+Policy_Sched!$K97)+Z98/(1+Policy_Sched!$K97))</f>
        <v>0</v>
      </c>
    </row>
    <row r="98" spans="1:27" x14ac:dyDescent="0.2">
      <c r="A98" s="30">
        <f t="shared" si="51"/>
        <v>91</v>
      </c>
      <c r="B98" s="31">
        <f t="shared" si="52"/>
        <v>0</v>
      </c>
      <c r="C98" s="31">
        <f>IF($A98&gt;LastT,0,IF(AND($D$3&lt;&gt;0,$A98&gt;=T0,Policy_Sched!$B98&lt;LastAge),1+$D$3*$E$3,1))</f>
        <v>0</v>
      </c>
      <c r="D98" s="36">
        <f>IF($A98&gt;LastT,0,IF($C$3="up",MIN(Policy_Sched!$E98*(1+IF($A98&gt;=T0,$E$3,0)),$F$3),IF($C$3="down",MAX(Policy_Sched!$E98*(1-IF($A98&gt;=T0,$E$3,0)),Policy_Sched!$E98-$F$3),Policy_Sched!$E98)))</f>
        <v>0</v>
      </c>
      <c r="E98" s="37">
        <f t="shared" si="53"/>
        <v>0</v>
      </c>
      <c r="F98" s="37">
        <f t="shared" si="36"/>
        <v>0</v>
      </c>
      <c r="G98" s="37">
        <f t="shared" si="37"/>
        <v>0</v>
      </c>
      <c r="H98" s="37">
        <f t="shared" si="38"/>
        <v>0</v>
      </c>
      <c r="I98" s="37">
        <f t="shared" si="39"/>
        <v>0</v>
      </c>
      <c r="J98" s="37">
        <f t="shared" si="40"/>
        <v>0</v>
      </c>
      <c r="K98" s="37">
        <f>IF($A98&gt;LastT,0,J98*Policy_Sched!$C98*Policy_Sched!$D98*C98)</f>
        <v>0</v>
      </c>
      <c r="L98" s="41">
        <f t="shared" si="41"/>
        <v>0</v>
      </c>
      <c r="M98" s="38">
        <f t="shared" si="42"/>
        <v>0</v>
      </c>
      <c r="N98" s="38">
        <f t="shared" si="43"/>
        <v>0</v>
      </c>
      <c r="O98" s="38">
        <f t="shared" si="44"/>
        <v>0</v>
      </c>
      <c r="P98" s="38">
        <f>Policy_Sched!$I98*(L98+I98)</f>
        <v>0</v>
      </c>
      <c r="Q98" s="42">
        <f t="shared" si="45"/>
        <v>0</v>
      </c>
      <c r="R98" s="38">
        <f t="shared" si="46"/>
        <v>0</v>
      </c>
      <c r="S98" s="38">
        <f t="shared" si="47"/>
        <v>0</v>
      </c>
      <c r="T98" s="38">
        <f>Policy_Sched!$J98*J98</f>
        <v>0</v>
      </c>
      <c r="U98" s="42">
        <f t="shared" si="48"/>
        <v>0</v>
      </c>
      <c r="V98" s="42">
        <f t="shared" si="49"/>
        <v>0</v>
      </c>
      <c r="W98" s="38">
        <f>IF($A98&gt;LastT,0,N98+W99/(1+Policy_Sched!$K98))</f>
        <v>0</v>
      </c>
      <c r="X98" s="38">
        <f>IF($A98&gt;LastT,0,(-Q98+X99)/(1+Policy_Sched!$K98))</f>
        <v>0</v>
      </c>
      <c r="Y98" s="38">
        <f>IF($A98&gt;LastT,0,-V98+Y99/(1+Policy_Sched!$K98))</f>
        <v>0</v>
      </c>
      <c r="Z98" s="42">
        <f t="shared" si="50"/>
        <v>0</v>
      </c>
      <c r="AA98" s="38">
        <f>IF($A98&gt;LastT,0,N98-V98-Q98/(1+Policy_Sched!$K98)+Z99/(1+Policy_Sched!$K98))</f>
        <v>0</v>
      </c>
    </row>
    <row r="99" spans="1:27" x14ac:dyDescent="0.2">
      <c r="A99" s="30">
        <f t="shared" si="51"/>
        <v>92</v>
      </c>
      <c r="B99" s="31">
        <f t="shared" si="52"/>
        <v>0</v>
      </c>
      <c r="C99" s="31">
        <f>IF($A99&gt;LastT,0,IF(AND($D$3&lt;&gt;0,$A99&gt;=T0,Policy_Sched!$B99&lt;LastAge),1+$D$3*$E$3,1))</f>
        <v>0</v>
      </c>
      <c r="D99" s="36">
        <f>IF($A99&gt;LastT,0,IF($C$3="up",MIN(Policy_Sched!$E99*(1+IF($A99&gt;=T0,$E$3,0)),$F$3),IF($C$3="down",MAX(Policy_Sched!$E99*(1-IF($A99&gt;=T0,$E$3,0)),Policy_Sched!$E99-$F$3),Policy_Sched!$E99)))</f>
        <v>0</v>
      </c>
      <c r="E99" s="37">
        <f t="shared" si="53"/>
        <v>0</v>
      </c>
      <c r="F99" s="37">
        <f t="shared" si="36"/>
        <v>0</v>
      </c>
      <c r="G99" s="37">
        <f t="shared" si="37"/>
        <v>0</v>
      </c>
      <c r="H99" s="37">
        <f t="shared" si="38"/>
        <v>0</v>
      </c>
      <c r="I99" s="37">
        <f t="shared" si="39"/>
        <v>0</v>
      </c>
      <c r="J99" s="37">
        <f t="shared" si="40"/>
        <v>0</v>
      </c>
      <c r="K99" s="37">
        <f>IF($A99&gt;LastT,0,J99*Policy_Sched!$C99*Policy_Sched!$D99*C99)</f>
        <v>0</v>
      </c>
      <c r="L99" s="41">
        <f t="shared" si="41"/>
        <v>0</v>
      </c>
      <c r="M99" s="38">
        <f t="shared" si="42"/>
        <v>0</v>
      </c>
      <c r="N99" s="38">
        <f t="shared" si="43"/>
        <v>0</v>
      </c>
      <c r="O99" s="38">
        <f t="shared" si="44"/>
        <v>0</v>
      </c>
      <c r="P99" s="38">
        <f>Policy_Sched!$I99*(L99+I99)</f>
        <v>0</v>
      </c>
      <c r="Q99" s="42">
        <f t="shared" si="45"/>
        <v>0</v>
      </c>
      <c r="R99" s="38">
        <f t="shared" si="46"/>
        <v>0</v>
      </c>
      <c r="S99" s="38">
        <f t="shared" si="47"/>
        <v>0</v>
      </c>
      <c r="T99" s="38">
        <f>Policy_Sched!$J99*J99</f>
        <v>0</v>
      </c>
      <c r="U99" s="42">
        <f t="shared" si="48"/>
        <v>0</v>
      </c>
      <c r="V99" s="42">
        <f t="shared" si="49"/>
        <v>0</v>
      </c>
      <c r="W99" s="38">
        <f>IF($A99&gt;LastT,0,N99+W100/(1+Policy_Sched!$K99))</f>
        <v>0</v>
      </c>
      <c r="X99" s="38">
        <f>IF($A99&gt;LastT,0,(-Q99+X100)/(1+Policy_Sched!$K99))</f>
        <v>0</v>
      </c>
      <c r="Y99" s="38">
        <f>IF($A99&gt;LastT,0,-V99+Y100/(1+Policy_Sched!$K99))</f>
        <v>0</v>
      </c>
      <c r="Z99" s="42">
        <f t="shared" si="50"/>
        <v>0</v>
      </c>
      <c r="AA99" s="38">
        <f>IF($A99&gt;LastT,0,N99-V99-Q99/(1+Policy_Sched!$K99)+Z100/(1+Policy_Sched!$K99))</f>
        <v>0</v>
      </c>
    </row>
    <row r="100" spans="1:27" x14ac:dyDescent="0.2">
      <c r="A100" s="30">
        <f t="shared" si="51"/>
        <v>93</v>
      </c>
      <c r="B100" s="31">
        <f t="shared" si="52"/>
        <v>0</v>
      </c>
      <c r="C100" s="31">
        <f>IF($A100&gt;LastT,0,IF(AND($D$3&lt;&gt;0,$A100&gt;=T0,Policy_Sched!$B100&lt;LastAge),1+$D$3*$E$3,1))</f>
        <v>0</v>
      </c>
      <c r="D100" s="36">
        <f>IF($A100&gt;LastT,0,IF($C$3="up",MIN(Policy_Sched!$E100*(1+IF($A100&gt;=T0,$E$3,0)),$F$3),IF($C$3="down",MAX(Policy_Sched!$E100*(1-IF($A100&gt;=T0,$E$3,0)),Policy_Sched!$E100-$F$3),Policy_Sched!$E100)))</f>
        <v>0</v>
      </c>
      <c r="E100" s="37">
        <f t="shared" si="53"/>
        <v>0</v>
      </c>
      <c r="F100" s="37">
        <f t="shared" si="36"/>
        <v>0</v>
      </c>
      <c r="G100" s="37">
        <f t="shared" si="37"/>
        <v>0</v>
      </c>
      <c r="H100" s="37">
        <f t="shared" si="38"/>
        <v>0</v>
      </c>
      <c r="I100" s="37">
        <f t="shared" si="39"/>
        <v>0</v>
      </c>
      <c r="J100" s="37">
        <f t="shared" si="40"/>
        <v>0</v>
      </c>
      <c r="K100" s="37">
        <f>IF($A100&gt;LastT,0,J100*Policy_Sched!$C100*Policy_Sched!$D100*C100)</f>
        <v>0</v>
      </c>
      <c r="L100" s="41">
        <f t="shared" si="41"/>
        <v>0</v>
      </c>
      <c r="M100" s="38">
        <f t="shared" si="42"/>
        <v>0</v>
      </c>
      <c r="N100" s="38">
        <f t="shared" si="43"/>
        <v>0</v>
      </c>
      <c r="O100" s="38">
        <f t="shared" si="44"/>
        <v>0</v>
      </c>
      <c r="P100" s="38">
        <f>Policy_Sched!$I100*(L100+I100)</f>
        <v>0</v>
      </c>
      <c r="Q100" s="42">
        <f t="shared" si="45"/>
        <v>0</v>
      </c>
      <c r="R100" s="38">
        <f t="shared" si="46"/>
        <v>0</v>
      </c>
      <c r="S100" s="38">
        <f t="shared" si="47"/>
        <v>0</v>
      </c>
      <c r="T100" s="38">
        <f>Policy_Sched!$J100*J100</f>
        <v>0</v>
      </c>
      <c r="U100" s="42">
        <f t="shared" si="48"/>
        <v>0</v>
      </c>
      <c r="V100" s="42">
        <f t="shared" si="49"/>
        <v>0</v>
      </c>
      <c r="W100" s="38">
        <f>IF($A100&gt;LastT,0,N100+W101/(1+Policy_Sched!$K100))</f>
        <v>0</v>
      </c>
      <c r="X100" s="38">
        <f>IF($A100&gt;LastT,0,(-Q100+X101)/(1+Policy_Sched!$K100))</f>
        <v>0</v>
      </c>
      <c r="Y100" s="38">
        <f>IF($A100&gt;LastT,0,-V100+Y101/(1+Policy_Sched!$K100))</f>
        <v>0</v>
      </c>
      <c r="Z100" s="42">
        <f t="shared" si="50"/>
        <v>0</v>
      </c>
      <c r="AA100" s="38">
        <f>IF($A100&gt;LastT,0,N100-V100-Q100/(1+Policy_Sched!$K100)+Z101/(1+Policy_Sched!$K100))</f>
        <v>0</v>
      </c>
    </row>
    <row r="101" spans="1:27" x14ac:dyDescent="0.2">
      <c r="A101" s="30">
        <f t="shared" si="51"/>
        <v>94</v>
      </c>
      <c r="B101" s="31">
        <f t="shared" si="52"/>
        <v>0</v>
      </c>
      <c r="C101" s="31">
        <f>IF($A101&gt;LastT,0,IF(AND($D$3&lt;&gt;0,$A101&gt;=T0,Policy_Sched!$B101&lt;LastAge),1+$D$3*$E$3,1))</f>
        <v>0</v>
      </c>
      <c r="D101" s="36">
        <f>IF($A101&gt;LastT,0,IF($C$3="up",MIN(Policy_Sched!$E101*(1+IF($A101&gt;=T0,$E$3,0)),$F$3),IF($C$3="down",MAX(Policy_Sched!$E101*(1-IF($A101&gt;=T0,$E$3,0)),Policy_Sched!$E101-$F$3),Policy_Sched!$E101)))</f>
        <v>0</v>
      </c>
      <c r="E101" s="37">
        <f t="shared" si="53"/>
        <v>0</v>
      </c>
      <c r="F101" s="37">
        <f t="shared" si="36"/>
        <v>0</v>
      </c>
      <c r="G101" s="37">
        <f t="shared" si="37"/>
        <v>0</v>
      </c>
      <c r="H101" s="37">
        <f t="shared" si="38"/>
        <v>0</v>
      </c>
      <c r="I101" s="37">
        <f t="shared" si="39"/>
        <v>0</v>
      </c>
      <c r="J101" s="37">
        <f t="shared" si="40"/>
        <v>0</v>
      </c>
      <c r="K101" s="37">
        <f>IF($A101&gt;LastT,0,J101*Policy_Sched!$C101*Policy_Sched!$D101*C101)</f>
        <v>0</v>
      </c>
      <c r="L101" s="41">
        <f t="shared" si="41"/>
        <v>0</v>
      </c>
      <c r="M101" s="38">
        <f t="shared" si="42"/>
        <v>0</v>
      </c>
      <c r="N101" s="38">
        <f t="shared" si="43"/>
        <v>0</v>
      </c>
      <c r="O101" s="38">
        <f t="shared" si="44"/>
        <v>0</v>
      </c>
      <c r="P101" s="38">
        <f>Policy_Sched!$I101*(L101+I101)</f>
        <v>0</v>
      </c>
      <c r="Q101" s="42">
        <f t="shared" si="45"/>
        <v>0</v>
      </c>
      <c r="R101" s="38">
        <f t="shared" si="46"/>
        <v>0</v>
      </c>
      <c r="S101" s="38">
        <f t="shared" si="47"/>
        <v>0</v>
      </c>
      <c r="T101" s="38">
        <f>Policy_Sched!$J101*J101</f>
        <v>0</v>
      </c>
      <c r="U101" s="42">
        <f t="shared" si="48"/>
        <v>0</v>
      </c>
      <c r="V101" s="42">
        <f t="shared" si="49"/>
        <v>0</v>
      </c>
      <c r="W101" s="38">
        <f>IF($A101&gt;LastT,0,N101+W102/(1+Policy_Sched!$K101))</f>
        <v>0</v>
      </c>
      <c r="X101" s="38">
        <f>IF($A101&gt;LastT,0,(-Q101+X102)/(1+Policy_Sched!$K101))</f>
        <v>0</v>
      </c>
      <c r="Y101" s="38">
        <f>IF($A101&gt;LastT,0,-V101+Y102/(1+Policy_Sched!$K101))</f>
        <v>0</v>
      </c>
      <c r="Z101" s="42">
        <f t="shared" si="50"/>
        <v>0</v>
      </c>
      <c r="AA101" s="38">
        <f>IF($A101&gt;LastT,0,N101-V101-Q101/(1+Policy_Sched!$K101)+Z102/(1+Policy_Sched!$K101))</f>
        <v>0</v>
      </c>
    </row>
    <row r="102" spans="1:27" x14ac:dyDescent="0.2">
      <c r="A102" s="30">
        <f t="shared" si="51"/>
        <v>95</v>
      </c>
      <c r="B102" s="31">
        <f t="shared" si="52"/>
        <v>0</v>
      </c>
      <c r="C102" s="31">
        <f>IF($A102&gt;LastT,0,IF(AND($D$3&lt;&gt;0,$A102&gt;=T0,Policy_Sched!$B102&lt;LastAge),1+$D$3*$E$3,1))</f>
        <v>0</v>
      </c>
      <c r="D102" s="36">
        <f>IF($A102&gt;LastT,0,IF($C$3="up",MIN(Policy_Sched!$E102*(1+IF($A102&gt;=T0,$E$3,0)),$F$3),IF($C$3="down",MAX(Policy_Sched!$E102*(1-IF($A102&gt;=T0,$E$3,0)),Policy_Sched!$E102-$F$3),Policy_Sched!$E102)))</f>
        <v>0</v>
      </c>
      <c r="E102" s="37">
        <f t="shared" si="53"/>
        <v>0</v>
      </c>
      <c r="F102" s="37">
        <f t="shared" si="36"/>
        <v>0</v>
      </c>
      <c r="G102" s="37">
        <f t="shared" si="37"/>
        <v>0</v>
      </c>
      <c r="H102" s="37">
        <f t="shared" si="38"/>
        <v>0</v>
      </c>
      <c r="I102" s="37">
        <f t="shared" si="39"/>
        <v>0</v>
      </c>
      <c r="J102" s="37">
        <f t="shared" si="40"/>
        <v>0</v>
      </c>
      <c r="K102" s="37">
        <f>IF($A102&gt;LastT,0,J102*Policy_Sched!$C102*Policy_Sched!$D102*C102)</f>
        <v>0</v>
      </c>
      <c r="L102" s="41">
        <f t="shared" si="41"/>
        <v>0</v>
      </c>
      <c r="M102" s="38">
        <f t="shared" si="42"/>
        <v>0</v>
      </c>
      <c r="N102" s="38">
        <f t="shared" si="43"/>
        <v>0</v>
      </c>
      <c r="O102" s="38">
        <f t="shared" si="44"/>
        <v>0</v>
      </c>
      <c r="P102" s="38">
        <f>Policy_Sched!$I102*(L102+I102)</f>
        <v>0</v>
      </c>
      <c r="Q102" s="42">
        <f t="shared" si="45"/>
        <v>0</v>
      </c>
      <c r="R102" s="38">
        <f t="shared" si="46"/>
        <v>0</v>
      </c>
      <c r="S102" s="38">
        <f t="shared" si="47"/>
        <v>0</v>
      </c>
      <c r="T102" s="38">
        <f>Policy_Sched!$J102*J102</f>
        <v>0</v>
      </c>
      <c r="U102" s="42">
        <f t="shared" si="48"/>
        <v>0</v>
      </c>
      <c r="V102" s="42">
        <f t="shared" si="49"/>
        <v>0</v>
      </c>
      <c r="W102" s="38">
        <f>IF($A102&gt;LastT,0,N102+W103/(1+Policy_Sched!$K102))</f>
        <v>0</v>
      </c>
      <c r="X102" s="38">
        <f>IF($A102&gt;LastT,0,(-Q102+X103)/(1+Policy_Sched!$K102))</f>
        <v>0</v>
      </c>
      <c r="Y102" s="38">
        <f>IF($A102&gt;LastT,0,-V102+Y103/(1+Policy_Sched!$K102))</f>
        <v>0</v>
      </c>
      <c r="Z102" s="42">
        <f t="shared" si="50"/>
        <v>0</v>
      </c>
      <c r="AA102" s="38">
        <f>IF($A102&gt;LastT,0,N102-V102-Q102/(1+Policy_Sched!$K102)+Z103/(1+Policy_Sched!$K102))</f>
        <v>0</v>
      </c>
    </row>
    <row r="103" spans="1:27" x14ac:dyDescent="0.2">
      <c r="A103" s="30">
        <f t="shared" si="51"/>
        <v>96</v>
      </c>
      <c r="B103" s="31">
        <f t="shared" si="52"/>
        <v>0</v>
      </c>
      <c r="C103" s="31">
        <f>IF($A103&gt;LastT,0,IF(AND($D$3&lt;&gt;0,$A103&gt;=T0,Policy_Sched!$B103&lt;LastAge),1+$D$3*$E$3,1))</f>
        <v>0</v>
      </c>
      <c r="D103" s="36">
        <f>IF($A103&gt;LastT,0,IF($C$3="up",MIN(Policy_Sched!$E103*(1+IF($A103&gt;=T0,$E$3,0)),$F$3),IF($C$3="down",MAX(Policy_Sched!$E103*(1-IF($A103&gt;=T0,$E$3,0)),Policy_Sched!$E103-$F$3),Policy_Sched!$E103)))</f>
        <v>0</v>
      </c>
      <c r="E103" s="37">
        <f t="shared" si="53"/>
        <v>0</v>
      </c>
      <c r="F103" s="37">
        <f t="shared" ref="F103:F110" si="54">IF($A103&gt;LastT,0,IF($A103=PolicyTerm,E103,0))</f>
        <v>0</v>
      </c>
      <c r="G103" s="37">
        <f t="shared" ref="G103:G110" si="55">IF($A103&gt;LastT,0,E103-F103)</f>
        <v>0</v>
      </c>
      <c r="H103" s="37">
        <f t="shared" ref="H103:H110" si="56">IF($A103=0,PolicyCount,0)</f>
        <v>0</v>
      </c>
      <c r="I103" s="37">
        <f t="shared" ref="I103:I110" si="57">IF($A103&gt;LastT,0,IF(AND($C$3="mass",$A103=T0),(G103+H103)*$E$3,0))</f>
        <v>0</v>
      </c>
      <c r="J103" s="37">
        <f t="shared" ref="J103:J110" si="58">IF($A103&gt;LastT,0,G103+H103-I103)</f>
        <v>0</v>
      </c>
      <c r="K103" s="37">
        <f>IF($A103&gt;LastT,0,J103*Policy_Sched!$C103*Policy_Sched!$D103*C103)</f>
        <v>0</v>
      </c>
      <c r="L103" s="41">
        <f t="shared" ref="L103:L110" si="59">J103*D103</f>
        <v>0</v>
      </c>
      <c r="M103" s="38">
        <f t="shared" ref="M103:M110" si="60">IF($A103&gt;LastT,0,(SizeAnnPrem*ExpsMaintAnnPrem+(SumAssured*ExpsMaintSA+ExpsMaintPol)*B103)*(1+IF($B$3="exps",$E$3,0)))</f>
        <v>0</v>
      </c>
      <c r="N103" s="38">
        <f t="shared" ref="N103:N110" si="61">SizePremium*J103</f>
        <v>0</v>
      </c>
      <c r="O103" s="38">
        <f t="shared" ref="O103:O110" si="62">SumAssured*K103</f>
        <v>0</v>
      </c>
      <c r="P103" s="38">
        <f>Policy_Sched!$I103*(L103+I103)</f>
        <v>0</v>
      </c>
      <c r="Q103" s="42">
        <f t="shared" ref="Q103:Q110" si="63">O103+P103</f>
        <v>0</v>
      </c>
      <c r="R103" s="38">
        <f t="shared" ref="R103:R110" si="64">IF($A103=0,SizeExpsAcq0*H103,0)</f>
        <v>0</v>
      </c>
      <c r="S103" s="38">
        <f t="shared" ref="S103:S110" si="65">IF($A103=0,SizeExpsCommInit0*J103,0)</f>
        <v>0</v>
      </c>
      <c r="T103" s="38">
        <f>Policy_Sched!$J103*J103</f>
        <v>0</v>
      </c>
      <c r="U103" s="42">
        <f t="shared" ref="U103:U110" si="66">M103*J103</f>
        <v>0</v>
      </c>
      <c r="V103" s="42">
        <f t="shared" ref="V103:V110" si="67">S103+T103+R103+U103</f>
        <v>0</v>
      </c>
      <c r="W103" s="38">
        <f>IF($A103&gt;LastT,0,N103+W104/(1+Policy_Sched!$K103))</f>
        <v>0</v>
      </c>
      <c r="X103" s="38">
        <f>IF($A103&gt;LastT,0,(-Q103+X104)/(1+Policy_Sched!$K103))</f>
        <v>0</v>
      </c>
      <c r="Y103" s="38">
        <f>IF($A103&gt;LastT,0,-V103+Y104/(1+Policy_Sched!$K103))</f>
        <v>0</v>
      </c>
      <c r="Z103" s="42">
        <f t="shared" ref="Z103:Z110" si="68">W103+Y103+X103</f>
        <v>0</v>
      </c>
      <c r="AA103" s="38">
        <f>IF($A103&gt;LastT,0,N103-V103-Q103/(1+Policy_Sched!$K103)+Z104/(1+Policy_Sched!$K103))</f>
        <v>0</v>
      </c>
    </row>
    <row r="104" spans="1:27" x14ac:dyDescent="0.2">
      <c r="A104" s="30">
        <f t="shared" ref="A104:A110" si="69">A103+1</f>
        <v>97</v>
      </c>
      <c r="B104" s="31">
        <f t="shared" ref="B104:B110" si="70">IF($A104&gt;LastT,0,IF($B$3="exps",B103*(1+InflRate+IF($A104&gt;=T0,$G$3,0)),B103/(1+InflRate)))</f>
        <v>0</v>
      </c>
      <c r="C104" s="31">
        <f>IF($A104&gt;LastT,0,IF(AND($D$3&lt;&gt;0,$A104&gt;=T0,Policy_Sched!$B104&lt;LastAge),1+$D$3*$E$3,1))</f>
        <v>0</v>
      </c>
      <c r="D104" s="36">
        <f>IF($A104&gt;LastT,0,IF($C$3="up",MIN(Policy_Sched!$E104*(1+IF($A104&gt;=T0,$E$3,0)),$F$3),IF($C$3="down",MAX(Policy_Sched!$E104*(1-IF($A104&gt;=T0,$E$3,0)),Policy_Sched!$E104-$F$3),Policy_Sched!$E104)))</f>
        <v>0</v>
      </c>
      <c r="E104" s="37">
        <f t="shared" ref="E104:E110" si="71">IF($A104&gt;LastT,0,J103-K103-L103)</f>
        <v>0</v>
      </c>
      <c r="F104" s="37">
        <f t="shared" si="54"/>
        <v>0</v>
      </c>
      <c r="G104" s="37">
        <f t="shared" si="55"/>
        <v>0</v>
      </c>
      <c r="H104" s="37">
        <f t="shared" si="56"/>
        <v>0</v>
      </c>
      <c r="I104" s="37">
        <f t="shared" si="57"/>
        <v>0</v>
      </c>
      <c r="J104" s="37">
        <f t="shared" si="58"/>
        <v>0</v>
      </c>
      <c r="K104" s="37">
        <f>IF($A104&gt;LastT,0,J104*Policy_Sched!$C104*Policy_Sched!$D104*C104)</f>
        <v>0</v>
      </c>
      <c r="L104" s="41">
        <f t="shared" si="59"/>
        <v>0</v>
      </c>
      <c r="M104" s="38">
        <f t="shared" si="60"/>
        <v>0</v>
      </c>
      <c r="N104" s="38">
        <f t="shared" si="61"/>
        <v>0</v>
      </c>
      <c r="O104" s="38">
        <f t="shared" si="62"/>
        <v>0</v>
      </c>
      <c r="P104" s="38">
        <f>Policy_Sched!$I104*(L104+I104)</f>
        <v>0</v>
      </c>
      <c r="Q104" s="42">
        <f t="shared" si="63"/>
        <v>0</v>
      </c>
      <c r="R104" s="38">
        <f t="shared" si="64"/>
        <v>0</v>
      </c>
      <c r="S104" s="38">
        <f t="shared" si="65"/>
        <v>0</v>
      </c>
      <c r="T104" s="38">
        <f>Policy_Sched!$J104*J104</f>
        <v>0</v>
      </c>
      <c r="U104" s="42">
        <f t="shared" si="66"/>
        <v>0</v>
      </c>
      <c r="V104" s="42">
        <f t="shared" si="67"/>
        <v>0</v>
      </c>
      <c r="W104" s="38">
        <f>IF($A104&gt;LastT,0,N104+W105/(1+Policy_Sched!$K104))</f>
        <v>0</v>
      </c>
      <c r="X104" s="38">
        <f>IF($A104&gt;LastT,0,(-Q104+X105)/(1+Policy_Sched!$K104))</f>
        <v>0</v>
      </c>
      <c r="Y104" s="38">
        <f>IF($A104&gt;LastT,0,-V104+Y105/(1+Policy_Sched!$K104))</f>
        <v>0</v>
      </c>
      <c r="Z104" s="42">
        <f t="shared" si="68"/>
        <v>0</v>
      </c>
      <c r="AA104" s="38">
        <f>IF($A104&gt;LastT,0,N104-V104-Q104/(1+Policy_Sched!$K104)+Z105/(1+Policy_Sched!$K104))</f>
        <v>0</v>
      </c>
    </row>
    <row r="105" spans="1:27" x14ac:dyDescent="0.2">
      <c r="A105" s="30">
        <f t="shared" si="69"/>
        <v>98</v>
      </c>
      <c r="B105" s="31">
        <f t="shared" si="70"/>
        <v>0</v>
      </c>
      <c r="C105" s="31">
        <f>IF($A105&gt;LastT,0,IF(AND($D$3&lt;&gt;0,$A105&gt;=T0,Policy_Sched!$B105&lt;LastAge),1+$D$3*$E$3,1))</f>
        <v>0</v>
      </c>
      <c r="D105" s="36">
        <f>IF($A105&gt;LastT,0,IF($C$3="up",MIN(Policy_Sched!$E105*(1+IF($A105&gt;=T0,$E$3,0)),$F$3),IF($C$3="down",MAX(Policy_Sched!$E105*(1-IF($A105&gt;=T0,$E$3,0)),Policy_Sched!$E105-$F$3),Policy_Sched!$E105)))</f>
        <v>0</v>
      </c>
      <c r="E105" s="37">
        <f t="shared" si="71"/>
        <v>0</v>
      </c>
      <c r="F105" s="37">
        <f t="shared" si="54"/>
        <v>0</v>
      </c>
      <c r="G105" s="37">
        <f t="shared" si="55"/>
        <v>0</v>
      </c>
      <c r="H105" s="37">
        <f t="shared" si="56"/>
        <v>0</v>
      </c>
      <c r="I105" s="37">
        <f t="shared" si="57"/>
        <v>0</v>
      </c>
      <c r="J105" s="37">
        <f t="shared" si="58"/>
        <v>0</v>
      </c>
      <c r="K105" s="37">
        <f>IF($A105&gt;LastT,0,J105*Policy_Sched!$C105*Policy_Sched!$D105*C105)</f>
        <v>0</v>
      </c>
      <c r="L105" s="41">
        <f t="shared" si="59"/>
        <v>0</v>
      </c>
      <c r="M105" s="38">
        <f t="shared" si="60"/>
        <v>0</v>
      </c>
      <c r="N105" s="38">
        <f t="shared" si="61"/>
        <v>0</v>
      </c>
      <c r="O105" s="38">
        <f t="shared" si="62"/>
        <v>0</v>
      </c>
      <c r="P105" s="38">
        <f>Policy_Sched!$I105*(L105+I105)</f>
        <v>0</v>
      </c>
      <c r="Q105" s="42">
        <f t="shared" si="63"/>
        <v>0</v>
      </c>
      <c r="R105" s="38">
        <f t="shared" si="64"/>
        <v>0</v>
      </c>
      <c r="S105" s="38">
        <f t="shared" si="65"/>
        <v>0</v>
      </c>
      <c r="T105" s="38">
        <f>Policy_Sched!$J105*J105</f>
        <v>0</v>
      </c>
      <c r="U105" s="42">
        <f t="shared" si="66"/>
        <v>0</v>
      </c>
      <c r="V105" s="42">
        <f t="shared" si="67"/>
        <v>0</v>
      </c>
      <c r="W105" s="38">
        <f>IF($A105&gt;LastT,0,N105+W106/(1+Policy_Sched!$K105))</f>
        <v>0</v>
      </c>
      <c r="X105" s="38">
        <f>IF($A105&gt;LastT,0,(-Q105+X106)/(1+Policy_Sched!$K105))</f>
        <v>0</v>
      </c>
      <c r="Y105" s="38">
        <f>IF($A105&gt;LastT,0,-V105+Y106/(1+Policy_Sched!$K105))</f>
        <v>0</v>
      </c>
      <c r="Z105" s="42">
        <f t="shared" si="68"/>
        <v>0</v>
      </c>
      <c r="AA105" s="38">
        <f>IF($A105&gt;LastT,0,N105-V105-Q105/(1+Policy_Sched!$K105)+Z106/(1+Policy_Sched!$K105))</f>
        <v>0</v>
      </c>
    </row>
    <row r="106" spans="1:27" x14ac:dyDescent="0.2">
      <c r="A106" s="30">
        <f t="shared" si="69"/>
        <v>99</v>
      </c>
      <c r="B106" s="31">
        <f t="shared" si="70"/>
        <v>0</v>
      </c>
      <c r="C106" s="31">
        <f>IF($A106&gt;LastT,0,IF(AND($D$3&lt;&gt;0,$A106&gt;=T0,Policy_Sched!$B106&lt;LastAge),1+$D$3*$E$3,1))</f>
        <v>0</v>
      </c>
      <c r="D106" s="36">
        <f>IF($A106&gt;LastT,0,IF($C$3="up",MIN(Policy_Sched!$E106*(1+IF($A106&gt;=T0,$E$3,0)),$F$3),IF($C$3="down",MAX(Policy_Sched!$E106*(1-IF($A106&gt;=T0,$E$3,0)),Policy_Sched!$E106-$F$3),Policy_Sched!$E106)))</f>
        <v>0</v>
      </c>
      <c r="E106" s="37">
        <f t="shared" si="71"/>
        <v>0</v>
      </c>
      <c r="F106" s="37">
        <f t="shared" si="54"/>
        <v>0</v>
      </c>
      <c r="G106" s="37">
        <f t="shared" si="55"/>
        <v>0</v>
      </c>
      <c r="H106" s="37">
        <f t="shared" si="56"/>
        <v>0</v>
      </c>
      <c r="I106" s="37">
        <f t="shared" si="57"/>
        <v>0</v>
      </c>
      <c r="J106" s="37">
        <f t="shared" si="58"/>
        <v>0</v>
      </c>
      <c r="K106" s="37">
        <f>IF($A106&gt;LastT,0,J106*Policy_Sched!$C106*Policy_Sched!$D106*C106)</f>
        <v>0</v>
      </c>
      <c r="L106" s="41">
        <f t="shared" si="59"/>
        <v>0</v>
      </c>
      <c r="M106" s="38">
        <f t="shared" si="60"/>
        <v>0</v>
      </c>
      <c r="N106" s="38">
        <f t="shared" si="61"/>
        <v>0</v>
      </c>
      <c r="O106" s="38">
        <f t="shared" si="62"/>
        <v>0</v>
      </c>
      <c r="P106" s="38">
        <f>Policy_Sched!$I106*(L106+I106)</f>
        <v>0</v>
      </c>
      <c r="Q106" s="42">
        <f t="shared" si="63"/>
        <v>0</v>
      </c>
      <c r="R106" s="38">
        <f t="shared" si="64"/>
        <v>0</v>
      </c>
      <c r="S106" s="38">
        <f t="shared" si="65"/>
        <v>0</v>
      </c>
      <c r="T106" s="38">
        <f>Policy_Sched!$J106*J106</f>
        <v>0</v>
      </c>
      <c r="U106" s="42">
        <f t="shared" si="66"/>
        <v>0</v>
      </c>
      <c r="V106" s="42">
        <f t="shared" si="67"/>
        <v>0</v>
      </c>
      <c r="W106" s="38">
        <f>IF($A106&gt;LastT,0,N106+W107/(1+Policy_Sched!$K106))</f>
        <v>0</v>
      </c>
      <c r="X106" s="38">
        <f>IF($A106&gt;LastT,0,(-Q106+X107)/(1+Policy_Sched!$K106))</f>
        <v>0</v>
      </c>
      <c r="Y106" s="38">
        <f>IF($A106&gt;LastT,0,-V106+Y107/(1+Policy_Sched!$K106))</f>
        <v>0</v>
      </c>
      <c r="Z106" s="42">
        <f t="shared" si="68"/>
        <v>0</v>
      </c>
      <c r="AA106" s="38">
        <f>IF($A106&gt;LastT,0,N106-V106-Q106/(1+Policy_Sched!$K106)+Z107/(1+Policy_Sched!$K106))</f>
        <v>0</v>
      </c>
    </row>
    <row r="107" spans="1:27" x14ac:dyDescent="0.2">
      <c r="A107" s="30">
        <f t="shared" si="69"/>
        <v>100</v>
      </c>
      <c r="B107" s="31">
        <f t="shared" si="70"/>
        <v>0</v>
      </c>
      <c r="C107" s="31">
        <f>IF($A107&gt;LastT,0,IF(AND($D$3&lt;&gt;0,$A107&gt;=T0,Policy_Sched!$B107&lt;LastAge),1+$D$3*$E$3,1))</f>
        <v>0</v>
      </c>
      <c r="D107" s="36">
        <f>IF($A107&gt;LastT,0,IF($C$3="up",MIN(Policy_Sched!$E107*(1+IF($A107&gt;=T0,$E$3,0)),$F$3),IF($C$3="down",MAX(Policy_Sched!$E107*(1-IF($A107&gt;=T0,$E$3,0)),Policy_Sched!$E107-$F$3),Policy_Sched!$E107)))</f>
        <v>0</v>
      </c>
      <c r="E107" s="37">
        <f t="shared" si="71"/>
        <v>0</v>
      </c>
      <c r="F107" s="37">
        <f t="shared" si="54"/>
        <v>0</v>
      </c>
      <c r="G107" s="37">
        <f t="shared" si="55"/>
        <v>0</v>
      </c>
      <c r="H107" s="37">
        <f t="shared" si="56"/>
        <v>0</v>
      </c>
      <c r="I107" s="37">
        <f t="shared" si="57"/>
        <v>0</v>
      </c>
      <c r="J107" s="37">
        <f t="shared" si="58"/>
        <v>0</v>
      </c>
      <c r="K107" s="37">
        <f>IF($A107&gt;LastT,0,J107*Policy_Sched!$C107*Policy_Sched!$D107*C107)</f>
        <v>0</v>
      </c>
      <c r="L107" s="41">
        <f t="shared" si="59"/>
        <v>0</v>
      </c>
      <c r="M107" s="38">
        <f t="shared" si="60"/>
        <v>0</v>
      </c>
      <c r="N107" s="38">
        <f t="shared" si="61"/>
        <v>0</v>
      </c>
      <c r="O107" s="38">
        <f t="shared" si="62"/>
        <v>0</v>
      </c>
      <c r="P107" s="38">
        <f>Policy_Sched!$I107*(L107+I107)</f>
        <v>0</v>
      </c>
      <c r="Q107" s="42">
        <f t="shared" si="63"/>
        <v>0</v>
      </c>
      <c r="R107" s="38">
        <f t="shared" si="64"/>
        <v>0</v>
      </c>
      <c r="S107" s="38">
        <f t="shared" si="65"/>
        <v>0</v>
      </c>
      <c r="T107" s="38">
        <f>Policy_Sched!$J107*J107</f>
        <v>0</v>
      </c>
      <c r="U107" s="42">
        <f t="shared" si="66"/>
        <v>0</v>
      </c>
      <c r="V107" s="42">
        <f t="shared" si="67"/>
        <v>0</v>
      </c>
      <c r="W107" s="38">
        <f>IF($A107&gt;LastT,0,N107+W108/(1+Policy_Sched!$K107))</f>
        <v>0</v>
      </c>
      <c r="X107" s="38">
        <f>IF($A107&gt;LastT,0,(-Q107+X108)/(1+Policy_Sched!$K107))</f>
        <v>0</v>
      </c>
      <c r="Y107" s="38">
        <f>IF($A107&gt;LastT,0,-V107+Y108/(1+Policy_Sched!$K107))</f>
        <v>0</v>
      </c>
      <c r="Z107" s="42">
        <f t="shared" si="68"/>
        <v>0</v>
      </c>
      <c r="AA107" s="38">
        <f>IF($A107&gt;LastT,0,N107-V107-Q107/(1+Policy_Sched!$K107)+Z108/(1+Policy_Sched!$K107))</f>
        <v>0</v>
      </c>
    </row>
    <row r="108" spans="1:27" x14ac:dyDescent="0.2">
      <c r="A108" s="30">
        <f t="shared" si="69"/>
        <v>101</v>
      </c>
      <c r="B108" s="31">
        <f t="shared" si="70"/>
        <v>0</v>
      </c>
      <c r="C108" s="31">
        <f>IF($A108&gt;LastT,0,IF(AND($D$3&lt;&gt;0,$A108&gt;=T0,Policy_Sched!$B108&lt;LastAge),1+$D$3*$E$3,1))</f>
        <v>0</v>
      </c>
      <c r="D108" s="36">
        <f>IF($A108&gt;LastT,0,IF($C$3="up",MIN(Policy_Sched!$E108*(1+IF($A108&gt;=T0,$E$3,0)),$F$3),IF($C$3="down",MAX(Policy_Sched!$E108*(1-IF($A108&gt;=T0,$E$3,0)),Policy_Sched!$E108-$F$3),Policy_Sched!$E108)))</f>
        <v>0</v>
      </c>
      <c r="E108" s="37">
        <f t="shared" si="71"/>
        <v>0</v>
      </c>
      <c r="F108" s="37">
        <f t="shared" si="54"/>
        <v>0</v>
      </c>
      <c r="G108" s="37">
        <f t="shared" si="55"/>
        <v>0</v>
      </c>
      <c r="H108" s="37">
        <f t="shared" si="56"/>
        <v>0</v>
      </c>
      <c r="I108" s="37">
        <f t="shared" si="57"/>
        <v>0</v>
      </c>
      <c r="J108" s="37">
        <f t="shared" si="58"/>
        <v>0</v>
      </c>
      <c r="K108" s="37">
        <f>IF($A108&gt;LastT,0,J108*Policy_Sched!$C108*Policy_Sched!$D108*C108)</f>
        <v>0</v>
      </c>
      <c r="L108" s="41">
        <f t="shared" si="59"/>
        <v>0</v>
      </c>
      <c r="M108" s="38">
        <f t="shared" si="60"/>
        <v>0</v>
      </c>
      <c r="N108" s="38">
        <f t="shared" si="61"/>
        <v>0</v>
      </c>
      <c r="O108" s="38">
        <f t="shared" si="62"/>
        <v>0</v>
      </c>
      <c r="P108" s="38">
        <f>Policy_Sched!$I108*(L108+I108)</f>
        <v>0</v>
      </c>
      <c r="Q108" s="42">
        <f t="shared" si="63"/>
        <v>0</v>
      </c>
      <c r="R108" s="38">
        <f t="shared" si="64"/>
        <v>0</v>
      </c>
      <c r="S108" s="38">
        <f t="shared" si="65"/>
        <v>0</v>
      </c>
      <c r="T108" s="38">
        <f>Policy_Sched!$J108*J108</f>
        <v>0</v>
      </c>
      <c r="U108" s="42">
        <f t="shared" si="66"/>
        <v>0</v>
      </c>
      <c r="V108" s="42">
        <f t="shared" si="67"/>
        <v>0</v>
      </c>
      <c r="W108" s="38">
        <f>IF($A108&gt;LastT,0,N108+W109/(1+Policy_Sched!$K108))</f>
        <v>0</v>
      </c>
      <c r="X108" s="38">
        <f>IF($A108&gt;LastT,0,(-Q108+X109)/(1+Policy_Sched!$K108))</f>
        <v>0</v>
      </c>
      <c r="Y108" s="38">
        <f>IF($A108&gt;LastT,0,-V108+Y109/(1+Policy_Sched!$K108))</f>
        <v>0</v>
      </c>
      <c r="Z108" s="42">
        <f t="shared" si="68"/>
        <v>0</v>
      </c>
      <c r="AA108" s="38">
        <f>IF($A108&gt;LastT,0,N108-V108-Q108/(1+Policy_Sched!$K108)+Z109/(1+Policy_Sched!$K108))</f>
        <v>0</v>
      </c>
    </row>
    <row r="109" spans="1:27" x14ac:dyDescent="0.2">
      <c r="A109" s="30">
        <f t="shared" si="69"/>
        <v>102</v>
      </c>
      <c r="B109" s="31">
        <f t="shared" si="70"/>
        <v>0</v>
      </c>
      <c r="C109" s="31">
        <f>IF($A109&gt;LastT,0,IF(AND($D$3&lt;&gt;0,$A109&gt;=T0,Policy_Sched!$B109&lt;LastAge),1+$D$3*$E$3,1))</f>
        <v>0</v>
      </c>
      <c r="D109" s="36">
        <f>IF($A109&gt;LastT,0,IF($C$3="up",MIN(Policy_Sched!$E109*(1+IF($A109&gt;=T0,$E$3,0)),$F$3),IF($C$3="down",MAX(Policy_Sched!$E109*(1-IF($A109&gt;=T0,$E$3,0)),Policy_Sched!$E109-$F$3),Policy_Sched!$E109)))</f>
        <v>0</v>
      </c>
      <c r="E109" s="37">
        <f t="shared" si="71"/>
        <v>0</v>
      </c>
      <c r="F109" s="37">
        <f t="shared" si="54"/>
        <v>0</v>
      </c>
      <c r="G109" s="37">
        <f t="shared" si="55"/>
        <v>0</v>
      </c>
      <c r="H109" s="37">
        <f t="shared" si="56"/>
        <v>0</v>
      </c>
      <c r="I109" s="37">
        <f t="shared" si="57"/>
        <v>0</v>
      </c>
      <c r="J109" s="37">
        <f t="shared" si="58"/>
        <v>0</v>
      </c>
      <c r="K109" s="37">
        <f>IF($A109&gt;LastT,0,J109*Policy_Sched!$C109*Policy_Sched!$D109*C109)</f>
        <v>0</v>
      </c>
      <c r="L109" s="41">
        <f t="shared" si="59"/>
        <v>0</v>
      </c>
      <c r="M109" s="38">
        <f t="shared" si="60"/>
        <v>0</v>
      </c>
      <c r="N109" s="38">
        <f t="shared" si="61"/>
        <v>0</v>
      </c>
      <c r="O109" s="38">
        <f t="shared" si="62"/>
        <v>0</v>
      </c>
      <c r="P109" s="38">
        <f>Policy_Sched!$I109*(L109+I109)</f>
        <v>0</v>
      </c>
      <c r="Q109" s="42">
        <f t="shared" si="63"/>
        <v>0</v>
      </c>
      <c r="R109" s="38">
        <f t="shared" si="64"/>
        <v>0</v>
      </c>
      <c r="S109" s="38">
        <f t="shared" si="65"/>
        <v>0</v>
      </c>
      <c r="T109" s="38">
        <f>Policy_Sched!$J109*J109</f>
        <v>0</v>
      </c>
      <c r="U109" s="42">
        <f t="shared" si="66"/>
        <v>0</v>
      </c>
      <c r="V109" s="42">
        <f t="shared" si="67"/>
        <v>0</v>
      </c>
      <c r="W109" s="38">
        <f>IF($A109&gt;LastT,0,N109+W110/(1+Policy_Sched!$K109))</f>
        <v>0</v>
      </c>
      <c r="X109" s="38">
        <f>IF($A109&gt;LastT,0,(-Q109+X110)/(1+Policy_Sched!$K109))</f>
        <v>0</v>
      </c>
      <c r="Y109" s="38">
        <f>IF($A109&gt;LastT,0,-V109+Y110/(1+Policy_Sched!$K109))</f>
        <v>0</v>
      </c>
      <c r="Z109" s="42">
        <f t="shared" si="68"/>
        <v>0</v>
      </c>
      <c r="AA109" s="38">
        <f>IF($A109&gt;LastT,0,N109-V109-Q109/(1+Policy_Sched!$K109)+Z110/(1+Policy_Sched!$K109))</f>
        <v>0</v>
      </c>
    </row>
    <row r="110" spans="1:27" x14ac:dyDescent="0.2">
      <c r="A110" s="30">
        <f t="shared" si="69"/>
        <v>103</v>
      </c>
      <c r="B110" s="31">
        <f t="shared" si="70"/>
        <v>0</v>
      </c>
      <c r="C110" s="31">
        <f>IF($A110&gt;LastT,0,IF(AND($D$3&lt;&gt;0,$A110&gt;=T0,Policy_Sched!$B110&lt;LastAge),1+$D$3*$E$3,1))</f>
        <v>0</v>
      </c>
      <c r="D110" s="36">
        <f>IF($A110&gt;LastT,0,IF($C$3="up",MIN(Policy_Sched!$E110*(1+IF($A110&gt;=T0,$E$3,0)),$F$3),IF($C$3="down",MAX(Policy_Sched!$E110*(1-IF($A110&gt;=T0,$E$3,0)),Policy_Sched!$E110-$F$3),Policy_Sched!$E110)))</f>
        <v>0</v>
      </c>
      <c r="E110" s="37">
        <f t="shared" si="71"/>
        <v>0</v>
      </c>
      <c r="F110" s="37">
        <f t="shared" si="54"/>
        <v>0</v>
      </c>
      <c r="G110" s="37">
        <f t="shared" si="55"/>
        <v>0</v>
      </c>
      <c r="H110" s="37">
        <f t="shared" si="56"/>
        <v>0</v>
      </c>
      <c r="I110" s="37">
        <f t="shared" si="57"/>
        <v>0</v>
      </c>
      <c r="J110" s="37">
        <f t="shared" si="58"/>
        <v>0</v>
      </c>
      <c r="K110" s="37">
        <f>IF($A110&gt;LastT,0,J110*Policy_Sched!$C110*Policy_Sched!$D110*C110)</f>
        <v>0</v>
      </c>
      <c r="L110" s="41">
        <f t="shared" si="59"/>
        <v>0</v>
      </c>
      <c r="M110" s="38">
        <f t="shared" si="60"/>
        <v>0</v>
      </c>
      <c r="N110" s="38">
        <f t="shared" si="61"/>
        <v>0</v>
      </c>
      <c r="O110" s="38">
        <f t="shared" si="62"/>
        <v>0</v>
      </c>
      <c r="P110" s="38">
        <f>Policy_Sched!$I110*(L110+I110)</f>
        <v>0</v>
      </c>
      <c r="Q110" s="42">
        <f t="shared" si="63"/>
        <v>0</v>
      </c>
      <c r="R110" s="38">
        <f t="shared" si="64"/>
        <v>0</v>
      </c>
      <c r="S110" s="38">
        <f t="shared" si="65"/>
        <v>0</v>
      </c>
      <c r="T110" s="38">
        <f>Policy_Sched!$J110*J110</f>
        <v>0</v>
      </c>
      <c r="U110" s="42">
        <f t="shared" si="66"/>
        <v>0</v>
      </c>
      <c r="V110" s="42">
        <f t="shared" si="67"/>
        <v>0</v>
      </c>
      <c r="W110" s="38">
        <f>IF($A110&gt;LastT,0,N110+W111/(1+Policy_Sched!$K110))</f>
        <v>0</v>
      </c>
      <c r="X110" s="38">
        <f>IF($A110&gt;LastT,0,(-Q110+X111)/(1+Policy_Sched!$K110))</f>
        <v>0</v>
      </c>
      <c r="Y110" s="38">
        <f>IF($A110&gt;LastT,0,-V110+Y111/(1+Policy_Sched!$K110))</f>
        <v>0</v>
      </c>
      <c r="Z110" s="42">
        <f t="shared" si="68"/>
        <v>0</v>
      </c>
      <c r="AA110" s="38">
        <f>IF($A110&gt;LastT,0,N110-V110-Q110/(1+Policy_Sched!$K110)+Z111/(1+Policy_Sched!$K110))</f>
        <v>0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AA110"/>
  <sheetViews>
    <sheetView workbookViewId="0">
      <pane xSplit="1" ySplit="6" topLeftCell="B7" activePane="bottomRight" state="frozen"/>
      <selection pane="topRight"/>
      <selection pane="bottomLeft"/>
      <selection pane="bottomRight"/>
    </sheetView>
  </sheetViews>
  <sheetFormatPr baseColWidth="10" defaultColWidth="8.83203125" defaultRowHeight="15" x14ac:dyDescent="0.2"/>
  <cols>
    <col min="1" max="1" width="5" customWidth="1"/>
    <col min="2" max="2" width="10" customWidth="1"/>
    <col min="3" max="5" width="11" customWidth="1"/>
    <col min="6" max="6" width="10" customWidth="1"/>
    <col min="7" max="7" width="11" customWidth="1"/>
    <col min="8" max="9" width="10" customWidth="1"/>
    <col min="10" max="13" width="11" customWidth="1"/>
    <col min="14" max="17" width="12" customWidth="1"/>
    <col min="18" max="21" width="11" customWidth="1"/>
    <col min="22" max="22" width="12" customWidth="1"/>
    <col min="23" max="27" width="13" customWidth="1"/>
  </cols>
  <sheetData>
    <row r="1" spans="1:27" x14ac:dyDescent="0.2">
      <c r="A1" s="3" t="s">
        <v>404</v>
      </c>
    </row>
    <row r="2" spans="1:27" x14ac:dyDescent="0.2">
      <c r="B2" s="39" t="s">
        <v>334</v>
      </c>
      <c r="C2" s="39" t="s">
        <v>335</v>
      </c>
      <c r="D2" s="39" t="s">
        <v>336</v>
      </c>
      <c r="E2" s="39" t="s">
        <v>337</v>
      </c>
      <c r="F2" s="39" t="s">
        <v>338</v>
      </c>
      <c r="G2" s="39" t="s">
        <v>339</v>
      </c>
    </row>
    <row r="3" spans="1:27" x14ac:dyDescent="0.2">
      <c r="B3" s="7" t="s">
        <v>400</v>
      </c>
      <c r="C3" s="7" t="s">
        <v>405</v>
      </c>
      <c r="D3" s="7">
        <v>0</v>
      </c>
      <c r="E3" s="34">
        <f>IFERROR(INDEX(FactorVals,MATCH($B$3&amp;"|"&amp;$C$3&amp;"||",FactorKeys,0)),0)</f>
        <v>0.4</v>
      </c>
      <c r="F3" s="34">
        <f>IFERROR(INDEX(FactorVals,MATCH($B$3&amp;"|"&amp;$C$3&amp;"||limit",FactorKeys,0)),0)</f>
        <v>0</v>
      </c>
      <c r="G3" s="34">
        <f>IFERROR(INDEX(FactorVals,MATCH($B$3&amp;"|||inflation",FactorKeys,0)),0)</f>
        <v>0</v>
      </c>
    </row>
    <row r="4" spans="1:27" x14ac:dyDescent="0.2">
      <c r="B4" s="14" t="s">
        <v>334</v>
      </c>
      <c r="C4" s="14" t="s">
        <v>335</v>
      </c>
      <c r="E4" s="14" t="s">
        <v>341</v>
      </c>
    </row>
    <row r="5" spans="1:27" x14ac:dyDescent="0.2">
      <c r="A5" s="10" t="s">
        <v>185</v>
      </c>
      <c r="B5" s="10" t="s">
        <v>342</v>
      </c>
      <c r="C5" s="10" t="s">
        <v>343</v>
      </c>
      <c r="D5" s="10" t="s">
        <v>344</v>
      </c>
      <c r="E5" s="10" t="s">
        <v>345</v>
      </c>
      <c r="F5" s="10" t="s">
        <v>346</v>
      </c>
      <c r="G5" s="10" t="s">
        <v>347</v>
      </c>
      <c r="H5" s="10" t="s">
        <v>348</v>
      </c>
      <c r="I5" s="10" t="s">
        <v>349</v>
      </c>
      <c r="J5" s="10" t="s">
        <v>350</v>
      </c>
      <c r="K5" s="10" t="s">
        <v>351</v>
      </c>
      <c r="L5" s="10" t="s">
        <v>352</v>
      </c>
      <c r="M5" s="10" t="s">
        <v>353</v>
      </c>
      <c r="N5" s="10" t="s">
        <v>354</v>
      </c>
      <c r="O5" s="10" t="s">
        <v>355</v>
      </c>
      <c r="P5" s="10" t="s">
        <v>356</v>
      </c>
      <c r="Q5" s="10" t="s">
        <v>357</v>
      </c>
      <c r="R5" s="10" t="s">
        <v>358</v>
      </c>
      <c r="S5" s="10" t="s">
        <v>359</v>
      </c>
      <c r="T5" s="10" t="s">
        <v>360</v>
      </c>
      <c r="U5" s="10" t="s">
        <v>361</v>
      </c>
      <c r="V5" s="10" t="s">
        <v>362</v>
      </c>
      <c r="W5" s="10" t="s">
        <v>363</v>
      </c>
      <c r="X5" s="10" t="s">
        <v>364</v>
      </c>
      <c r="Y5" s="10" t="s">
        <v>365</v>
      </c>
      <c r="Z5" s="10" t="s">
        <v>366</v>
      </c>
      <c r="AA5" s="10" t="s">
        <v>367</v>
      </c>
    </row>
    <row r="6" spans="1:27" x14ac:dyDescent="0.2">
      <c r="A6" s="14" t="s">
        <v>185</v>
      </c>
      <c r="B6" s="14" t="s">
        <v>368</v>
      </c>
      <c r="C6" s="14" t="s">
        <v>369</v>
      </c>
      <c r="D6" s="14" t="s">
        <v>327</v>
      </c>
      <c r="E6" s="14" t="s">
        <v>370</v>
      </c>
      <c r="F6" s="14" t="s">
        <v>371</v>
      </c>
      <c r="G6" s="14" t="s">
        <v>372</v>
      </c>
      <c r="H6" s="14" t="s">
        <v>373</v>
      </c>
      <c r="I6" s="14" t="s">
        <v>374</v>
      </c>
      <c r="J6" s="14" t="s">
        <v>375</v>
      </c>
      <c r="K6" s="14" t="s">
        <v>376</v>
      </c>
      <c r="L6" s="14" t="s">
        <v>377</v>
      </c>
      <c r="M6" s="14" t="s">
        <v>378</v>
      </c>
      <c r="N6" s="14" t="s">
        <v>379</v>
      </c>
      <c r="O6" s="14" t="s">
        <v>380</v>
      </c>
      <c r="P6" s="14" t="s">
        <v>381</v>
      </c>
      <c r="Q6" s="14" t="s">
        <v>382</v>
      </c>
      <c r="R6" s="14" t="s">
        <v>383</v>
      </c>
      <c r="S6" s="14" t="s">
        <v>384</v>
      </c>
      <c r="T6" s="14" t="s">
        <v>385</v>
      </c>
      <c r="U6" s="14" t="s">
        <v>386</v>
      </c>
      <c r="V6" s="14" t="s">
        <v>387</v>
      </c>
      <c r="W6" s="14" t="s">
        <v>388</v>
      </c>
      <c r="X6" s="14" t="s">
        <v>389</v>
      </c>
      <c r="Y6" s="14" t="s">
        <v>390</v>
      </c>
      <c r="Z6" s="14" t="s">
        <v>391</v>
      </c>
      <c r="AA6" s="14" t="s">
        <v>392</v>
      </c>
    </row>
    <row r="7" spans="1:27" x14ac:dyDescent="0.2">
      <c r="A7" s="30">
        <v>0</v>
      </c>
      <c r="B7" s="40">
        <f>1</f>
        <v>1</v>
      </c>
      <c r="C7" s="31">
        <f>IF($A7&gt;LastT,0,IF(AND($D$3&lt;&gt;0,$A7&gt;=T0,Policy_Sched!$B7&lt;LastAge),1+$D$3*$E$3,1))</f>
        <v>1</v>
      </c>
      <c r="D7" s="36">
        <f>IF($A7&gt;LastT,0,IF($C$3="up",MIN(Policy_Sched!$E7*(1+IF($A7&gt;=T0,$E$3,0)),$F$3),IF($C$3="down",MAX(Policy_Sched!$E7*(1-IF($A7&gt;=T0,$E$3,0)),Policy_Sched!$E7-$F$3),Policy_Sched!$E7)))</f>
        <v>0.08</v>
      </c>
      <c r="E7" s="41">
        <f>0</f>
        <v>0</v>
      </c>
      <c r="F7" s="37">
        <f t="shared" ref="F7:F38" si="0">IF($A7&gt;LastT,0,IF($A7=PolicyTerm,E7,0))</f>
        <v>0</v>
      </c>
      <c r="G7" s="37">
        <f t="shared" ref="G7:G38" si="1">IF($A7&gt;LastT,0,E7-F7)</f>
        <v>0</v>
      </c>
      <c r="H7" s="37">
        <f t="shared" ref="H7:H38" si="2">IF($A7=0,PolicyCount,0)</f>
        <v>1</v>
      </c>
      <c r="I7" s="37">
        <f t="shared" ref="I7:I38" si="3">IF($A7&gt;LastT,0,IF(AND($C$3="mass",$A7=T0),(G7+H7)*$E$3,0))</f>
        <v>0.4</v>
      </c>
      <c r="J7" s="37">
        <f t="shared" ref="J7:J38" si="4">IF($A7&gt;LastT,0,G7+H7-I7)</f>
        <v>0.6</v>
      </c>
      <c r="K7" s="37">
        <f>IF($A7&gt;LastT,0,J7*Policy_Sched!$C7*Policy_Sched!$D7*C7)</f>
        <v>3.2339999999999995E-4</v>
      </c>
      <c r="L7" s="41">
        <f t="shared" ref="L7:L38" si="5">J7*D7</f>
        <v>4.8000000000000001E-2</v>
      </c>
      <c r="M7" s="38">
        <f t="shared" ref="M7:M38" si="6">IF($A7&gt;LastT,0,(SizeAnnPrem*ExpsMaintAnnPrem+(SumAssured*ExpsMaintSA+ExpsMaintPol)*B7)*(1+IF($B$3="exps",$E$3,0)))</f>
        <v>1035.7416990934148</v>
      </c>
      <c r="N7" s="38">
        <f t="shared" ref="N7:N38" si="7">SizePremium*J7</f>
        <v>2144.5019456048885</v>
      </c>
      <c r="O7" s="38">
        <f t="shared" ref="O7:O38" si="8">SumAssured*K7</f>
        <v>323.39999999999992</v>
      </c>
      <c r="P7" s="38">
        <f>Policy_Sched!$I7*(L7+I7)</f>
        <v>100.23314874274692</v>
      </c>
      <c r="Q7" s="42">
        <f t="shared" ref="Q7:Q38" si="9">O7+P7</f>
        <v>423.63314874274681</v>
      </c>
      <c r="R7" s="38">
        <f t="shared" ref="R7:R38" si="10">IF($A7=0,SizeExpsAcq0*H7,0)</f>
        <v>3357.4169909341481</v>
      </c>
      <c r="S7" s="38">
        <f t="shared" ref="S7:S38" si="11">IF($A7=0,SizeExpsCommInit0*J7,0)</f>
        <v>428.90038912097771</v>
      </c>
      <c r="T7" s="38">
        <f>Policy_Sched!$J7*J7</f>
        <v>0</v>
      </c>
      <c r="U7" s="42">
        <f t="shared" ref="U7:U38" si="12">M7*J7</f>
        <v>621.44501945604884</v>
      </c>
      <c r="V7" s="42">
        <f t="shared" ref="V7:V38" si="13">S7+T7+R7+U7</f>
        <v>4407.7623995111744</v>
      </c>
      <c r="W7" s="38">
        <f>IF($A7&gt;LastT,0,N7+W8/(1+Policy_Sched!$K7))</f>
        <v>17596.873705490951</v>
      </c>
      <c r="X7" s="38">
        <f>IF($A7&gt;LastT,0,(-Q7+X8)/(1+Policy_Sched!$K7))</f>
        <v>-4432.9653321564092</v>
      </c>
      <c r="Y7" s="38">
        <f>IF($A7&gt;LastT,0,-V7+Y8/(1+Policy_Sched!$K7))</f>
        <v>-9222.635500920107</v>
      </c>
      <c r="Z7" s="42">
        <f t="shared" ref="Z7:Z38" si="14">W7+Y7+X7</f>
        <v>3941.2728724144345</v>
      </c>
      <c r="AA7" s="38">
        <f>IF($A7&gt;LastT,0,N7-V7-Q7/(1+Policy_Sched!$K7)+Z8/(1+Policy_Sched!$K7))</f>
        <v>3941.2728724144381</v>
      </c>
    </row>
    <row r="8" spans="1:27" x14ac:dyDescent="0.2">
      <c r="A8" s="30">
        <f t="shared" ref="A8:A39" si="15">A7+1</f>
        <v>1</v>
      </c>
      <c r="B8" s="31">
        <f t="shared" ref="B8:B39" si="16">IF($A8&gt;LastT,0,IF($B$3="exps",B7*(1+InflRate+IF($A8&gt;=T0,$G$3,0)),B7/(1+InflRate)))</f>
        <v>1</v>
      </c>
      <c r="C8" s="31">
        <f>IF($A8&gt;LastT,0,IF(AND($D$3&lt;&gt;0,$A8&gt;=T0,Policy_Sched!$B8&lt;LastAge),1+$D$3*$E$3,1))</f>
        <v>1</v>
      </c>
      <c r="D8" s="36">
        <f>IF($A8&gt;LastT,0,IF($C$3="up",MIN(Policy_Sched!$E8*(1+IF($A8&gt;=T0,$E$3,0)),$F$3),IF($C$3="down",MAX(Policy_Sched!$E8*(1-IF($A8&gt;=T0,$E$3,0)),Policy_Sched!$E8-$F$3),Policy_Sched!$E8)))</f>
        <v>0.08</v>
      </c>
      <c r="E8" s="37">
        <f t="shared" ref="E8:E39" si="17">IF($A8&gt;LastT,0,J7-K7-L7)</f>
        <v>0.55167659999999996</v>
      </c>
      <c r="F8" s="37">
        <f t="shared" si="0"/>
        <v>0</v>
      </c>
      <c r="G8" s="37">
        <f t="shared" si="1"/>
        <v>0.55167659999999996</v>
      </c>
      <c r="H8" s="37">
        <f t="shared" si="2"/>
        <v>0</v>
      </c>
      <c r="I8" s="37">
        <f t="shared" si="3"/>
        <v>0</v>
      </c>
      <c r="J8" s="37">
        <f t="shared" si="4"/>
        <v>0.55167659999999996</v>
      </c>
      <c r="K8" s="37">
        <f>IF($A8&gt;LastT,0,J8*Policy_Sched!$C8*Policy_Sched!$D8*C8)</f>
        <v>3.1666236839999996E-4</v>
      </c>
      <c r="L8" s="41">
        <f t="shared" si="5"/>
        <v>4.4134127999999995E-2</v>
      </c>
      <c r="M8" s="38">
        <f t="shared" si="6"/>
        <v>1035.7416990934148</v>
      </c>
      <c r="N8" s="38">
        <f t="shared" si="7"/>
        <v>1971.7859034078162</v>
      </c>
      <c r="O8" s="38">
        <f t="shared" si="8"/>
        <v>316.66236839999993</v>
      </c>
      <c r="P8" s="38">
        <f>Policy_Sched!$I8*(L8+I8)</f>
        <v>28.807379336280668</v>
      </c>
      <c r="Q8" s="42">
        <f t="shared" si="9"/>
        <v>345.46974773628062</v>
      </c>
      <c r="R8" s="38">
        <f t="shared" si="10"/>
        <v>0</v>
      </c>
      <c r="S8" s="38">
        <f t="shared" si="11"/>
        <v>0</v>
      </c>
      <c r="T8" s="38">
        <f>Policy_Sched!$J8*J8</f>
        <v>98.589295170390812</v>
      </c>
      <c r="U8" s="42">
        <f t="shared" si="12"/>
        <v>571.39445903407807</v>
      </c>
      <c r="V8" s="42">
        <f t="shared" si="13"/>
        <v>669.98375420446882</v>
      </c>
      <c r="W8" s="38">
        <f>IF($A8&gt;LastT,0,N8+W9/(1+Policy_Sched!$K8))</f>
        <v>15684.157336284354</v>
      </c>
      <c r="X8" s="38">
        <f>IF($A8&gt;LastT,0,(-Q8+X9)/(1+Policy_Sched!$K8))</f>
        <v>-4075.8266633960084</v>
      </c>
      <c r="Y8" s="38">
        <f>IF($A8&gt;LastT,0,-V8+Y9/(1+Policy_Sched!$K8))</f>
        <v>-4887.0961979300655</v>
      </c>
      <c r="Z8" s="42">
        <f t="shared" si="14"/>
        <v>6721.2344749582808</v>
      </c>
      <c r="AA8" s="38">
        <f>IF($A8&gt;LastT,0,N8-V8-Q8/(1+Policy_Sched!$K8)+Z9/(1+Policy_Sched!$K8))</f>
        <v>6721.2344749582817</v>
      </c>
    </row>
    <row r="9" spans="1:27" x14ac:dyDescent="0.2">
      <c r="A9" s="30">
        <f t="shared" si="15"/>
        <v>2</v>
      </c>
      <c r="B9" s="31">
        <f t="shared" si="16"/>
        <v>1</v>
      </c>
      <c r="C9" s="31">
        <f>IF($A9&gt;LastT,0,IF(AND($D$3&lt;&gt;0,$A9&gt;=T0,Policy_Sched!$B9&lt;LastAge),1+$D$3*$E$3,1))</f>
        <v>1</v>
      </c>
      <c r="D9" s="36">
        <f>IF($A9&gt;LastT,0,IF($C$3="up",MIN(Policy_Sched!$E9*(1+IF($A9&gt;=T0,$E$3,0)),$F$3),IF($C$3="down",MAX(Policy_Sched!$E9*(1-IF($A9&gt;=T0,$E$3,0)),Policy_Sched!$E9-$F$3),Policy_Sched!$E9)))</f>
        <v>0.08</v>
      </c>
      <c r="E9" s="37">
        <f t="shared" si="17"/>
        <v>0.50722580963160002</v>
      </c>
      <c r="F9" s="37">
        <f t="shared" si="0"/>
        <v>0</v>
      </c>
      <c r="G9" s="37">
        <f t="shared" si="1"/>
        <v>0.50722580963160002</v>
      </c>
      <c r="H9" s="37">
        <f t="shared" si="2"/>
        <v>0</v>
      </c>
      <c r="I9" s="37">
        <f t="shared" si="3"/>
        <v>0</v>
      </c>
      <c r="J9" s="37">
        <f t="shared" si="4"/>
        <v>0.50722580963160002</v>
      </c>
      <c r="K9" s="37">
        <f>IF($A9&gt;LastT,0,J9*Policy_Sched!$C9*Policy_Sched!$D9*C9)</f>
        <v>3.1245109873306561E-4</v>
      </c>
      <c r="L9" s="41">
        <f t="shared" si="5"/>
        <v>4.0578064770528E-2</v>
      </c>
      <c r="M9" s="38">
        <f t="shared" si="6"/>
        <v>1035.7416990934148</v>
      </c>
      <c r="N9" s="38">
        <f t="shared" si="7"/>
        <v>1812.9112260266352</v>
      </c>
      <c r="O9" s="38">
        <f t="shared" si="8"/>
        <v>312.45109873306563</v>
      </c>
      <c r="P9" s="38">
        <f>Policy_Sched!$I9*(L9+I9)</f>
        <v>42.165785199415048</v>
      </c>
      <c r="Q9" s="42">
        <f t="shared" si="9"/>
        <v>354.61688393248068</v>
      </c>
      <c r="R9" s="38">
        <f t="shared" si="10"/>
        <v>0</v>
      </c>
      <c r="S9" s="38">
        <f t="shared" si="11"/>
        <v>0</v>
      </c>
      <c r="T9" s="38">
        <f>Policy_Sched!$J9*J9</f>
        <v>90.645561301331753</v>
      </c>
      <c r="U9" s="42">
        <f t="shared" si="12"/>
        <v>525.35492189186641</v>
      </c>
      <c r="V9" s="42">
        <f t="shared" si="13"/>
        <v>616.00048319319819</v>
      </c>
      <c r="W9" s="38">
        <f>IF($A9&gt;LastT,0,N9+W10/(1+Policy_Sched!$K9))</f>
        <v>13918.057004369684</v>
      </c>
      <c r="X9" s="38">
        <f>IF($A9&gt;LastT,0,(-Q9+X10)/(1+Policy_Sched!$K9))</f>
        <v>-3791.4943156106674</v>
      </c>
      <c r="Y9" s="38">
        <f>IF($A9&gt;LastT,0,-V9+Y10/(1+Policy_Sched!$K9))</f>
        <v>-4280.3691303814803</v>
      </c>
      <c r="Z9" s="42">
        <f t="shared" si="14"/>
        <v>5846.1935583775376</v>
      </c>
      <c r="AA9" s="38">
        <f>IF($A9&gt;LastT,0,N9-V9-Q9/(1+Policy_Sched!$K9)+Z10/(1+Policy_Sched!$K9))</f>
        <v>5846.1935583775357</v>
      </c>
    </row>
    <row r="10" spans="1:27" x14ac:dyDescent="0.2">
      <c r="A10" s="30">
        <f t="shared" si="15"/>
        <v>3</v>
      </c>
      <c r="B10" s="31">
        <f t="shared" si="16"/>
        <v>1</v>
      </c>
      <c r="C10" s="31">
        <f>IF($A10&gt;LastT,0,IF(AND($D$3&lt;&gt;0,$A10&gt;=T0,Policy_Sched!$B10&lt;LastAge),1+$D$3*$E$3,1))</f>
        <v>1</v>
      </c>
      <c r="D10" s="36">
        <f>IF($A10&gt;LastT,0,IF($C$3="up",MIN(Policy_Sched!$E10*(1+IF($A10&gt;=T0,$E$3,0)),$F$3),IF($C$3="down",MAX(Policy_Sched!$E10*(1-IF($A10&gt;=T0,$E$3,0)),Policy_Sched!$E10-$F$3),Policy_Sched!$E10)))</f>
        <v>0.08</v>
      </c>
      <c r="E10" s="37">
        <f t="shared" si="17"/>
        <v>0.46633529376233901</v>
      </c>
      <c r="F10" s="37">
        <f t="shared" si="0"/>
        <v>0</v>
      </c>
      <c r="G10" s="37">
        <f t="shared" si="1"/>
        <v>0.46633529376233901</v>
      </c>
      <c r="H10" s="37">
        <f t="shared" si="2"/>
        <v>0</v>
      </c>
      <c r="I10" s="37">
        <f t="shared" si="3"/>
        <v>0</v>
      </c>
      <c r="J10" s="37">
        <f t="shared" si="4"/>
        <v>0.46633529376233901</v>
      </c>
      <c r="K10" s="37">
        <f>IF($A10&gt;LastT,0,J10*Policy_Sched!$C10*Policy_Sched!$D10*C10)</f>
        <v>3.0031992918294631E-4</v>
      </c>
      <c r="L10" s="41">
        <f t="shared" si="5"/>
        <v>3.7306823500987123E-2</v>
      </c>
      <c r="M10" s="38">
        <f t="shared" si="6"/>
        <v>1035.7416990934148</v>
      </c>
      <c r="N10" s="38">
        <f t="shared" si="7"/>
        <v>1666.761574629272</v>
      </c>
      <c r="O10" s="38">
        <f t="shared" si="8"/>
        <v>300.31992918294628</v>
      </c>
      <c r="P10" s="38">
        <f>Policy_Sched!$I10*(L10+I10)</f>
        <v>51.734940908217297</v>
      </c>
      <c r="Q10" s="42">
        <f t="shared" si="9"/>
        <v>352.05487009116359</v>
      </c>
      <c r="R10" s="38">
        <f t="shared" si="10"/>
        <v>0</v>
      </c>
      <c r="S10" s="38">
        <f t="shared" si="11"/>
        <v>0</v>
      </c>
      <c r="T10" s="38">
        <f>Policy_Sched!$J10*J10</f>
        <v>83.338078731463597</v>
      </c>
      <c r="U10" s="42">
        <f t="shared" si="12"/>
        <v>483.00290950863172</v>
      </c>
      <c r="V10" s="42">
        <f t="shared" si="13"/>
        <v>566.34098824009527</v>
      </c>
      <c r="W10" s="38">
        <f>IF($A10&gt;LastT,0,N10+W11/(1+Policy_Sched!$K10))</f>
        <v>12286.722965018193</v>
      </c>
      <c r="X10" s="38">
        <f>IF($A10&gt;LastT,0,(-Q10+X11)/(1+Policy_Sched!$K10))</f>
        <v>-3493.7498464123464</v>
      </c>
      <c r="Y10" s="38">
        <f>IF($A10&gt;LastT,0,-V10+Y11/(1+Policy_Sched!$K10))</f>
        <v>-3719.3341768961063</v>
      </c>
      <c r="Z10" s="42">
        <f t="shared" si="14"/>
        <v>5073.6389417097407</v>
      </c>
      <c r="AA10" s="38">
        <f>IF($A10&gt;LastT,0,N10-V10-Q10/(1+Policy_Sched!$K10)+Z11/(1+Policy_Sched!$K10))</f>
        <v>5073.6389417097389</v>
      </c>
    </row>
    <row r="11" spans="1:27" x14ac:dyDescent="0.2">
      <c r="A11" s="30">
        <f t="shared" si="15"/>
        <v>4</v>
      </c>
      <c r="B11" s="31">
        <f t="shared" si="16"/>
        <v>1</v>
      </c>
      <c r="C11" s="31">
        <f>IF($A11&gt;LastT,0,IF(AND($D$3&lt;&gt;0,$A11&gt;=T0,Policy_Sched!$B11&lt;LastAge),1+$D$3*$E$3,1))</f>
        <v>1</v>
      </c>
      <c r="D11" s="36">
        <f>IF($A11&gt;LastT,0,IF($C$3="up",MIN(Policy_Sched!$E11*(1+IF($A11&gt;=T0,$E$3,0)),$F$3),IF($C$3="down",MAX(Policy_Sched!$E11*(1-IF($A11&gt;=T0,$E$3,0)),Policy_Sched!$E11-$F$3),Policy_Sched!$E11)))</f>
        <v>0.08</v>
      </c>
      <c r="E11" s="37">
        <f t="shared" si="17"/>
        <v>0.42872815033216893</v>
      </c>
      <c r="F11" s="37">
        <f t="shared" si="0"/>
        <v>0</v>
      </c>
      <c r="G11" s="37">
        <f t="shared" si="1"/>
        <v>0.42872815033216893</v>
      </c>
      <c r="H11" s="37">
        <f t="shared" si="2"/>
        <v>0</v>
      </c>
      <c r="I11" s="37">
        <f t="shared" si="3"/>
        <v>0</v>
      </c>
      <c r="J11" s="37">
        <f t="shared" si="4"/>
        <v>0.42872815033216893</v>
      </c>
      <c r="K11" s="37">
        <f>IF($A11&gt;LastT,0,J11*Policy_Sched!$C11*Policy_Sched!$D11*C11)</f>
        <v>2.851042199708923E-4</v>
      </c>
      <c r="L11" s="41">
        <f t="shared" si="5"/>
        <v>3.4298252026573516E-2</v>
      </c>
      <c r="M11" s="38">
        <f t="shared" si="6"/>
        <v>1035.7416990934148</v>
      </c>
      <c r="N11" s="38">
        <f t="shared" si="7"/>
        <v>1532.3472542048689</v>
      </c>
      <c r="O11" s="38">
        <f t="shared" si="8"/>
        <v>285.1042199708923</v>
      </c>
      <c r="P11" s="38">
        <f>Policy_Sched!$I11*(L11+I11)</f>
        <v>58.636747762789511</v>
      </c>
      <c r="Q11" s="42">
        <f t="shared" si="9"/>
        <v>343.74096773368183</v>
      </c>
      <c r="R11" s="38">
        <f t="shared" si="10"/>
        <v>0</v>
      </c>
      <c r="S11" s="38">
        <f t="shared" si="11"/>
        <v>0</v>
      </c>
      <c r="T11" s="38">
        <f>Policy_Sched!$J11*J11</f>
        <v>76.617362710243455</v>
      </c>
      <c r="U11" s="42">
        <f t="shared" si="12"/>
        <v>444.05162287421763</v>
      </c>
      <c r="V11" s="42">
        <f t="shared" si="13"/>
        <v>520.6689855844611</v>
      </c>
      <c r="W11" s="38">
        <f>IF($A11&gt;LastT,0,N11+W12/(1+Policy_Sched!$K11))</f>
        <v>10779.260811244752</v>
      </c>
      <c r="X11" s="38">
        <f>IF($A11&gt;LastT,0,(-Q11+X12)/(1+Policy_Sched!$K11))</f>
        <v>-3194.1012240173677</v>
      </c>
      <c r="Y11" s="38">
        <f>IF($A11&gt;LastT,0,-V11+Y12/(1+Policy_Sched!$K11))</f>
        <v>-3200.2880864858512</v>
      </c>
      <c r="Z11" s="42">
        <f t="shared" si="14"/>
        <v>4384.871500741534</v>
      </c>
      <c r="AA11" s="38">
        <f>IF($A11&gt;LastT,0,N11-V11-Q11/(1+Policy_Sched!$K11)+Z12/(1+Policy_Sched!$K11))</f>
        <v>4384.8715007415331</v>
      </c>
    </row>
    <row r="12" spans="1:27" x14ac:dyDescent="0.2">
      <c r="A12" s="30">
        <f t="shared" si="15"/>
        <v>5</v>
      </c>
      <c r="B12" s="31">
        <f t="shared" si="16"/>
        <v>1</v>
      </c>
      <c r="C12" s="31">
        <f>IF($A12&gt;LastT,0,IF(AND($D$3&lt;&gt;0,$A12&gt;=T0,Policy_Sched!$B12&lt;LastAge),1+$D$3*$E$3,1))</f>
        <v>1</v>
      </c>
      <c r="D12" s="36">
        <f>IF($A12&gt;LastT,0,IF($C$3="up",MIN(Policy_Sched!$E12*(1+IF($A12&gt;=T0,$E$3,0)),$F$3),IF($C$3="down",MAX(Policy_Sched!$E12*(1-IF($A12&gt;=T0,$E$3,0)),Policy_Sched!$E12-$F$3),Policy_Sched!$E12)))</f>
        <v>0.08</v>
      </c>
      <c r="E12" s="37">
        <f t="shared" si="17"/>
        <v>0.39414479408562453</v>
      </c>
      <c r="F12" s="37">
        <f t="shared" si="0"/>
        <v>0</v>
      </c>
      <c r="G12" s="37">
        <f t="shared" si="1"/>
        <v>0.39414479408562453</v>
      </c>
      <c r="H12" s="37">
        <f t="shared" si="2"/>
        <v>0</v>
      </c>
      <c r="I12" s="37">
        <f t="shared" si="3"/>
        <v>0</v>
      </c>
      <c r="J12" s="37">
        <f t="shared" si="4"/>
        <v>0.39414479408562453</v>
      </c>
      <c r="K12" s="37">
        <f>IF($A12&gt;LastT,0,J12*Policy_Sched!$C12*Policy_Sched!$D12*C12)</f>
        <v>2.7314234230133775E-4</v>
      </c>
      <c r="L12" s="41">
        <f t="shared" si="5"/>
        <v>3.1531583526849961E-2</v>
      </c>
      <c r="M12" s="38">
        <f t="shared" si="6"/>
        <v>1035.7416990934148</v>
      </c>
      <c r="N12" s="38">
        <f t="shared" si="7"/>
        <v>1408.7404629444334</v>
      </c>
      <c r="O12" s="38">
        <f t="shared" si="8"/>
        <v>273.14234230133775</v>
      </c>
      <c r="P12" s="38">
        <f>Policy_Sched!$I12*(L12+I12)</f>
        <v>63.283835675167659</v>
      </c>
      <c r="Q12" s="42">
        <f t="shared" si="9"/>
        <v>336.42617797650541</v>
      </c>
      <c r="R12" s="38">
        <f t="shared" si="10"/>
        <v>0</v>
      </c>
      <c r="S12" s="38">
        <f t="shared" si="11"/>
        <v>0</v>
      </c>
      <c r="T12" s="38">
        <f>Policy_Sched!$J12*J12</f>
        <v>0</v>
      </c>
      <c r="U12" s="42">
        <f t="shared" si="12"/>
        <v>408.23219871506888</v>
      </c>
      <c r="V12" s="42">
        <f t="shared" si="13"/>
        <v>408.23219871506888</v>
      </c>
      <c r="W12" s="38">
        <f>IF($A12&gt;LastT,0,N12+W13/(1+Policy_Sched!$K12))</f>
        <v>9385.6172603954801</v>
      </c>
      <c r="X12" s="38">
        <f>IF($A12&gt;LastT,0,(-Q12+X13)/(1+Policy_Sched!$K12))</f>
        <v>-2898.2717746439462</v>
      </c>
      <c r="Y12" s="38">
        <f>IF($A12&gt;LastT,0,-V12+Y13/(1+Policy_Sched!$K12))</f>
        <v>-2719.8133874149107</v>
      </c>
      <c r="Z12" s="42">
        <f t="shared" si="14"/>
        <v>3767.5320983366232</v>
      </c>
      <c r="AA12" s="38">
        <f>IF($A12&gt;LastT,0,N12-V12-Q12/(1+Policy_Sched!$K12)+Z13/(1+Policy_Sched!$K12))</f>
        <v>3767.5320983366241</v>
      </c>
    </row>
    <row r="13" spans="1:27" x14ac:dyDescent="0.2">
      <c r="A13" s="30">
        <f t="shared" si="15"/>
        <v>6</v>
      </c>
      <c r="B13" s="31">
        <f t="shared" si="16"/>
        <v>1</v>
      </c>
      <c r="C13" s="31">
        <f>IF($A13&gt;LastT,0,IF(AND($D$3&lt;&gt;0,$A13&gt;=T0,Policy_Sched!$B13&lt;LastAge),1+$D$3*$E$3,1))</f>
        <v>1</v>
      </c>
      <c r="D13" s="36">
        <f>IF($A13&gt;LastT,0,IF($C$3="up",MIN(Policy_Sched!$E13*(1+IF($A13&gt;=T0,$E$3,0)),$F$3),IF($C$3="down",MAX(Policy_Sched!$E13*(1-IF($A13&gt;=T0,$E$3,0)),Policy_Sched!$E13-$F$3),Policy_Sched!$E13)))</f>
        <v>0.08</v>
      </c>
      <c r="E13" s="37">
        <f t="shared" si="17"/>
        <v>0.36234006821647319</v>
      </c>
      <c r="F13" s="37">
        <f t="shared" si="0"/>
        <v>0</v>
      </c>
      <c r="G13" s="37">
        <f t="shared" si="1"/>
        <v>0.36234006821647319</v>
      </c>
      <c r="H13" s="37">
        <f t="shared" si="2"/>
        <v>0</v>
      </c>
      <c r="I13" s="37">
        <f t="shared" si="3"/>
        <v>0</v>
      </c>
      <c r="J13" s="37">
        <f t="shared" si="4"/>
        <v>0.36234006821647319</v>
      </c>
      <c r="K13" s="37">
        <f>IF($A13&gt;LastT,0,J13*Policy_Sched!$C13*Policy_Sched!$D13*C13)</f>
        <v>2.6631995013910774E-4</v>
      </c>
      <c r="L13" s="41">
        <f t="shared" si="5"/>
        <v>2.8987205457317856E-2</v>
      </c>
      <c r="M13" s="38">
        <f t="shared" si="6"/>
        <v>1035.7416990934148</v>
      </c>
      <c r="N13" s="38">
        <f t="shared" si="7"/>
        <v>1295.064968768058</v>
      </c>
      <c r="O13" s="38">
        <f t="shared" si="8"/>
        <v>266.31995013910773</v>
      </c>
      <c r="P13" s="38">
        <f>Policy_Sched!$I13*(L13+I13)</f>
        <v>65.595799123394201</v>
      </c>
      <c r="Q13" s="42">
        <f t="shared" si="9"/>
        <v>331.91574926250195</v>
      </c>
      <c r="R13" s="38">
        <f t="shared" si="10"/>
        <v>0</v>
      </c>
      <c r="S13" s="38">
        <f t="shared" si="11"/>
        <v>0</v>
      </c>
      <c r="T13" s="38">
        <f>Policy_Sched!$J13*J13</f>
        <v>0</v>
      </c>
      <c r="U13" s="42">
        <f t="shared" si="12"/>
        <v>375.29071790415378</v>
      </c>
      <c r="V13" s="42">
        <f t="shared" si="13"/>
        <v>375.29071790415378</v>
      </c>
      <c r="W13" s="38">
        <f>IF($A13&gt;LastT,0,N13+W14/(1+Policy_Sched!$K13))</f>
        <v>8096.5299494128121</v>
      </c>
      <c r="X13" s="38">
        <f>IF($A13&gt;LastT,0,(-Q13+X14)/(1+Policy_Sched!$K13))</f>
        <v>-2605.3196732870992</v>
      </c>
      <c r="Y13" s="38">
        <f>IF($A13&gt;LastT,0,-V13+Y14/(1+Policy_Sched!$K13))</f>
        <v>-2346.2549065303392</v>
      </c>
      <c r="Z13" s="42">
        <f t="shared" si="14"/>
        <v>3144.9553695953737</v>
      </c>
      <c r="AA13" s="38">
        <f>IF($A13&gt;LastT,0,N13-V13-Q13/(1+Policy_Sched!$K13)+Z14/(1+Policy_Sched!$K13))</f>
        <v>3144.9553695953746</v>
      </c>
    </row>
    <row r="14" spans="1:27" x14ac:dyDescent="0.2">
      <c r="A14" s="30">
        <f t="shared" si="15"/>
        <v>7</v>
      </c>
      <c r="B14" s="31">
        <f t="shared" si="16"/>
        <v>1</v>
      </c>
      <c r="C14" s="31">
        <f>IF($A14&gt;LastT,0,IF(AND($D$3&lt;&gt;0,$A14&gt;=T0,Policy_Sched!$B14&lt;LastAge),1+$D$3*$E$3,1))</f>
        <v>1</v>
      </c>
      <c r="D14" s="36">
        <f>IF($A14&gt;LastT,0,IF($C$3="up",MIN(Policy_Sched!$E14*(1+IF($A14&gt;=T0,$E$3,0)),$F$3),IF($C$3="down",MAX(Policy_Sched!$E14*(1-IF($A14&gt;=T0,$E$3,0)),Policy_Sched!$E14-$F$3),Policy_Sched!$E14)))</f>
        <v>0.08</v>
      </c>
      <c r="E14" s="37">
        <f t="shared" si="17"/>
        <v>0.33308654280901623</v>
      </c>
      <c r="F14" s="37">
        <f t="shared" si="0"/>
        <v>0</v>
      </c>
      <c r="G14" s="37">
        <f t="shared" si="1"/>
        <v>0.33308654280901623</v>
      </c>
      <c r="H14" s="37">
        <f t="shared" si="2"/>
        <v>0</v>
      </c>
      <c r="I14" s="37">
        <f t="shared" si="3"/>
        <v>0</v>
      </c>
      <c r="J14" s="37">
        <f t="shared" si="4"/>
        <v>0.33308654280901623</v>
      </c>
      <c r="K14" s="37">
        <f>IF($A14&gt;LastT,0,J14*Policy_Sched!$C14*Policy_Sched!$D14*C14)</f>
        <v>2.6580306116159494E-4</v>
      </c>
      <c r="L14" s="41">
        <f t="shared" si="5"/>
        <v>2.6646923424721299E-2</v>
      </c>
      <c r="M14" s="38">
        <f t="shared" si="6"/>
        <v>1035.7416990934148</v>
      </c>
      <c r="N14" s="38">
        <f t="shared" si="7"/>
        <v>1190.5078985145688</v>
      </c>
      <c r="O14" s="38">
        <f t="shared" si="8"/>
        <v>265.80306116159494</v>
      </c>
      <c r="P14" s="38">
        <f>Policy_Sched!$I14*(L14+I14)</f>
        <v>65.30582530301136</v>
      </c>
      <c r="Q14" s="42">
        <f t="shared" si="9"/>
        <v>331.10888646460631</v>
      </c>
      <c r="R14" s="38">
        <f t="shared" si="10"/>
        <v>0</v>
      </c>
      <c r="S14" s="38">
        <f t="shared" si="11"/>
        <v>0</v>
      </c>
      <c r="T14" s="38">
        <f>Policy_Sched!$J14*J14</f>
        <v>0</v>
      </c>
      <c r="U14" s="42">
        <f t="shared" si="12"/>
        <v>344.99162179416192</v>
      </c>
      <c r="V14" s="42">
        <f t="shared" si="13"/>
        <v>344.99162179416192</v>
      </c>
      <c r="W14" s="38">
        <f>IF($A14&gt;LastT,0,N14+W15/(1+Policy_Sched!$K14))</f>
        <v>6903.4869553544249</v>
      </c>
      <c r="X14" s="38">
        <f>IF($A14&gt;LastT,0,(-Q14+X15)/(1+Policy_Sched!$K14))</f>
        <v>-2312.4837191239035</v>
      </c>
      <c r="Y14" s="38">
        <f>IF($A14&gt;LastT,0,-V14+Y15/(1+Policy_Sched!$K14))</f>
        <v>-2000.5286514555778</v>
      </c>
      <c r="Z14" s="42">
        <f t="shared" si="14"/>
        <v>2590.4745847749441</v>
      </c>
      <c r="AA14" s="38">
        <f>IF($A14&gt;LastT,0,N14-V14-Q14/(1+Policy_Sched!$K14)+Z15/(1+Policy_Sched!$K14))</f>
        <v>2590.4745847749441</v>
      </c>
    </row>
    <row r="15" spans="1:27" x14ac:dyDescent="0.2">
      <c r="A15" s="30">
        <f t="shared" si="15"/>
        <v>8</v>
      </c>
      <c r="B15" s="31">
        <f t="shared" si="16"/>
        <v>1</v>
      </c>
      <c r="C15" s="31">
        <f>IF($A15&gt;LastT,0,IF(AND($D$3&lt;&gt;0,$A15&gt;=T0,Policy_Sched!$B15&lt;LastAge),1+$D$3*$E$3,1))</f>
        <v>1</v>
      </c>
      <c r="D15" s="36">
        <f>IF($A15&gt;LastT,0,IF($C$3="up",MIN(Policy_Sched!$E15*(1+IF($A15&gt;=T0,$E$3,0)),$F$3),IF($C$3="down",MAX(Policy_Sched!$E15*(1-IF($A15&gt;=T0,$E$3,0)),Policy_Sched!$E15-$F$3),Policy_Sched!$E15)))</f>
        <v>0.08</v>
      </c>
      <c r="E15" s="37">
        <f t="shared" si="17"/>
        <v>0.30617381632313334</v>
      </c>
      <c r="F15" s="37">
        <f t="shared" si="0"/>
        <v>0</v>
      </c>
      <c r="G15" s="37">
        <f t="shared" si="1"/>
        <v>0.30617381632313334</v>
      </c>
      <c r="H15" s="37">
        <f t="shared" si="2"/>
        <v>0</v>
      </c>
      <c r="I15" s="37">
        <f t="shared" si="3"/>
        <v>0</v>
      </c>
      <c r="J15" s="37">
        <f t="shared" si="4"/>
        <v>0.30617381632313334</v>
      </c>
      <c r="K15" s="37">
        <f>IF($A15&gt;LastT,0,J15*Policy_Sched!$C15*Policy_Sched!$D15*C15)</f>
        <v>2.6790208928274167E-4</v>
      </c>
      <c r="L15" s="41">
        <f t="shared" si="5"/>
        <v>2.4493905305850668E-2</v>
      </c>
      <c r="M15" s="38">
        <f t="shared" si="6"/>
        <v>1035.7416990934148</v>
      </c>
      <c r="N15" s="38">
        <f t="shared" si="7"/>
        <v>1094.3172413303887</v>
      </c>
      <c r="O15" s="38">
        <f t="shared" si="8"/>
        <v>267.90208928274166</v>
      </c>
      <c r="P15" s="38">
        <f>Policy_Sched!$I15*(L15+I15)</f>
        <v>62.291516659994414</v>
      </c>
      <c r="Q15" s="42">
        <f t="shared" si="9"/>
        <v>330.1936059427361</v>
      </c>
      <c r="R15" s="38">
        <f t="shared" si="10"/>
        <v>0</v>
      </c>
      <c r="S15" s="38">
        <f t="shared" si="11"/>
        <v>0</v>
      </c>
      <c r="T15" s="38">
        <f>Policy_Sched!$J15*J15</f>
        <v>0</v>
      </c>
      <c r="U15" s="42">
        <f t="shared" si="12"/>
        <v>317.11698873643724</v>
      </c>
      <c r="V15" s="42">
        <f t="shared" si="13"/>
        <v>317.11698873643724</v>
      </c>
      <c r="W15" s="38">
        <f>IF($A15&gt;LastT,0,N15+W16/(1+Policy_Sched!$K15))</f>
        <v>5798.6737426924537</v>
      </c>
      <c r="X15" s="38">
        <f>IF($A15&gt;LastT,0,(-Q15+X16)/(1+Policy_Sched!$K15))</f>
        <v>-2016.0620884461555</v>
      </c>
      <c r="Y15" s="38">
        <f>IF($A15&gt;LastT,0,-V15+Y16/(1+Policy_Sched!$K15))</f>
        <v>-1680.370085106337</v>
      </c>
      <c r="Z15" s="42">
        <f t="shared" si="14"/>
        <v>2102.2415691399615</v>
      </c>
      <c r="AA15" s="38">
        <f>IF($A15&gt;LastT,0,N15-V15-Q15/(1+Policy_Sched!$K15)+Z16/(1+Policy_Sched!$K15))</f>
        <v>2102.2415691399615</v>
      </c>
    </row>
    <row r="16" spans="1:27" x14ac:dyDescent="0.2">
      <c r="A16" s="30">
        <f t="shared" si="15"/>
        <v>9</v>
      </c>
      <c r="B16" s="31">
        <f t="shared" si="16"/>
        <v>1</v>
      </c>
      <c r="C16" s="31">
        <f>IF($A16&gt;LastT,0,IF(AND($D$3&lt;&gt;0,$A16&gt;=T0,Policy_Sched!$B16&lt;LastAge),1+$D$3*$E$3,1))</f>
        <v>1</v>
      </c>
      <c r="D16" s="36">
        <f>IF($A16&gt;LastT,0,IF($C$3="up",MIN(Policy_Sched!$E16*(1+IF($A16&gt;=T0,$E$3,0)),$F$3),IF($C$3="down",MAX(Policy_Sched!$E16*(1-IF($A16&gt;=T0,$E$3,0)),Policy_Sched!$E16-$F$3),Policy_Sched!$E16)))</f>
        <v>0.08</v>
      </c>
      <c r="E16" s="37">
        <f t="shared" si="17"/>
        <v>0.28141200892799995</v>
      </c>
      <c r="F16" s="37">
        <f t="shared" si="0"/>
        <v>0</v>
      </c>
      <c r="G16" s="37">
        <f t="shared" si="1"/>
        <v>0.28141200892799995</v>
      </c>
      <c r="H16" s="37">
        <f t="shared" si="2"/>
        <v>0</v>
      </c>
      <c r="I16" s="37">
        <f t="shared" si="3"/>
        <v>0</v>
      </c>
      <c r="J16" s="37">
        <f t="shared" si="4"/>
        <v>0.28141200892799995</v>
      </c>
      <c r="K16" s="37">
        <f>IF($A16&gt;LastT,0,J16*Policy_Sched!$C16*Policy_Sched!$D16*C16)</f>
        <v>2.6790423249945596E-4</v>
      </c>
      <c r="L16" s="41">
        <f t="shared" si="5"/>
        <v>2.2512960714239996E-2</v>
      </c>
      <c r="M16" s="38">
        <f t="shared" si="6"/>
        <v>1035.7416990934148</v>
      </c>
      <c r="N16" s="38">
        <f t="shared" si="7"/>
        <v>1005.8143344377936</v>
      </c>
      <c r="O16" s="38">
        <f t="shared" si="8"/>
        <v>267.90423249945593</v>
      </c>
      <c r="P16" s="38">
        <f>Policy_Sched!$I16*(L16+I16)</f>
        <v>56.887834401925964</v>
      </c>
      <c r="Q16" s="42">
        <f t="shared" si="9"/>
        <v>324.79206690138187</v>
      </c>
      <c r="R16" s="38">
        <f t="shared" si="10"/>
        <v>0</v>
      </c>
      <c r="S16" s="38">
        <f t="shared" si="11"/>
        <v>0</v>
      </c>
      <c r="T16" s="38">
        <f>Policy_Sched!$J16*J16</f>
        <v>0</v>
      </c>
      <c r="U16" s="42">
        <f t="shared" si="12"/>
        <v>291.4701522723779</v>
      </c>
      <c r="V16" s="42">
        <f t="shared" si="13"/>
        <v>291.4701522723779</v>
      </c>
      <c r="W16" s="38">
        <f>IF($A16&gt;LastT,0,N16+W17/(1+Policy_Sched!$K16))</f>
        <v>4774.9218488824963</v>
      </c>
      <c r="X16" s="38">
        <f>IF($A16&gt;LastT,0,(-Q16+X17)/(1+Policy_Sched!$K16))</f>
        <v>-1716.1094138301116</v>
      </c>
      <c r="Y16" s="38">
        <f>IF($A16&gt;LastT,0,-V16+Y17/(1+Policy_Sched!$K16))</f>
        <v>-1383.7018928154482</v>
      </c>
      <c r="Z16" s="42">
        <f t="shared" si="14"/>
        <v>1675.1105422369362</v>
      </c>
      <c r="AA16" s="38">
        <f>IF($A16&gt;LastT,0,N16-V16-Q16/(1+Policy_Sched!$K16)+Z17/(1+Policy_Sched!$K16))</f>
        <v>1675.1105422369362</v>
      </c>
    </row>
    <row r="17" spans="1:27" x14ac:dyDescent="0.2">
      <c r="A17" s="30">
        <f t="shared" si="15"/>
        <v>10</v>
      </c>
      <c r="B17" s="31">
        <f t="shared" si="16"/>
        <v>1</v>
      </c>
      <c r="C17" s="31">
        <f>IF($A17&gt;LastT,0,IF(AND($D$3&lt;&gt;0,$A17&gt;=T0,Policy_Sched!$B17&lt;LastAge),1+$D$3*$E$3,1))</f>
        <v>1</v>
      </c>
      <c r="D17" s="36">
        <f>IF($A17&gt;LastT,0,IF($C$3="up",MIN(Policy_Sched!$E17*(1+IF($A17&gt;=T0,$E$3,0)),$F$3),IF($C$3="down",MAX(Policy_Sched!$E17*(1-IF($A17&gt;=T0,$E$3,0)),Policy_Sched!$E17-$F$3),Policy_Sched!$E17)))</f>
        <v>0.08</v>
      </c>
      <c r="E17" s="37">
        <f t="shared" si="17"/>
        <v>0.25863114398126053</v>
      </c>
      <c r="F17" s="37">
        <f t="shared" si="0"/>
        <v>0</v>
      </c>
      <c r="G17" s="37">
        <f t="shared" si="1"/>
        <v>0.25863114398126053</v>
      </c>
      <c r="H17" s="37">
        <f t="shared" si="2"/>
        <v>0</v>
      </c>
      <c r="I17" s="37">
        <f t="shared" si="3"/>
        <v>0</v>
      </c>
      <c r="J17" s="37">
        <f t="shared" si="4"/>
        <v>0.25863114398126053</v>
      </c>
      <c r="K17" s="37">
        <f>IF($A17&gt;LastT,0,J17*Policy_Sched!$C17*Policy_Sched!$D17*C17)</f>
        <v>2.6613144715671705E-4</v>
      </c>
      <c r="L17" s="41">
        <f t="shared" si="5"/>
        <v>2.0690491518500841E-2</v>
      </c>
      <c r="M17" s="38">
        <f t="shared" si="6"/>
        <v>1035.7416990934148</v>
      </c>
      <c r="N17" s="38">
        <f t="shared" si="7"/>
        <v>924.39165243638547</v>
      </c>
      <c r="O17" s="38">
        <f t="shared" si="8"/>
        <v>266.13144715671706</v>
      </c>
      <c r="P17" s="38">
        <f>Policy_Sched!$I17*(L17+I17)</f>
        <v>49.628413678219545</v>
      </c>
      <c r="Q17" s="42">
        <f t="shared" si="9"/>
        <v>315.7598608349366</v>
      </c>
      <c r="R17" s="38">
        <f t="shared" si="10"/>
        <v>0</v>
      </c>
      <c r="S17" s="38">
        <f t="shared" si="11"/>
        <v>0</v>
      </c>
      <c r="T17" s="38">
        <f>Policy_Sched!$J17*J17</f>
        <v>0</v>
      </c>
      <c r="U17" s="42">
        <f t="shared" si="12"/>
        <v>267.87506050562439</v>
      </c>
      <c r="V17" s="42">
        <f t="shared" si="13"/>
        <v>267.87506050562439</v>
      </c>
      <c r="W17" s="38">
        <f>IF($A17&gt;LastT,0,N17+W18/(1+Policy_Sched!$K17))</f>
        <v>3825.644127161373</v>
      </c>
      <c r="X17" s="38">
        <f>IF($A17&gt;LastT,0,(-Q17+X18)/(1+Policy_Sched!$K17))</f>
        <v>-1417.0589881361814</v>
      </c>
      <c r="Y17" s="38">
        <f>IF($A17&gt;LastT,0,-V17+Y18/(1+Policy_Sched!$K17))</f>
        <v>-1108.6152166512163</v>
      </c>
      <c r="Z17" s="42">
        <f t="shared" si="14"/>
        <v>1299.9699223739751</v>
      </c>
      <c r="AA17" s="38">
        <f>IF($A17&gt;LastT,0,N17-V17-Q17/(1+Policy_Sched!$K17)+Z18/(1+Policy_Sched!$K17))</f>
        <v>1299.9699223739754</v>
      </c>
    </row>
    <row r="18" spans="1:27" x14ac:dyDescent="0.2">
      <c r="A18" s="30">
        <f t="shared" si="15"/>
        <v>11</v>
      </c>
      <c r="B18" s="31">
        <f t="shared" si="16"/>
        <v>1</v>
      </c>
      <c r="C18" s="31">
        <f>IF($A18&gt;LastT,0,IF(AND($D$3&lt;&gt;0,$A18&gt;=T0,Policy_Sched!$B18&lt;LastAge),1+$D$3*$E$3,1))</f>
        <v>1</v>
      </c>
      <c r="D18" s="36">
        <f>IF($A18&gt;LastT,0,IF($C$3="up",MIN(Policy_Sched!$E18*(1+IF($A18&gt;=T0,$E$3,0)),$F$3),IF($C$3="down",MAX(Policy_Sched!$E18*(1-IF($A18&gt;=T0,$E$3,0)),Policy_Sched!$E18-$F$3),Policy_Sched!$E18)))</f>
        <v>0.08</v>
      </c>
      <c r="E18" s="37">
        <f t="shared" si="17"/>
        <v>0.23767452101560299</v>
      </c>
      <c r="F18" s="37">
        <f t="shared" si="0"/>
        <v>0</v>
      </c>
      <c r="G18" s="37">
        <f t="shared" si="1"/>
        <v>0.23767452101560299</v>
      </c>
      <c r="H18" s="37">
        <f t="shared" si="2"/>
        <v>0</v>
      </c>
      <c r="I18" s="37">
        <f t="shared" si="3"/>
        <v>0</v>
      </c>
      <c r="J18" s="37">
        <f t="shared" si="4"/>
        <v>0.23767452101560299</v>
      </c>
      <c r="K18" s="37">
        <f>IF($A18&gt;LastT,0,J18*Policy_Sched!$C18*Policy_Sched!$D18*C18)</f>
        <v>2.6453174189036612E-4</v>
      </c>
      <c r="L18" s="41">
        <f t="shared" si="5"/>
        <v>1.9013961681248241E-2</v>
      </c>
      <c r="M18" s="38">
        <f t="shared" si="6"/>
        <v>1035.7416990934148</v>
      </c>
      <c r="N18" s="38">
        <f t="shared" si="7"/>
        <v>849.48912123111768</v>
      </c>
      <c r="O18" s="38">
        <f t="shared" si="8"/>
        <v>264.53174189036611</v>
      </c>
      <c r="P18" s="38">
        <f>Policy_Sched!$I18*(L18+I18)</f>
        <v>40.873489903837815</v>
      </c>
      <c r="Q18" s="42">
        <f t="shared" si="9"/>
        <v>305.40523179420393</v>
      </c>
      <c r="R18" s="38">
        <f t="shared" si="10"/>
        <v>0</v>
      </c>
      <c r="S18" s="38">
        <f t="shared" si="11"/>
        <v>0</v>
      </c>
      <c r="T18" s="38">
        <f>Policy_Sched!$J18*J18</f>
        <v>0</v>
      </c>
      <c r="U18" s="42">
        <f t="shared" si="12"/>
        <v>246.16941222791417</v>
      </c>
      <c r="V18" s="42">
        <f t="shared" si="13"/>
        <v>246.16941222791417</v>
      </c>
      <c r="W18" s="38">
        <f>IF($A18&gt;LastT,0,N18+W19/(1+Policy_Sched!$K18))</f>
        <v>2944.7712618458622</v>
      </c>
      <c r="X18" s="38">
        <f>IF($A18&gt;LastT,0,(-Q18+X19)/(1+Policy_Sched!$K18))</f>
        <v>-1122.5550121232873</v>
      </c>
      <c r="Y18" s="38">
        <f>IF($A18&gt;LastT,0,-V18+Y19/(1+Policy_Sched!$K18))</f>
        <v>-853.35125848777579</v>
      </c>
      <c r="Z18" s="42">
        <f t="shared" si="14"/>
        <v>968.86499123479916</v>
      </c>
      <c r="AA18" s="38">
        <f>IF($A18&gt;LastT,0,N18-V18-Q18/(1+Policy_Sched!$K18)+Z19/(1+Policy_Sched!$K18))</f>
        <v>968.8649912347995</v>
      </c>
    </row>
    <row r="19" spans="1:27" x14ac:dyDescent="0.2">
      <c r="A19" s="30">
        <f t="shared" si="15"/>
        <v>12</v>
      </c>
      <c r="B19" s="31">
        <f t="shared" si="16"/>
        <v>1</v>
      </c>
      <c r="C19" s="31">
        <f>IF($A19&gt;LastT,0,IF(AND($D$3&lt;&gt;0,$A19&gt;=T0,Policy_Sched!$B19&lt;LastAge),1+$D$3*$E$3,1))</f>
        <v>1</v>
      </c>
      <c r="D19" s="36">
        <f>IF($A19&gt;LastT,0,IF($C$3="up",MIN(Policy_Sched!$E19*(1+IF($A19&gt;=T0,$E$3,0)),$F$3),IF($C$3="down",MAX(Policy_Sched!$E19*(1-IF($A19&gt;=T0,$E$3,0)),Policy_Sched!$E19-$F$3),Policy_Sched!$E19)))</f>
        <v>0.08</v>
      </c>
      <c r="E19" s="37">
        <f t="shared" si="17"/>
        <v>0.21839602759246438</v>
      </c>
      <c r="F19" s="37">
        <f t="shared" si="0"/>
        <v>0</v>
      </c>
      <c r="G19" s="37">
        <f t="shared" si="1"/>
        <v>0.21839602759246438</v>
      </c>
      <c r="H19" s="37">
        <f t="shared" si="2"/>
        <v>0</v>
      </c>
      <c r="I19" s="37">
        <f t="shared" si="3"/>
        <v>0</v>
      </c>
      <c r="J19" s="37">
        <f t="shared" si="4"/>
        <v>0.21839602759246438</v>
      </c>
      <c r="K19" s="37">
        <f>IF($A19&gt;LastT,0,J19*Policy_Sched!$C19*Policy_Sched!$D19*C19)</f>
        <v>2.6447758941447436E-4</v>
      </c>
      <c r="L19" s="41">
        <f t="shared" si="5"/>
        <v>1.747168220739715E-2</v>
      </c>
      <c r="M19" s="38">
        <f t="shared" si="6"/>
        <v>1035.7416990934148</v>
      </c>
      <c r="N19" s="38">
        <f t="shared" si="7"/>
        <v>780.58451014069794</v>
      </c>
      <c r="O19" s="38">
        <f t="shared" si="8"/>
        <v>264.47758941447438</v>
      </c>
      <c r="P19" s="38">
        <f>Policy_Sched!$I19*(L19+I19)</f>
        <v>30.766353012734921</v>
      </c>
      <c r="Q19" s="42">
        <f t="shared" si="9"/>
        <v>295.24394242720928</v>
      </c>
      <c r="R19" s="38">
        <f t="shared" si="10"/>
        <v>0</v>
      </c>
      <c r="S19" s="38">
        <f t="shared" si="11"/>
        <v>0</v>
      </c>
      <c r="T19" s="38">
        <f>Policy_Sched!$J19*J19</f>
        <v>0</v>
      </c>
      <c r="U19" s="42">
        <f t="shared" si="12"/>
        <v>226.20187269387137</v>
      </c>
      <c r="V19" s="42">
        <f t="shared" si="13"/>
        <v>226.20187269387137</v>
      </c>
      <c r="W19" s="38">
        <f>IF($A19&gt;LastT,0,N19+W20/(1+Policy_Sched!$K19))</f>
        <v>2126.7113727239657</v>
      </c>
      <c r="X19" s="38">
        <f>IF($A19&gt;LastT,0,(-Q19+X20)/(1+Policy_Sched!$K19))</f>
        <v>-833.98810551093243</v>
      </c>
      <c r="Y19" s="38">
        <f>IF($A19&gt;LastT,0,-V19+Y20/(1+Policy_Sched!$K19))</f>
        <v>-616.2895739537596</v>
      </c>
      <c r="Z19" s="42">
        <f t="shared" si="14"/>
        <v>676.4336932592737</v>
      </c>
      <c r="AA19" s="38">
        <f>IF($A19&gt;LastT,0,N19-V19-Q19/(1+Policy_Sched!$K19)+Z20/(1+Policy_Sched!$K19))</f>
        <v>676.43369325927392</v>
      </c>
    </row>
    <row r="20" spans="1:27" x14ac:dyDescent="0.2">
      <c r="A20" s="30">
        <f t="shared" si="15"/>
        <v>13</v>
      </c>
      <c r="B20" s="31">
        <f t="shared" si="16"/>
        <v>1</v>
      </c>
      <c r="C20" s="31">
        <f>IF($A20&gt;LastT,0,IF(AND($D$3&lt;&gt;0,$A20&gt;=T0,Policy_Sched!$B20&lt;LastAge),1+$D$3*$E$3,1))</f>
        <v>1</v>
      </c>
      <c r="D20" s="36">
        <f>IF($A20&gt;LastT,0,IF($C$3="up",MIN(Policy_Sched!$E20*(1+IF($A20&gt;=T0,$E$3,0)),$F$3),IF($C$3="down",MAX(Policy_Sched!$E20*(1-IF($A20&gt;=T0,$E$3,0)),Policy_Sched!$E20-$F$3),Policy_Sched!$E20)))</f>
        <v>0.08</v>
      </c>
      <c r="E20" s="37">
        <f t="shared" si="17"/>
        <v>0.20065986779565276</v>
      </c>
      <c r="F20" s="37">
        <f t="shared" si="0"/>
        <v>0</v>
      </c>
      <c r="G20" s="37">
        <f t="shared" si="1"/>
        <v>0.20065986779565276</v>
      </c>
      <c r="H20" s="37">
        <f t="shared" si="2"/>
        <v>0</v>
      </c>
      <c r="I20" s="37">
        <f t="shared" si="3"/>
        <v>0</v>
      </c>
      <c r="J20" s="37">
        <f t="shared" si="4"/>
        <v>0.20065986779565276</v>
      </c>
      <c r="K20" s="37">
        <f>IF($A20&gt;LastT,0,J20*Policy_Sched!$C20*Policy_Sched!$D20*C20)</f>
        <v>2.6687762416821814E-4</v>
      </c>
      <c r="L20" s="41">
        <f t="shared" si="5"/>
        <v>1.6052789423652222E-2</v>
      </c>
      <c r="M20" s="38">
        <f t="shared" si="6"/>
        <v>1035.7416990934148</v>
      </c>
      <c r="N20" s="38">
        <f t="shared" si="7"/>
        <v>717.19246148766172</v>
      </c>
      <c r="O20" s="38">
        <f t="shared" si="8"/>
        <v>266.87762416821812</v>
      </c>
      <c r="P20" s="38">
        <f>Policy_Sched!$I20*(L20+I20)</f>
        <v>19.303078724535311</v>
      </c>
      <c r="Q20" s="42">
        <f t="shared" si="9"/>
        <v>286.1807028927534</v>
      </c>
      <c r="R20" s="38">
        <f t="shared" si="10"/>
        <v>0</v>
      </c>
      <c r="S20" s="38">
        <f t="shared" si="11"/>
        <v>0</v>
      </c>
      <c r="T20" s="38">
        <f>Policy_Sched!$J20*J20</f>
        <v>0</v>
      </c>
      <c r="U20" s="42">
        <f t="shared" si="12"/>
        <v>207.83179241052937</v>
      </c>
      <c r="V20" s="42">
        <f t="shared" si="13"/>
        <v>207.83179241052937</v>
      </c>
      <c r="W20" s="38">
        <f>IF($A20&gt;LastT,0,N20+W21/(1+Policy_Sched!$K20))</f>
        <v>1366.3187655220167</v>
      </c>
      <c r="X20" s="38">
        <f>IF($A20&gt;LastT,0,(-Q20+X21)/(1+Policy_Sched!$K20))</f>
        <v>-551.25398466638705</v>
      </c>
      <c r="Y20" s="38">
        <f>IF($A20&gt;LastT,0,-V20+Y21/(1+Policy_Sched!$K20))</f>
        <v>-395.93901677878654</v>
      </c>
      <c r="Z20" s="42">
        <f t="shared" si="14"/>
        <v>419.12576407684321</v>
      </c>
      <c r="AA20" s="38">
        <f>IF($A20&gt;LastT,0,N20-V20-Q20/(1+Policy_Sched!$K20)+Z21/(1+Policy_Sched!$K20))</f>
        <v>419.12576407684298</v>
      </c>
    </row>
    <row r="21" spans="1:27" x14ac:dyDescent="0.2">
      <c r="A21" s="30">
        <f t="shared" si="15"/>
        <v>14</v>
      </c>
      <c r="B21" s="31">
        <f t="shared" si="16"/>
        <v>1</v>
      </c>
      <c r="C21" s="31">
        <f>IF($A21&gt;LastT,0,IF(AND($D$3&lt;&gt;0,$A21&gt;=T0,Policy_Sched!$B21&lt;LastAge),1+$D$3*$E$3,1))</f>
        <v>1</v>
      </c>
      <c r="D21" s="36">
        <f>IF($A21&gt;LastT,0,IF($C$3="up",MIN(Policy_Sched!$E21*(1+IF($A21&gt;=T0,$E$3,0)),$F$3),IF($C$3="down",MAX(Policy_Sched!$E21*(1-IF($A21&gt;=T0,$E$3,0)),Policy_Sched!$E21-$F$3),Policy_Sched!$E21)))</f>
        <v>0.08</v>
      </c>
      <c r="E21" s="37">
        <f t="shared" si="17"/>
        <v>0.18434020074783231</v>
      </c>
      <c r="F21" s="37">
        <f t="shared" si="0"/>
        <v>0</v>
      </c>
      <c r="G21" s="37">
        <f t="shared" si="1"/>
        <v>0.18434020074783231</v>
      </c>
      <c r="H21" s="37">
        <f t="shared" si="2"/>
        <v>0</v>
      </c>
      <c r="I21" s="37">
        <f t="shared" si="3"/>
        <v>0</v>
      </c>
      <c r="J21" s="37">
        <f t="shared" si="4"/>
        <v>0.18434020074783231</v>
      </c>
      <c r="K21" s="37">
        <f>IF($A21&gt;LastT,0,J21*Policy_Sched!$C21*Policy_Sched!$D21*C21)</f>
        <v>2.7098009509931344E-4</v>
      </c>
      <c r="L21" s="41">
        <f t="shared" si="5"/>
        <v>1.4747216059826585E-2</v>
      </c>
      <c r="M21" s="38">
        <f t="shared" si="6"/>
        <v>1035.7416990934148</v>
      </c>
      <c r="N21" s="38">
        <f t="shared" si="7"/>
        <v>658.86319859487014</v>
      </c>
      <c r="O21" s="38">
        <f t="shared" si="8"/>
        <v>270.98009509931342</v>
      </c>
      <c r="P21" s="38">
        <f>Policy_Sched!$I21*(L21+I21)</f>
        <v>6.4621278174703738</v>
      </c>
      <c r="Q21" s="42">
        <f t="shared" si="9"/>
        <v>277.44222291678381</v>
      </c>
      <c r="R21" s="38">
        <f t="shared" si="10"/>
        <v>0</v>
      </c>
      <c r="S21" s="38">
        <f t="shared" si="11"/>
        <v>0</v>
      </c>
      <c r="T21" s="38">
        <f>Policy_Sched!$J21*J21</f>
        <v>0</v>
      </c>
      <c r="U21" s="42">
        <f t="shared" si="12"/>
        <v>190.92883273378101</v>
      </c>
      <c r="V21" s="42">
        <f t="shared" si="13"/>
        <v>190.92883273378101</v>
      </c>
      <c r="W21" s="38">
        <f>IF($A21&gt;LastT,0,N21+W22/(1+Policy_Sched!$K21))</f>
        <v>658.86319859487014</v>
      </c>
      <c r="X21" s="38">
        <f>IF($A21&gt;LastT,0,(-Q21+X22)/(1+Policy_Sched!$K21))</f>
        <v>-273.34209154362941</v>
      </c>
      <c r="Y21" s="38">
        <f>IF($A21&gt;LastT,0,-V21+Y22/(1+Policy_Sched!$K21))</f>
        <v>-190.92883273378101</v>
      </c>
      <c r="Z21" s="42">
        <f t="shared" si="14"/>
        <v>194.59227431745973</v>
      </c>
      <c r="AA21" s="38">
        <f>IF($A21&gt;LastT,0,N21-V21-Q21/(1+Policy_Sched!$K21)+Z22/(1+Policy_Sched!$K21))</f>
        <v>194.59227431745973</v>
      </c>
    </row>
    <row r="22" spans="1:27" x14ac:dyDescent="0.2">
      <c r="A22" s="30">
        <f t="shared" si="15"/>
        <v>15</v>
      </c>
      <c r="B22" s="31">
        <f t="shared" si="16"/>
        <v>1</v>
      </c>
      <c r="C22" s="31">
        <f>IF($A22&gt;LastT,0,IF(AND($D$3&lt;&gt;0,$A22&gt;=T0,Policy_Sched!$B22&lt;LastAge),1+$D$3*$E$3,1))</f>
        <v>1</v>
      </c>
      <c r="D22" s="36">
        <f>IF($A22&gt;LastT,0,IF($C$3="up",MIN(Policy_Sched!$E22*(1+IF($A22&gt;=T0,$E$3,0)),$F$3),IF($C$3="down",MAX(Policy_Sched!$E22*(1-IF($A22&gt;=T0,$E$3,0)),Policy_Sched!$E22-$F$3),Policy_Sched!$E22)))</f>
        <v>0.08</v>
      </c>
      <c r="E22" s="37">
        <f t="shared" si="17"/>
        <v>0.16932200459290639</v>
      </c>
      <c r="F22" s="37">
        <f t="shared" si="0"/>
        <v>0.16932200459290639</v>
      </c>
      <c r="G22" s="37">
        <f t="shared" si="1"/>
        <v>0</v>
      </c>
      <c r="H22" s="37">
        <f t="shared" si="2"/>
        <v>0</v>
      </c>
      <c r="I22" s="37">
        <f t="shared" si="3"/>
        <v>0</v>
      </c>
      <c r="J22" s="37">
        <f t="shared" si="4"/>
        <v>0</v>
      </c>
      <c r="K22" s="37">
        <f>IF($A22&gt;LastT,0,J22*Policy_Sched!$C22*Policy_Sched!$D22*C22)</f>
        <v>0</v>
      </c>
      <c r="L22" s="41">
        <f t="shared" si="5"/>
        <v>0</v>
      </c>
      <c r="M22" s="38">
        <f t="shared" si="6"/>
        <v>1035.7416990934148</v>
      </c>
      <c r="N22" s="38">
        <f t="shared" si="7"/>
        <v>0</v>
      </c>
      <c r="O22" s="38">
        <f t="shared" si="8"/>
        <v>0</v>
      </c>
      <c r="P22" s="38">
        <f>Policy_Sched!$I22*(L22+I22)</f>
        <v>0</v>
      </c>
      <c r="Q22" s="42">
        <f t="shared" si="9"/>
        <v>0</v>
      </c>
      <c r="R22" s="38">
        <f t="shared" si="10"/>
        <v>0</v>
      </c>
      <c r="S22" s="38">
        <f t="shared" si="11"/>
        <v>0</v>
      </c>
      <c r="T22" s="38">
        <f>Policy_Sched!$J22*J22</f>
        <v>0</v>
      </c>
      <c r="U22" s="42">
        <f t="shared" si="12"/>
        <v>0</v>
      </c>
      <c r="V22" s="42">
        <f t="shared" si="13"/>
        <v>0</v>
      </c>
      <c r="W22" s="38">
        <f>IF($A22&gt;LastT,0,N22+W23/(1+Policy_Sched!$K22))</f>
        <v>0</v>
      </c>
      <c r="X22" s="38">
        <f>IF($A22&gt;LastT,0,(-Q22+X23)/(1+Policy_Sched!$K22))</f>
        <v>0</v>
      </c>
      <c r="Y22" s="38">
        <f>IF($A22&gt;LastT,0,-V22+Y23/(1+Policy_Sched!$K22))</f>
        <v>0</v>
      </c>
      <c r="Z22" s="42">
        <f t="shared" si="14"/>
        <v>0</v>
      </c>
      <c r="AA22" s="38">
        <f>IF($A22&gt;LastT,0,N22-V22-Q22/(1+Policy_Sched!$K22)+Z23/(1+Policy_Sched!$K22))</f>
        <v>0</v>
      </c>
    </row>
    <row r="23" spans="1:27" x14ac:dyDescent="0.2">
      <c r="A23" s="30">
        <f t="shared" si="15"/>
        <v>16</v>
      </c>
      <c r="B23" s="31">
        <f t="shared" si="16"/>
        <v>0</v>
      </c>
      <c r="C23" s="31">
        <f>IF($A23&gt;LastT,0,IF(AND($D$3&lt;&gt;0,$A23&gt;=T0,Policy_Sched!$B23&lt;LastAge),1+$D$3*$E$3,1))</f>
        <v>0</v>
      </c>
      <c r="D23" s="36">
        <f>IF($A23&gt;LastT,0,IF($C$3="up",MIN(Policy_Sched!$E23*(1+IF($A23&gt;=T0,$E$3,0)),$F$3),IF($C$3="down",MAX(Policy_Sched!$E23*(1-IF($A23&gt;=T0,$E$3,0)),Policy_Sched!$E23-$F$3),Policy_Sched!$E23)))</f>
        <v>0</v>
      </c>
      <c r="E23" s="37">
        <f t="shared" si="17"/>
        <v>0</v>
      </c>
      <c r="F23" s="37">
        <f t="shared" si="0"/>
        <v>0</v>
      </c>
      <c r="G23" s="37">
        <f t="shared" si="1"/>
        <v>0</v>
      </c>
      <c r="H23" s="37">
        <f t="shared" si="2"/>
        <v>0</v>
      </c>
      <c r="I23" s="37">
        <f t="shared" si="3"/>
        <v>0</v>
      </c>
      <c r="J23" s="37">
        <f t="shared" si="4"/>
        <v>0</v>
      </c>
      <c r="K23" s="37">
        <f>IF($A23&gt;LastT,0,J23*Policy_Sched!$C23*Policy_Sched!$D23*C23)</f>
        <v>0</v>
      </c>
      <c r="L23" s="41">
        <f t="shared" si="5"/>
        <v>0</v>
      </c>
      <c r="M23" s="38">
        <f t="shared" si="6"/>
        <v>0</v>
      </c>
      <c r="N23" s="38">
        <f t="shared" si="7"/>
        <v>0</v>
      </c>
      <c r="O23" s="38">
        <f t="shared" si="8"/>
        <v>0</v>
      </c>
      <c r="P23" s="38">
        <f>Policy_Sched!$I23*(L23+I23)</f>
        <v>0</v>
      </c>
      <c r="Q23" s="42">
        <f t="shared" si="9"/>
        <v>0</v>
      </c>
      <c r="R23" s="38">
        <f t="shared" si="10"/>
        <v>0</v>
      </c>
      <c r="S23" s="38">
        <f t="shared" si="11"/>
        <v>0</v>
      </c>
      <c r="T23" s="38">
        <f>Policy_Sched!$J23*J23</f>
        <v>0</v>
      </c>
      <c r="U23" s="42">
        <f t="shared" si="12"/>
        <v>0</v>
      </c>
      <c r="V23" s="42">
        <f t="shared" si="13"/>
        <v>0</v>
      </c>
      <c r="W23" s="38">
        <f>IF($A23&gt;LastT,0,N23+W24/(1+Policy_Sched!$K23))</f>
        <v>0</v>
      </c>
      <c r="X23" s="38">
        <f>IF($A23&gt;LastT,0,(-Q23+X24)/(1+Policy_Sched!$K23))</f>
        <v>0</v>
      </c>
      <c r="Y23" s="38">
        <f>IF($A23&gt;LastT,0,-V23+Y24/(1+Policy_Sched!$K23))</f>
        <v>0</v>
      </c>
      <c r="Z23" s="42">
        <f t="shared" si="14"/>
        <v>0</v>
      </c>
      <c r="AA23" s="38">
        <f>IF($A23&gt;LastT,0,N23-V23-Q23/(1+Policy_Sched!$K23)+Z24/(1+Policy_Sched!$K23))</f>
        <v>0</v>
      </c>
    </row>
    <row r="24" spans="1:27" x14ac:dyDescent="0.2">
      <c r="A24" s="30">
        <f t="shared" si="15"/>
        <v>17</v>
      </c>
      <c r="B24" s="31">
        <f t="shared" si="16"/>
        <v>0</v>
      </c>
      <c r="C24" s="31">
        <f>IF($A24&gt;LastT,0,IF(AND($D$3&lt;&gt;0,$A24&gt;=T0,Policy_Sched!$B24&lt;LastAge),1+$D$3*$E$3,1))</f>
        <v>0</v>
      </c>
      <c r="D24" s="36">
        <f>IF($A24&gt;LastT,0,IF($C$3="up",MIN(Policy_Sched!$E24*(1+IF($A24&gt;=T0,$E$3,0)),$F$3),IF($C$3="down",MAX(Policy_Sched!$E24*(1-IF($A24&gt;=T0,$E$3,0)),Policy_Sched!$E24-$F$3),Policy_Sched!$E24)))</f>
        <v>0</v>
      </c>
      <c r="E24" s="37">
        <f t="shared" si="17"/>
        <v>0</v>
      </c>
      <c r="F24" s="37">
        <f t="shared" si="0"/>
        <v>0</v>
      </c>
      <c r="G24" s="37">
        <f t="shared" si="1"/>
        <v>0</v>
      </c>
      <c r="H24" s="37">
        <f t="shared" si="2"/>
        <v>0</v>
      </c>
      <c r="I24" s="37">
        <f t="shared" si="3"/>
        <v>0</v>
      </c>
      <c r="J24" s="37">
        <f t="shared" si="4"/>
        <v>0</v>
      </c>
      <c r="K24" s="37">
        <f>IF($A24&gt;LastT,0,J24*Policy_Sched!$C24*Policy_Sched!$D24*C24)</f>
        <v>0</v>
      </c>
      <c r="L24" s="41">
        <f t="shared" si="5"/>
        <v>0</v>
      </c>
      <c r="M24" s="38">
        <f t="shared" si="6"/>
        <v>0</v>
      </c>
      <c r="N24" s="38">
        <f t="shared" si="7"/>
        <v>0</v>
      </c>
      <c r="O24" s="38">
        <f t="shared" si="8"/>
        <v>0</v>
      </c>
      <c r="P24" s="38">
        <f>Policy_Sched!$I24*(L24+I24)</f>
        <v>0</v>
      </c>
      <c r="Q24" s="42">
        <f t="shared" si="9"/>
        <v>0</v>
      </c>
      <c r="R24" s="38">
        <f t="shared" si="10"/>
        <v>0</v>
      </c>
      <c r="S24" s="38">
        <f t="shared" si="11"/>
        <v>0</v>
      </c>
      <c r="T24" s="38">
        <f>Policy_Sched!$J24*J24</f>
        <v>0</v>
      </c>
      <c r="U24" s="42">
        <f t="shared" si="12"/>
        <v>0</v>
      </c>
      <c r="V24" s="42">
        <f t="shared" si="13"/>
        <v>0</v>
      </c>
      <c r="W24" s="38">
        <f>IF($A24&gt;LastT,0,N24+W25/(1+Policy_Sched!$K24))</f>
        <v>0</v>
      </c>
      <c r="X24" s="38">
        <f>IF($A24&gt;LastT,0,(-Q24+X25)/(1+Policy_Sched!$K24))</f>
        <v>0</v>
      </c>
      <c r="Y24" s="38">
        <f>IF($A24&gt;LastT,0,-V24+Y25/(1+Policy_Sched!$K24))</f>
        <v>0</v>
      </c>
      <c r="Z24" s="42">
        <f t="shared" si="14"/>
        <v>0</v>
      </c>
      <c r="AA24" s="38">
        <f>IF($A24&gt;LastT,0,N24-V24-Q24/(1+Policy_Sched!$K24)+Z25/(1+Policy_Sched!$K24))</f>
        <v>0</v>
      </c>
    </row>
    <row r="25" spans="1:27" x14ac:dyDescent="0.2">
      <c r="A25" s="30">
        <f t="shared" si="15"/>
        <v>18</v>
      </c>
      <c r="B25" s="31">
        <f t="shared" si="16"/>
        <v>0</v>
      </c>
      <c r="C25" s="31">
        <f>IF($A25&gt;LastT,0,IF(AND($D$3&lt;&gt;0,$A25&gt;=T0,Policy_Sched!$B25&lt;LastAge),1+$D$3*$E$3,1))</f>
        <v>0</v>
      </c>
      <c r="D25" s="36">
        <f>IF($A25&gt;LastT,0,IF($C$3="up",MIN(Policy_Sched!$E25*(1+IF($A25&gt;=T0,$E$3,0)),$F$3),IF($C$3="down",MAX(Policy_Sched!$E25*(1-IF($A25&gt;=T0,$E$3,0)),Policy_Sched!$E25-$F$3),Policy_Sched!$E25)))</f>
        <v>0</v>
      </c>
      <c r="E25" s="37">
        <f t="shared" si="17"/>
        <v>0</v>
      </c>
      <c r="F25" s="37">
        <f t="shared" si="0"/>
        <v>0</v>
      </c>
      <c r="G25" s="37">
        <f t="shared" si="1"/>
        <v>0</v>
      </c>
      <c r="H25" s="37">
        <f t="shared" si="2"/>
        <v>0</v>
      </c>
      <c r="I25" s="37">
        <f t="shared" si="3"/>
        <v>0</v>
      </c>
      <c r="J25" s="37">
        <f t="shared" si="4"/>
        <v>0</v>
      </c>
      <c r="K25" s="37">
        <f>IF($A25&gt;LastT,0,J25*Policy_Sched!$C25*Policy_Sched!$D25*C25)</f>
        <v>0</v>
      </c>
      <c r="L25" s="41">
        <f t="shared" si="5"/>
        <v>0</v>
      </c>
      <c r="M25" s="38">
        <f t="shared" si="6"/>
        <v>0</v>
      </c>
      <c r="N25" s="38">
        <f t="shared" si="7"/>
        <v>0</v>
      </c>
      <c r="O25" s="38">
        <f t="shared" si="8"/>
        <v>0</v>
      </c>
      <c r="P25" s="38">
        <f>Policy_Sched!$I25*(L25+I25)</f>
        <v>0</v>
      </c>
      <c r="Q25" s="42">
        <f t="shared" si="9"/>
        <v>0</v>
      </c>
      <c r="R25" s="38">
        <f t="shared" si="10"/>
        <v>0</v>
      </c>
      <c r="S25" s="38">
        <f t="shared" si="11"/>
        <v>0</v>
      </c>
      <c r="T25" s="38">
        <f>Policy_Sched!$J25*J25</f>
        <v>0</v>
      </c>
      <c r="U25" s="42">
        <f t="shared" si="12"/>
        <v>0</v>
      </c>
      <c r="V25" s="42">
        <f t="shared" si="13"/>
        <v>0</v>
      </c>
      <c r="W25" s="38">
        <f>IF($A25&gt;LastT,0,N25+W26/(1+Policy_Sched!$K25))</f>
        <v>0</v>
      </c>
      <c r="X25" s="38">
        <f>IF($A25&gt;LastT,0,(-Q25+X26)/(1+Policy_Sched!$K25))</f>
        <v>0</v>
      </c>
      <c r="Y25" s="38">
        <f>IF($A25&gt;LastT,0,-V25+Y26/(1+Policy_Sched!$K25))</f>
        <v>0</v>
      </c>
      <c r="Z25" s="42">
        <f t="shared" si="14"/>
        <v>0</v>
      </c>
      <c r="AA25" s="38">
        <f>IF($A25&gt;LastT,0,N25-V25-Q25/(1+Policy_Sched!$K25)+Z26/(1+Policy_Sched!$K25))</f>
        <v>0</v>
      </c>
    </row>
    <row r="26" spans="1:27" x14ac:dyDescent="0.2">
      <c r="A26" s="30">
        <f t="shared" si="15"/>
        <v>19</v>
      </c>
      <c r="B26" s="31">
        <f t="shared" si="16"/>
        <v>0</v>
      </c>
      <c r="C26" s="31">
        <f>IF($A26&gt;LastT,0,IF(AND($D$3&lt;&gt;0,$A26&gt;=T0,Policy_Sched!$B26&lt;LastAge),1+$D$3*$E$3,1))</f>
        <v>0</v>
      </c>
      <c r="D26" s="36">
        <f>IF($A26&gt;LastT,0,IF($C$3="up",MIN(Policy_Sched!$E26*(1+IF($A26&gt;=T0,$E$3,0)),$F$3),IF($C$3="down",MAX(Policy_Sched!$E26*(1-IF($A26&gt;=T0,$E$3,0)),Policy_Sched!$E26-$F$3),Policy_Sched!$E26)))</f>
        <v>0</v>
      </c>
      <c r="E26" s="37">
        <f t="shared" si="17"/>
        <v>0</v>
      </c>
      <c r="F26" s="37">
        <f t="shared" si="0"/>
        <v>0</v>
      </c>
      <c r="G26" s="37">
        <f t="shared" si="1"/>
        <v>0</v>
      </c>
      <c r="H26" s="37">
        <f t="shared" si="2"/>
        <v>0</v>
      </c>
      <c r="I26" s="37">
        <f t="shared" si="3"/>
        <v>0</v>
      </c>
      <c r="J26" s="37">
        <f t="shared" si="4"/>
        <v>0</v>
      </c>
      <c r="K26" s="37">
        <f>IF($A26&gt;LastT,0,J26*Policy_Sched!$C26*Policy_Sched!$D26*C26)</f>
        <v>0</v>
      </c>
      <c r="L26" s="41">
        <f t="shared" si="5"/>
        <v>0</v>
      </c>
      <c r="M26" s="38">
        <f t="shared" si="6"/>
        <v>0</v>
      </c>
      <c r="N26" s="38">
        <f t="shared" si="7"/>
        <v>0</v>
      </c>
      <c r="O26" s="38">
        <f t="shared" si="8"/>
        <v>0</v>
      </c>
      <c r="P26" s="38">
        <f>Policy_Sched!$I26*(L26+I26)</f>
        <v>0</v>
      </c>
      <c r="Q26" s="42">
        <f t="shared" si="9"/>
        <v>0</v>
      </c>
      <c r="R26" s="38">
        <f t="shared" si="10"/>
        <v>0</v>
      </c>
      <c r="S26" s="38">
        <f t="shared" si="11"/>
        <v>0</v>
      </c>
      <c r="T26" s="38">
        <f>Policy_Sched!$J26*J26</f>
        <v>0</v>
      </c>
      <c r="U26" s="42">
        <f t="shared" si="12"/>
        <v>0</v>
      </c>
      <c r="V26" s="42">
        <f t="shared" si="13"/>
        <v>0</v>
      </c>
      <c r="W26" s="38">
        <f>IF($A26&gt;LastT,0,N26+W27/(1+Policy_Sched!$K26))</f>
        <v>0</v>
      </c>
      <c r="X26" s="38">
        <f>IF($A26&gt;LastT,0,(-Q26+X27)/(1+Policy_Sched!$K26))</f>
        <v>0</v>
      </c>
      <c r="Y26" s="38">
        <f>IF($A26&gt;LastT,0,-V26+Y27/(1+Policy_Sched!$K26))</f>
        <v>0</v>
      </c>
      <c r="Z26" s="42">
        <f t="shared" si="14"/>
        <v>0</v>
      </c>
      <c r="AA26" s="38">
        <f>IF($A26&gt;LastT,0,N26-V26-Q26/(1+Policy_Sched!$K26)+Z27/(1+Policy_Sched!$K26))</f>
        <v>0</v>
      </c>
    </row>
    <row r="27" spans="1:27" x14ac:dyDescent="0.2">
      <c r="A27" s="30">
        <f t="shared" si="15"/>
        <v>20</v>
      </c>
      <c r="B27" s="31">
        <f t="shared" si="16"/>
        <v>0</v>
      </c>
      <c r="C27" s="31">
        <f>IF($A27&gt;LastT,0,IF(AND($D$3&lt;&gt;0,$A27&gt;=T0,Policy_Sched!$B27&lt;LastAge),1+$D$3*$E$3,1))</f>
        <v>0</v>
      </c>
      <c r="D27" s="36">
        <f>IF($A27&gt;LastT,0,IF($C$3="up",MIN(Policy_Sched!$E27*(1+IF($A27&gt;=T0,$E$3,0)),$F$3),IF($C$3="down",MAX(Policy_Sched!$E27*(1-IF($A27&gt;=T0,$E$3,0)),Policy_Sched!$E27-$F$3),Policy_Sched!$E27)))</f>
        <v>0</v>
      </c>
      <c r="E27" s="37">
        <f t="shared" si="17"/>
        <v>0</v>
      </c>
      <c r="F27" s="37">
        <f t="shared" si="0"/>
        <v>0</v>
      </c>
      <c r="G27" s="37">
        <f t="shared" si="1"/>
        <v>0</v>
      </c>
      <c r="H27" s="37">
        <f t="shared" si="2"/>
        <v>0</v>
      </c>
      <c r="I27" s="37">
        <f t="shared" si="3"/>
        <v>0</v>
      </c>
      <c r="J27" s="37">
        <f t="shared" si="4"/>
        <v>0</v>
      </c>
      <c r="K27" s="37">
        <f>IF($A27&gt;LastT,0,J27*Policy_Sched!$C27*Policy_Sched!$D27*C27)</f>
        <v>0</v>
      </c>
      <c r="L27" s="41">
        <f t="shared" si="5"/>
        <v>0</v>
      </c>
      <c r="M27" s="38">
        <f t="shared" si="6"/>
        <v>0</v>
      </c>
      <c r="N27" s="38">
        <f t="shared" si="7"/>
        <v>0</v>
      </c>
      <c r="O27" s="38">
        <f t="shared" si="8"/>
        <v>0</v>
      </c>
      <c r="P27" s="38">
        <f>Policy_Sched!$I27*(L27+I27)</f>
        <v>0</v>
      </c>
      <c r="Q27" s="42">
        <f t="shared" si="9"/>
        <v>0</v>
      </c>
      <c r="R27" s="38">
        <f t="shared" si="10"/>
        <v>0</v>
      </c>
      <c r="S27" s="38">
        <f t="shared" si="11"/>
        <v>0</v>
      </c>
      <c r="T27" s="38">
        <f>Policy_Sched!$J27*J27</f>
        <v>0</v>
      </c>
      <c r="U27" s="42">
        <f t="shared" si="12"/>
        <v>0</v>
      </c>
      <c r="V27" s="42">
        <f t="shared" si="13"/>
        <v>0</v>
      </c>
      <c r="W27" s="38">
        <f>IF($A27&gt;LastT,0,N27+W28/(1+Policy_Sched!$K27))</f>
        <v>0</v>
      </c>
      <c r="X27" s="38">
        <f>IF($A27&gt;LastT,0,(-Q27+X28)/(1+Policy_Sched!$K27))</f>
        <v>0</v>
      </c>
      <c r="Y27" s="38">
        <f>IF($A27&gt;LastT,0,-V27+Y28/(1+Policy_Sched!$K27))</f>
        <v>0</v>
      </c>
      <c r="Z27" s="42">
        <f t="shared" si="14"/>
        <v>0</v>
      </c>
      <c r="AA27" s="38">
        <f>IF($A27&gt;LastT,0,N27-V27-Q27/(1+Policy_Sched!$K27)+Z28/(1+Policy_Sched!$K27))</f>
        <v>0</v>
      </c>
    </row>
    <row r="28" spans="1:27" x14ac:dyDescent="0.2">
      <c r="A28" s="30">
        <f t="shared" si="15"/>
        <v>21</v>
      </c>
      <c r="B28" s="31">
        <f t="shared" si="16"/>
        <v>0</v>
      </c>
      <c r="C28" s="31">
        <f>IF($A28&gt;LastT,0,IF(AND($D$3&lt;&gt;0,$A28&gt;=T0,Policy_Sched!$B28&lt;LastAge),1+$D$3*$E$3,1))</f>
        <v>0</v>
      </c>
      <c r="D28" s="36">
        <f>IF($A28&gt;LastT,0,IF($C$3="up",MIN(Policy_Sched!$E28*(1+IF($A28&gt;=T0,$E$3,0)),$F$3),IF($C$3="down",MAX(Policy_Sched!$E28*(1-IF($A28&gt;=T0,$E$3,0)),Policy_Sched!$E28-$F$3),Policy_Sched!$E28)))</f>
        <v>0</v>
      </c>
      <c r="E28" s="37">
        <f t="shared" si="17"/>
        <v>0</v>
      </c>
      <c r="F28" s="37">
        <f t="shared" si="0"/>
        <v>0</v>
      </c>
      <c r="G28" s="37">
        <f t="shared" si="1"/>
        <v>0</v>
      </c>
      <c r="H28" s="37">
        <f t="shared" si="2"/>
        <v>0</v>
      </c>
      <c r="I28" s="37">
        <f t="shared" si="3"/>
        <v>0</v>
      </c>
      <c r="J28" s="37">
        <f t="shared" si="4"/>
        <v>0</v>
      </c>
      <c r="K28" s="37">
        <f>IF($A28&gt;LastT,0,J28*Policy_Sched!$C28*Policy_Sched!$D28*C28)</f>
        <v>0</v>
      </c>
      <c r="L28" s="41">
        <f t="shared" si="5"/>
        <v>0</v>
      </c>
      <c r="M28" s="38">
        <f t="shared" si="6"/>
        <v>0</v>
      </c>
      <c r="N28" s="38">
        <f t="shared" si="7"/>
        <v>0</v>
      </c>
      <c r="O28" s="38">
        <f t="shared" si="8"/>
        <v>0</v>
      </c>
      <c r="P28" s="38">
        <f>Policy_Sched!$I28*(L28+I28)</f>
        <v>0</v>
      </c>
      <c r="Q28" s="42">
        <f t="shared" si="9"/>
        <v>0</v>
      </c>
      <c r="R28" s="38">
        <f t="shared" si="10"/>
        <v>0</v>
      </c>
      <c r="S28" s="38">
        <f t="shared" si="11"/>
        <v>0</v>
      </c>
      <c r="T28" s="38">
        <f>Policy_Sched!$J28*J28</f>
        <v>0</v>
      </c>
      <c r="U28" s="42">
        <f t="shared" si="12"/>
        <v>0</v>
      </c>
      <c r="V28" s="42">
        <f t="shared" si="13"/>
        <v>0</v>
      </c>
      <c r="W28" s="38">
        <f>IF($A28&gt;LastT,0,N28+W29/(1+Policy_Sched!$K28))</f>
        <v>0</v>
      </c>
      <c r="X28" s="38">
        <f>IF($A28&gt;LastT,0,(-Q28+X29)/(1+Policy_Sched!$K28))</f>
        <v>0</v>
      </c>
      <c r="Y28" s="38">
        <f>IF($A28&gt;LastT,0,-V28+Y29/(1+Policy_Sched!$K28))</f>
        <v>0</v>
      </c>
      <c r="Z28" s="42">
        <f t="shared" si="14"/>
        <v>0</v>
      </c>
      <c r="AA28" s="38">
        <f>IF($A28&gt;LastT,0,N28-V28-Q28/(1+Policy_Sched!$K28)+Z29/(1+Policy_Sched!$K28))</f>
        <v>0</v>
      </c>
    </row>
    <row r="29" spans="1:27" x14ac:dyDescent="0.2">
      <c r="A29" s="30">
        <f t="shared" si="15"/>
        <v>22</v>
      </c>
      <c r="B29" s="31">
        <f t="shared" si="16"/>
        <v>0</v>
      </c>
      <c r="C29" s="31">
        <f>IF($A29&gt;LastT,0,IF(AND($D$3&lt;&gt;0,$A29&gt;=T0,Policy_Sched!$B29&lt;LastAge),1+$D$3*$E$3,1))</f>
        <v>0</v>
      </c>
      <c r="D29" s="36">
        <f>IF($A29&gt;LastT,0,IF($C$3="up",MIN(Policy_Sched!$E29*(1+IF($A29&gt;=T0,$E$3,0)),$F$3),IF($C$3="down",MAX(Policy_Sched!$E29*(1-IF($A29&gt;=T0,$E$3,0)),Policy_Sched!$E29-$F$3),Policy_Sched!$E29)))</f>
        <v>0</v>
      </c>
      <c r="E29" s="37">
        <f t="shared" si="17"/>
        <v>0</v>
      </c>
      <c r="F29" s="37">
        <f t="shared" si="0"/>
        <v>0</v>
      </c>
      <c r="G29" s="37">
        <f t="shared" si="1"/>
        <v>0</v>
      </c>
      <c r="H29" s="37">
        <f t="shared" si="2"/>
        <v>0</v>
      </c>
      <c r="I29" s="37">
        <f t="shared" si="3"/>
        <v>0</v>
      </c>
      <c r="J29" s="37">
        <f t="shared" si="4"/>
        <v>0</v>
      </c>
      <c r="K29" s="37">
        <f>IF($A29&gt;LastT,0,J29*Policy_Sched!$C29*Policy_Sched!$D29*C29)</f>
        <v>0</v>
      </c>
      <c r="L29" s="41">
        <f t="shared" si="5"/>
        <v>0</v>
      </c>
      <c r="M29" s="38">
        <f t="shared" si="6"/>
        <v>0</v>
      </c>
      <c r="N29" s="38">
        <f t="shared" si="7"/>
        <v>0</v>
      </c>
      <c r="O29" s="38">
        <f t="shared" si="8"/>
        <v>0</v>
      </c>
      <c r="P29" s="38">
        <f>Policy_Sched!$I29*(L29+I29)</f>
        <v>0</v>
      </c>
      <c r="Q29" s="42">
        <f t="shared" si="9"/>
        <v>0</v>
      </c>
      <c r="R29" s="38">
        <f t="shared" si="10"/>
        <v>0</v>
      </c>
      <c r="S29" s="38">
        <f t="shared" si="11"/>
        <v>0</v>
      </c>
      <c r="T29" s="38">
        <f>Policy_Sched!$J29*J29</f>
        <v>0</v>
      </c>
      <c r="U29" s="42">
        <f t="shared" si="12"/>
        <v>0</v>
      </c>
      <c r="V29" s="42">
        <f t="shared" si="13"/>
        <v>0</v>
      </c>
      <c r="W29" s="38">
        <f>IF($A29&gt;LastT,0,N29+W30/(1+Policy_Sched!$K29))</f>
        <v>0</v>
      </c>
      <c r="X29" s="38">
        <f>IF($A29&gt;LastT,0,(-Q29+X30)/(1+Policy_Sched!$K29))</f>
        <v>0</v>
      </c>
      <c r="Y29" s="38">
        <f>IF($A29&gt;LastT,0,-V29+Y30/(1+Policy_Sched!$K29))</f>
        <v>0</v>
      </c>
      <c r="Z29" s="42">
        <f t="shared" si="14"/>
        <v>0</v>
      </c>
      <c r="AA29" s="38">
        <f>IF($A29&gt;LastT,0,N29-V29-Q29/(1+Policy_Sched!$K29)+Z30/(1+Policy_Sched!$K29))</f>
        <v>0</v>
      </c>
    </row>
    <row r="30" spans="1:27" x14ac:dyDescent="0.2">
      <c r="A30" s="30">
        <f t="shared" si="15"/>
        <v>23</v>
      </c>
      <c r="B30" s="31">
        <f t="shared" si="16"/>
        <v>0</v>
      </c>
      <c r="C30" s="31">
        <f>IF($A30&gt;LastT,0,IF(AND($D$3&lt;&gt;0,$A30&gt;=T0,Policy_Sched!$B30&lt;LastAge),1+$D$3*$E$3,1))</f>
        <v>0</v>
      </c>
      <c r="D30" s="36">
        <f>IF($A30&gt;LastT,0,IF($C$3="up",MIN(Policy_Sched!$E30*(1+IF($A30&gt;=T0,$E$3,0)),$F$3),IF($C$3="down",MAX(Policy_Sched!$E30*(1-IF($A30&gt;=T0,$E$3,0)),Policy_Sched!$E30-$F$3),Policy_Sched!$E30)))</f>
        <v>0</v>
      </c>
      <c r="E30" s="37">
        <f t="shared" si="17"/>
        <v>0</v>
      </c>
      <c r="F30" s="37">
        <f t="shared" si="0"/>
        <v>0</v>
      </c>
      <c r="G30" s="37">
        <f t="shared" si="1"/>
        <v>0</v>
      </c>
      <c r="H30" s="37">
        <f t="shared" si="2"/>
        <v>0</v>
      </c>
      <c r="I30" s="37">
        <f t="shared" si="3"/>
        <v>0</v>
      </c>
      <c r="J30" s="37">
        <f t="shared" si="4"/>
        <v>0</v>
      </c>
      <c r="K30" s="37">
        <f>IF($A30&gt;LastT,0,J30*Policy_Sched!$C30*Policy_Sched!$D30*C30)</f>
        <v>0</v>
      </c>
      <c r="L30" s="41">
        <f t="shared" si="5"/>
        <v>0</v>
      </c>
      <c r="M30" s="38">
        <f t="shared" si="6"/>
        <v>0</v>
      </c>
      <c r="N30" s="38">
        <f t="shared" si="7"/>
        <v>0</v>
      </c>
      <c r="O30" s="38">
        <f t="shared" si="8"/>
        <v>0</v>
      </c>
      <c r="P30" s="38">
        <f>Policy_Sched!$I30*(L30+I30)</f>
        <v>0</v>
      </c>
      <c r="Q30" s="42">
        <f t="shared" si="9"/>
        <v>0</v>
      </c>
      <c r="R30" s="38">
        <f t="shared" si="10"/>
        <v>0</v>
      </c>
      <c r="S30" s="38">
        <f t="shared" si="11"/>
        <v>0</v>
      </c>
      <c r="T30" s="38">
        <f>Policy_Sched!$J30*J30</f>
        <v>0</v>
      </c>
      <c r="U30" s="42">
        <f t="shared" si="12"/>
        <v>0</v>
      </c>
      <c r="V30" s="42">
        <f t="shared" si="13"/>
        <v>0</v>
      </c>
      <c r="W30" s="38">
        <f>IF($A30&gt;LastT,0,N30+W31/(1+Policy_Sched!$K30))</f>
        <v>0</v>
      </c>
      <c r="X30" s="38">
        <f>IF($A30&gt;LastT,0,(-Q30+X31)/(1+Policy_Sched!$K30))</f>
        <v>0</v>
      </c>
      <c r="Y30" s="38">
        <f>IF($A30&gt;LastT,0,-V30+Y31/(1+Policy_Sched!$K30))</f>
        <v>0</v>
      </c>
      <c r="Z30" s="42">
        <f t="shared" si="14"/>
        <v>0</v>
      </c>
      <c r="AA30" s="38">
        <f>IF($A30&gt;LastT,0,N30-V30-Q30/(1+Policy_Sched!$K30)+Z31/(1+Policy_Sched!$K30))</f>
        <v>0</v>
      </c>
    </row>
    <row r="31" spans="1:27" x14ac:dyDescent="0.2">
      <c r="A31" s="30">
        <f t="shared" si="15"/>
        <v>24</v>
      </c>
      <c r="B31" s="31">
        <f t="shared" si="16"/>
        <v>0</v>
      </c>
      <c r="C31" s="31">
        <f>IF($A31&gt;LastT,0,IF(AND($D$3&lt;&gt;0,$A31&gt;=T0,Policy_Sched!$B31&lt;LastAge),1+$D$3*$E$3,1))</f>
        <v>0</v>
      </c>
      <c r="D31" s="36">
        <f>IF($A31&gt;LastT,0,IF($C$3="up",MIN(Policy_Sched!$E31*(1+IF($A31&gt;=T0,$E$3,0)),$F$3),IF($C$3="down",MAX(Policy_Sched!$E31*(1-IF($A31&gt;=T0,$E$3,0)),Policy_Sched!$E31-$F$3),Policy_Sched!$E31)))</f>
        <v>0</v>
      </c>
      <c r="E31" s="37">
        <f t="shared" si="17"/>
        <v>0</v>
      </c>
      <c r="F31" s="37">
        <f t="shared" si="0"/>
        <v>0</v>
      </c>
      <c r="G31" s="37">
        <f t="shared" si="1"/>
        <v>0</v>
      </c>
      <c r="H31" s="37">
        <f t="shared" si="2"/>
        <v>0</v>
      </c>
      <c r="I31" s="37">
        <f t="shared" si="3"/>
        <v>0</v>
      </c>
      <c r="J31" s="37">
        <f t="shared" si="4"/>
        <v>0</v>
      </c>
      <c r="K31" s="37">
        <f>IF($A31&gt;LastT,0,J31*Policy_Sched!$C31*Policy_Sched!$D31*C31)</f>
        <v>0</v>
      </c>
      <c r="L31" s="41">
        <f t="shared" si="5"/>
        <v>0</v>
      </c>
      <c r="M31" s="38">
        <f t="shared" si="6"/>
        <v>0</v>
      </c>
      <c r="N31" s="38">
        <f t="shared" si="7"/>
        <v>0</v>
      </c>
      <c r="O31" s="38">
        <f t="shared" si="8"/>
        <v>0</v>
      </c>
      <c r="P31" s="38">
        <f>Policy_Sched!$I31*(L31+I31)</f>
        <v>0</v>
      </c>
      <c r="Q31" s="42">
        <f t="shared" si="9"/>
        <v>0</v>
      </c>
      <c r="R31" s="38">
        <f t="shared" si="10"/>
        <v>0</v>
      </c>
      <c r="S31" s="38">
        <f t="shared" si="11"/>
        <v>0</v>
      </c>
      <c r="T31" s="38">
        <f>Policy_Sched!$J31*J31</f>
        <v>0</v>
      </c>
      <c r="U31" s="42">
        <f t="shared" si="12"/>
        <v>0</v>
      </c>
      <c r="V31" s="42">
        <f t="shared" si="13"/>
        <v>0</v>
      </c>
      <c r="W31" s="38">
        <f>IF($A31&gt;LastT,0,N31+W32/(1+Policy_Sched!$K31))</f>
        <v>0</v>
      </c>
      <c r="X31" s="38">
        <f>IF($A31&gt;LastT,0,(-Q31+X32)/(1+Policy_Sched!$K31))</f>
        <v>0</v>
      </c>
      <c r="Y31" s="38">
        <f>IF($A31&gt;LastT,0,-V31+Y32/(1+Policy_Sched!$K31))</f>
        <v>0</v>
      </c>
      <c r="Z31" s="42">
        <f t="shared" si="14"/>
        <v>0</v>
      </c>
      <c r="AA31" s="38">
        <f>IF($A31&gt;LastT,0,N31-V31-Q31/(1+Policy_Sched!$K31)+Z32/(1+Policy_Sched!$K31))</f>
        <v>0</v>
      </c>
    </row>
    <row r="32" spans="1:27" x14ac:dyDescent="0.2">
      <c r="A32" s="30">
        <f t="shared" si="15"/>
        <v>25</v>
      </c>
      <c r="B32" s="31">
        <f t="shared" si="16"/>
        <v>0</v>
      </c>
      <c r="C32" s="31">
        <f>IF($A32&gt;LastT,0,IF(AND($D$3&lt;&gt;0,$A32&gt;=T0,Policy_Sched!$B32&lt;LastAge),1+$D$3*$E$3,1))</f>
        <v>0</v>
      </c>
      <c r="D32" s="36">
        <f>IF($A32&gt;LastT,0,IF($C$3="up",MIN(Policy_Sched!$E32*(1+IF($A32&gt;=T0,$E$3,0)),$F$3),IF($C$3="down",MAX(Policy_Sched!$E32*(1-IF($A32&gt;=T0,$E$3,0)),Policy_Sched!$E32-$F$3),Policy_Sched!$E32)))</f>
        <v>0</v>
      </c>
      <c r="E32" s="37">
        <f t="shared" si="17"/>
        <v>0</v>
      </c>
      <c r="F32" s="37">
        <f t="shared" si="0"/>
        <v>0</v>
      </c>
      <c r="G32" s="37">
        <f t="shared" si="1"/>
        <v>0</v>
      </c>
      <c r="H32" s="37">
        <f t="shared" si="2"/>
        <v>0</v>
      </c>
      <c r="I32" s="37">
        <f t="shared" si="3"/>
        <v>0</v>
      </c>
      <c r="J32" s="37">
        <f t="shared" si="4"/>
        <v>0</v>
      </c>
      <c r="K32" s="37">
        <f>IF($A32&gt;LastT,0,J32*Policy_Sched!$C32*Policy_Sched!$D32*C32)</f>
        <v>0</v>
      </c>
      <c r="L32" s="41">
        <f t="shared" si="5"/>
        <v>0</v>
      </c>
      <c r="M32" s="38">
        <f t="shared" si="6"/>
        <v>0</v>
      </c>
      <c r="N32" s="38">
        <f t="shared" si="7"/>
        <v>0</v>
      </c>
      <c r="O32" s="38">
        <f t="shared" si="8"/>
        <v>0</v>
      </c>
      <c r="P32" s="38">
        <f>Policy_Sched!$I32*(L32+I32)</f>
        <v>0</v>
      </c>
      <c r="Q32" s="42">
        <f t="shared" si="9"/>
        <v>0</v>
      </c>
      <c r="R32" s="38">
        <f t="shared" si="10"/>
        <v>0</v>
      </c>
      <c r="S32" s="38">
        <f t="shared" si="11"/>
        <v>0</v>
      </c>
      <c r="T32" s="38">
        <f>Policy_Sched!$J32*J32</f>
        <v>0</v>
      </c>
      <c r="U32" s="42">
        <f t="shared" si="12"/>
        <v>0</v>
      </c>
      <c r="V32" s="42">
        <f t="shared" si="13"/>
        <v>0</v>
      </c>
      <c r="W32" s="38">
        <f>IF($A32&gt;LastT,0,N32+W33/(1+Policy_Sched!$K32))</f>
        <v>0</v>
      </c>
      <c r="X32" s="38">
        <f>IF($A32&gt;LastT,0,(-Q32+X33)/(1+Policy_Sched!$K32))</f>
        <v>0</v>
      </c>
      <c r="Y32" s="38">
        <f>IF($A32&gt;LastT,0,-V32+Y33/(1+Policy_Sched!$K32))</f>
        <v>0</v>
      </c>
      <c r="Z32" s="42">
        <f t="shared" si="14"/>
        <v>0</v>
      </c>
      <c r="AA32" s="38">
        <f>IF($A32&gt;LastT,0,N32-V32-Q32/(1+Policy_Sched!$K32)+Z33/(1+Policy_Sched!$K32))</f>
        <v>0</v>
      </c>
    </row>
    <row r="33" spans="1:27" x14ac:dyDescent="0.2">
      <c r="A33" s="30">
        <f t="shared" si="15"/>
        <v>26</v>
      </c>
      <c r="B33" s="31">
        <f t="shared" si="16"/>
        <v>0</v>
      </c>
      <c r="C33" s="31">
        <f>IF($A33&gt;LastT,0,IF(AND($D$3&lt;&gt;0,$A33&gt;=T0,Policy_Sched!$B33&lt;LastAge),1+$D$3*$E$3,1))</f>
        <v>0</v>
      </c>
      <c r="D33" s="36">
        <f>IF($A33&gt;LastT,0,IF($C$3="up",MIN(Policy_Sched!$E33*(1+IF($A33&gt;=T0,$E$3,0)),$F$3),IF($C$3="down",MAX(Policy_Sched!$E33*(1-IF($A33&gt;=T0,$E$3,0)),Policy_Sched!$E33-$F$3),Policy_Sched!$E33)))</f>
        <v>0</v>
      </c>
      <c r="E33" s="37">
        <f t="shared" si="17"/>
        <v>0</v>
      </c>
      <c r="F33" s="37">
        <f t="shared" si="0"/>
        <v>0</v>
      </c>
      <c r="G33" s="37">
        <f t="shared" si="1"/>
        <v>0</v>
      </c>
      <c r="H33" s="37">
        <f t="shared" si="2"/>
        <v>0</v>
      </c>
      <c r="I33" s="37">
        <f t="shared" si="3"/>
        <v>0</v>
      </c>
      <c r="J33" s="37">
        <f t="shared" si="4"/>
        <v>0</v>
      </c>
      <c r="K33" s="37">
        <f>IF($A33&gt;LastT,0,J33*Policy_Sched!$C33*Policy_Sched!$D33*C33)</f>
        <v>0</v>
      </c>
      <c r="L33" s="41">
        <f t="shared" si="5"/>
        <v>0</v>
      </c>
      <c r="M33" s="38">
        <f t="shared" si="6"/>
        <v>0</v>
      </c>
      <c r="N33" s="38">
        <f t="shared" si="7"/>
        <v>0</v>
      </c>
      <c r="O33" s="38">
        <f t="shared" si="8"/>
        <v>0</v>
      </c>
      <c r="P33" s="38">
        <f>Policy_Sched!$I33*(L33+I33)</f>
        <v>0</v>
      </c>
      <c r="Q33" s="42">
        <f t="shared" si="9"/>
        <v>0</v>
      </c>
      <c r="R33" s="38">
        <f t="shared" si="10"/>
        <v>0</v>
      </c>
      <c r="S33" s="38">
        <f t="shared" si="11"/>
        <v>0</v>
      </c>
      <c r="T33" s="38">
        <f>Policy_Sched!$J33*J33</f>
        <v>0</v>
      </c>
      <c r="U33" s="42">
        <f t="shared" si="12"/>
        <v>0</v>
      </c>
      <c r="V33" s="42">
        <f t="shared" si="13"/>
        <v>0</v>
      </c>
      <c r="W33" s="38">
        <f>IF($A33&gt;LastT,0,N33+W34/(1+Policy_Sched!$K33))</f>
        <v>0</v>
      </c>
      <c r="X33" s="38">
        <f>IF($A33&gt;LastT,0,(-Q33+X34)/(1+Policy_Sched!$K33))</f>
        <v>0</v>
      </c>
      <c r="Y33" s="38">
        <f>IF($A33&gt;LastT,0,-V33+Y34/(1+Policy_Sched!$K33))</f>
        <v>0</v>
      </c>
      <c r="Z33" s="42">
        <f t="shared" si="14"/>
        <v>0</v>
      </c>
      <c r="AA33" s="38">
        <f>IF($A33&gt;LastT,0,N33-V33-Q33/(1+Policy_Sched!$K33)+Z34/(1+Policy_Sched!$K33))</f>
        <v>0</v>
      </c>
    </row>
    <row r="34" spans="1:27" x14ac:dyDescent="0.2">
      <c r="A34" s="30">
        <f t="shared" si="15"/>
        <v>27</v>
      </c>
      <c r="B34" s="31">
        <f t="shared" si="16"/>
        <v>0</v>
      </c>
      <c r="C34" s="31">
        <f>IF($A34&gt;LastT,0,IF(AND($D$3&lt;&gt;0,$A34&gt;=T0,Policy_Sched!$B34&lt;LastAge),1+$D$3*$E$3,1))</f>
        <v>0</v>
      </c>
      <c r="D34" s="36">
        <f>IF($A34&gt;LastT,0,IF($C$3="up",MIN(Policy_Sched!$E34*(1+IF($A34&gt;=T0,$E$3,0)),$F$3),IF($C$3="down",MAX(Policy_Sched!$E34*(1-IF($A34&gt;=T0,$E$3,0)),Policy_Sched!$E34-$F$3),Policy_Sched!$E34)))</f>
        <v>0</v>
      </c>
      <c r="E34" s="37">
        <f t="shared" si="17"/>
        <v>0</v>
      </c>
      <c r="F34" s="37">
        <f t="shared" si="0"/>
        <v>0</v>
      </c>
      <c r="G34" s="37">
        <f t="shared" si="1"/>
        <v>0</v>
      </c>
      <c r="H34" s="37">
        <f t="shared" si="2"/>
        <v>0</v>
      </c>
      <c r="I34" s="37">
        <f t="shared" si="3"/>
        <v>0</v>
      </c>
      <c r="J34" s="37">
        <f t="shared" si="4"/>
        <v>0</v>
      </c>
      <c r="K34" s="37">
        <f>IF($A34&gt;LastT,0,J34*Policy_Sched!$C34*Policy_Sched!$D34*C34)</f>
        <v>0</v>
      </c>
      <c r="L34" s="41">
        <f t="shared" si="5"/>
        <v>0</v>
      </c>
      <c r="M34" s="38">
        <f t="shared" si="6"/>
        <v>0</v>
      </c>
      <c r="N34" s="38">
        <f t="shared" si="7"/>
        <v>0</v>
      </c>
      <c r="O34" s="38">
        <f t="shared" si="8"/>
        <v>0</v>
      </c>
      <c r="P34" s="38">
        <f>Policy_Sched!$I34*(L34+I34)</f>
        <v>0</v>
      </c>
      <c r="Q34" s="42">
        <f t="shared" si="9"/>
        <v>0</v>
      </c>
      <c r="R34" s="38">
        <f t="shared" si="10"/>
        <v>0</v>
      </c>
      <c r="S34" s="38">
        <f t="shared" si="11"/>
        <v>0</v>
      </c>
      <c r="T34" s="38">
        <f>Policy_Sched!$J34*J34</f>
        <v>0</v>
      </c>
      <c r="U34" s="42">
        <f t="shared" si="12"/>
        <v>0</v>
      </c>
      <c r="V34" s="42">
        <f t="shared" si="13"/>
        <v>0</v>
      </c>
      <c r="W34" s="38">
        <f>IF($A34&gt;LastT,0,N34+W35/(1+Policy_Sched!$K34))</f>
        <v>0</v>
      </c>
      <c r="X34" s="38">
        <f>IF($A34&gt;LastT,0,(-Q34+X35)/(1+Policy_Sched!$K34))</f>
        <v>0</v>
      </c>
      <c r="Y34" s="38">
        <f>IF($A34&gt;LastT,0,-V34+Y35/(1+Policy_Sched!$K34))</f>
        <v>0</v>
      </c>
      <c r="Z34" s="42">
        <f t="shared" si="14"/>
        <v>0</v>
      </c>
      <c r="AA34" s="38">
        <f>IF($A34&gt;LastT,0,N34-V34-Q34/(1+Policy_Sched!$K34)+Z35/(1+Policy_Sched!$K34))</f>
        <v>0</v>
      </c>
    </row>
    <row r="35" spans="1:27" x14ac:dyDescent="0.2">
      <c r="A35" s="30">
        <f t="shared" si="15"/>
        <v>28</v>
      </c>
      <c r="B35" s="31">
        <f t="shared" si="16"/>
        <v>0</v>
      </c>
      <c r="C35" s="31">
        <f>IF($A35&gt;LastT,0,IF(AND($D$3&lt;&gt;0,$A35&gt;=T0,Policy_Sched!$B35&lt;LastAge),1+$D$3*$E$3,1))</f>
        <v>0</v>
      </c>
      <c r="D35" s="36">
        <f>IF($A35&gt;LastT,0,IF($C$3="up",MIN(Policy_Sched!$E35*(1+IF($A35&gt;=T0,$E$3,0)),$F$3),IF($C$3="down",MAX(Policy_Sched!$E35*(1-IF($A35&gt;=T0,$E$3,0)),Policy_Sched!$E35-$F$3),Policy_Sched!$E35)))</f>
        <v>0</v>
      </c>
      <c r="E35" s="37">
        <f t="shared" si="17"/>
        <v>0</v>
      </c>
      <c r="F35" s="37">
        <f t="shared" si="0"/>
        <v>0</v>
      </c>
      <c r="G35" s="37">
        <f t="shared" si="1"/>
        <v>0</v>
      </c>
      <c r="H35" s="37">
        <f t="shared" si="2"/>
        <v>0</v>
      </c>
      <c r="I35" s="37">
        <f t="shared" si="3"/>
        <v>0</v>
      </c>
      <c r="J35" s="37">
        <f t="shared" si="4"/>
        <v>0</v>
      </c>
      <c r="K35" s="37">
        <f>IF($A35&gt;LastT,0,J35*Policy_Sched!$C35*Policy_Sched!$D35*C35)</f>
        <v>0</v>
      </c>
      <c r="L35" s="41">
        <f t="shared" si="5"/>
        <v>0</v>
      </c>
      <c r="M35" s="38">
        <f t="shared" si="6"/>
        <v>0</v>
      </c>
      <c r="N35" s="38">
        <f t="shared" si="7"/>
        <v>0</v>
      </c>
      <c r="O35" s="38">
        <f t="shared" si="8"/>
        <v>0</v>
      </c>
      <c r="P35" s="38">
        <f>Policy_Sched!$I35*(L35+I35)</f>
        <v>0</v>
      </c>
      <c r="Q35" s="42">
        <f t="shared" si="9"/>
        <v>0</v>
      </c>
      <c r="R35" s="38">
        <f t="shared" si="10"/>
        <v>0</v>
      </c>
      <c r="S35" s="38">
        <f t="shared" si="11"/>
        <v>0</v>
      </c>
      <c r="T35" s="38">
        <f>Policy_Sched!$J35*J35</f>
        <v>0</v>
      </c>
      <c r="U35" s="42">
        <f t="shared" si="12"/>
        <v>0</v>
      </c>
      <c r="V35" s="42">
        <f t="shared" si="13"/>
        <v>0</v>
      </c>
      <c r="W35" s="38">
        <f>IF($A35&gt;LastT,0,N35+W36/(1+Policy_Sched!$K35))</f>
        <v>0</v>
      </c>
      <c r="X35" s="38">
        <f>IF($A35&gt;LastT,0,(-Q35+X36)/(1+Policy_Sched!$K35))</f>
        <v>0</v>
      </c>
      <c r="Y35" s="38">
        <f>IF($A35&gt;LastT,0,-V35+Y36/(1+Policy_Sched!$K35))</f>
        <v>0</v>
      </c>
      <c r="Z35" s="42">
        <f t="shared" si="14"/>
        <v>0</v>
      </c>
      <c r="AA35" s="38">
        <f>IF($A35&gt;LastT,0,N35-V35-Q35/(1+Policy_Sched!$K35)+Z36/(1+Policy_Sched!$K35))</f>
        <v>0</v>
      </c>
    </row>
    <row r="36" spans="1:27" x14ac:dyDescent="0.2">
      <c r="A36" s="30">
        <f t="shared" si="15"/>
        <v>29</v>
      </c>
      <c r="B36" s="31">
        <f t="shared" si="16"/>
        <v>0</v>
      </c>
      <c r="C36" s="31">
        <f>IF($A36&gt;LastT,0,IF(AND($D$3&lt;&gt;0,$A36&gt;=T0,Policy_Sched!$B36&lt;LastAge),1+$D$3*$E$3,1))</f>
        <v>0</v>
      </c>
      <c r="D36" s="36">
        <f>IF($A36&gt;LastT,0,IF($C$3="up",MIN(Policy_Sched!$E36*(1+IF($A36&gt;=T0,$E$3,0)),$F$3),IF($C$3="down",MAX(Policy_Sched!$E36*(1-IF($A36&gt;=T0,$E$3,0)),Policy_Sched!$E36-$F$3),Policy_Sched!$E36)))</f>
        <v>0</v>
      </c>
      <c r="E36" s="37">
        <f t="shared" si="17"/>
        <v>0</v>
      </c>
      <c r="F36" s="37">
        <f t="shared" si="0"/>
        <v>0</v>
      </c>
      <c r="G36" s="37">
        <f t="shared" si="1"/>
        <v>0</v>
      </c>
      <c r="H36" s="37">
        <f t="shared" si="2"/>
        <v>0</v>
      </c>
      <c r="I36" s="37">
        <f t="shared" si="3"/>
        <v>0</v>
      </c>
      <c r="J36" s="37">
        <f t="shared" si="4"/>
        <v>0</v>
      </c>
      <c r="K36" s="37">
        <f>IF($A36&gt;LastT,0,J36*Policy_Sched!$C36*Policy_Sched!$D36*C36)</f>
        <v>0</v>
      </c>
      <c r="L36" s="41">
        <f t="shared" si="5"/>
        <v>0</v>
      </c>
      <c r="M36" s="38">
        <f t="shared" si="6"/>
        <v>0</v>
      </c>
      <c r="N36" s="38">
        <f t="shared" si="7"/>
        <v>0</v>
      </c>
      <c r="O36" s="38">
        <f t="shared" si="8"/>
        <v>0</v>
      </c>
      <c r="P36" s="38">
        <f>Policy_Sched!$I36*(L36+I36)</f>
        <v>0</v>
      </c>
      <c r="Q36" s="42">
        <f t="shared" si="9"/>
        <v>0</v>
      </c>
      <c r="R36" s="38">
        <f t="shared" si="10"/>
        <v>0</v>
      </c>
      <c r="S36" s="38">
        <f t="shared" si="11"/>
        <v>0</v>
      </c>
      <c r="T36" s="38">
        <f>Policy_Sched!$J36*J36</f>
        <v>0</v>
      </c>
      <c r="U36" s="42">
        <f t="shared" si="12"/>
        <v>0</v>
      </c>
      <c r="V36" s="42">
        <f t="shared" si="13"/>
        <v>0</v>
      </c>
      <c r="W36" s="38">
        <f>IF($A36&gt;LastT,0,N36+W37/(1+Policy_Sched!$K36))</f>
        <v>0</v>
      </c>
      <c r="X36" s="38">
        <f>IF($A36&gt;LastT,0,(-Q36+X37)/(1+Policy_Sched!$K36))</f>
        <v>0</v>
      </c>
      <c r="Y36" s="38">
        <f>IF($A36&gt;LastT,0,-V36+Y37/(1+Policy_Sched!$K36))</f>
        <v>0</v>
      </c>
      <c r="Z36" s="42">
        <f t="shared" si="14"/>
        <v>0</v>
      </c>
      <c r="AA36" s="38">
        <f>IF($A36&gt;LastT,0,N36-V36-Q36/(1+Policy_Sched!$K36)+Z37/(1+Policy_Sched!$K36))</f>
        <v>0</v>
      </c>
    </row>
    <row r="37" spans="1:27" x14ac:dyDescent="0.2">
      <c r="A37" s="30">
        <f t="shared" si="15"/>
        <v>30</v>
      </c>
      <c r="B37" s="31">
        <f t="shared" si="16"/>
        <v>0</v>
      </c>
      <c r="C37" s="31">
        <f>IF($A37&gt;LastT,0,IF(AND($D$3&lt;&gt;0,$A37&gt;=T0,Policy_Sched!$B37&lt;LastAge),1+$D$3*$E$3,1))</f>
        <v>0</v>
      </c>
      <c r="D37" s="36">
        <f>IF($A37&gt;LastT,0,IF($C$3="up",MIN(Policy_Sched!$E37*(1+IF($A37&gt;=T0,$E$3,0)),$F$3),IF($C$3="down",MAX(Policy_Sched!$E37*(1-IF($A37&gt;=T0,$E$3,0)),Policy_Sched!$E37-$F$3),Policy_Sched!$E37)))</f>
        <v>0</v>
      </c>
      <c r="E37" s="37">
        <f t="shared" si="17"/>
        <v>0</v>
      </c>
      <c r="F37" s="37">
        <f t="shared" si="0"/>
        <v>0</v>
      </c>
      <c r="G37" s="37">
        <f t="shared" si="1"/>
        <v>0</v>
      </c>
      <c r="H37" s="37">
        <f t="shared" si="2"/>
        <v>0</v>
      </c>
      <c r="I37" s="37">
        <f t="shared" si="3"/>
        <v>0</v>
      </c>
      <c r="J37" s="37">
        <f t="shared" si="4"/>
        <v>0</v>
      </c>
      <c r="K37" s="37">
        <f>IF($A37&gt;LastT,0,J37*Policy_Sched!$C37*Policy_Sched!$D37*C37)</f>
        <v>0</v>
      </c>
      <c r="L37" s="41">
        <f t="shared" si="5"/>
        <v>0</v>
      </c>
      <c r="M37" s="38">
        <f t="shared" si="6"/>
        <v>0</v>
      </c>
      <c r="N37" s="38">
        <f t="shared" si="7"/>
        <v>0</v>
      </c>
      <c r="O37" s="38">
        <f t="shared" si="8"/>
        <v>0</v>
      </c>
      <c r="P37" s="38">
        <f>Policy_Sched!$I37*(L37+I37)</f>
        <v>0</v>
      </c>
      <c r="Q37" s="42">
        <f t="shared" si="9"/>
        <v>0</v>
      </c>
      <c r="R37" s="38">
        <f t="shared" si="10"/>
        <v>0</v>
      </c>
      <c r="S37" s="38">
        <f t="shared" si="11"/>
        <v>0</v>
      </c>
      <c r="T37" s="38">
        <f>Policy_Sched!$J37*J37</f>
        <v>0</v>
      </c>
      <c r="U37" s="42">
        <f t="shared" si="12"/>
        <v>0</v>
      </c>
      <c r="V37" s="42">
        <f t="shared" si="13"/>
        <v>0</v>
      </c>
      <c r="W37" s="38">
        <f>IF($A37&gt;LastT,0,N37+W38/(1+Policy_Sched!$K37))</f>
        <v>0</v>
      </c>
      <c r="X37" s="38">
        <f>IF($A37&gt;LastT,0,(-Q37+X38)/(1+Policy_Sched!$K37))</f>
        <v>0</v>
      </c>
      <c r="Y37" s="38">
        <f>IF($A37&gt;LastT,0,-V37+Y38/(1+Policy_Sched!$K37))</f>
        <v>0</v>
      </c>
      <c r="Z37" s="42">
        <f t="shared" si="14"/>
        <v>0</v>
      </c>
      <c r="AA37" s="38">
        <f>IF($A37&gt;LastT,0,N37-V37-Q37/(1+Policy_Sched!$K37)+Z38/(1+Policy_Sched!$K37))</f>
        <v>0</v>
      </c>
    </row>
    <row r="38" spans="1:27" x14ac:dyDescent="0.2">
      <c r="A38" s="30">
        <f t="shared" si="15"/>
        <v>31</v>
      </c>
      <c r="B38" s="31">
        <f t="shared" si="16"/>
        <v>0</v>
      </c>
      <c r="C38" s="31">
        <f>IF($A38&gt;LastT,0,IF(AND($D$3&lt;&gt;0,$A38&gt;=T0,Policy_Sched!$B38&lt;LastAge),1+$D$3*$E$3,1))</f>
        <v>0</v>
      </c>
      <c r="D38" s="36">
        <f>IF($A38&gt;LastT,0,IF($C$3="up",MIN(Policy_Sched!$E38*(1+IF($A38&gt;=T0,$E$3,0)),$F$3),IF($C$3="down",MAX(Policy_Sched!$E38*(1-IF($A38&gt;=T0,$E$3,0)),Policy_Sched!$E38-$F$3),Policy_Sched!$E38)))</f>
        <v>0</v>
      </c>
      <c r="E38" s="37">
        <f t="shared" si="17"/>
        <v>0</v>
      </c>
      <c r="F38" s="37">
        <f t="shared" si="0"/>
        <v>0</v>
      </c>
      <c r="G38" s="37">
        <f t="shared" si="1"/>
        <v>0</v>
      </c>
      <c r="H38" s="37">
        <f t="shared" si="2"/>
        <v>0</v>
      </c>
      <c r="I38" s="37">
        <f t="shared" si="3"/>
        <v>0</v>
      </c>
      <c r="J38" s="37">
        <f t="shared" si="4"/>
        <v>0</v>
      </c>
      <c r="K38" s="37">
        <f>IF($A38&gt;LastT,0,J38*Policy_Sched!$C38*Policy_Sched!$D38*C38)</f>
        <v>0</v>
      </c>
      <c r="L38" s="41">
        <f t="shared" si="5"/>
        <v>0</v>
      </c>
      <c r="M38" s="38">
        <f t="shared" si="6"/>
        <v>0</v>
      </c>
      <c r="N38" s="38">
        <f t="shared" si="7"/>
        <v>0</v>
      </c>
      <c r="O38" s="38">
        <f t="shared" si="8"/>
        <v>0</v>
      </c>
      <c r="P38" s="38">
        <f>Policy_Sched!$I38*(L38+I38)</f>
        <v>0</v>
      </c>
      <c r="Q38" s="42">
        <f t="shared" si="9"/>
        <v>0</v>
      </c>
      <c r="R38" s="38">
        <f t="shared" si="10"/>
        <v>0</v>
      </c>
      <c r="S38" s="38">
        <f t="shared" si="11"/>
        <v>0</v>
      </c>
      <c r="T38" s="38">
        <f>Policy_Sched!$J38*J38</f>
        <v>0</v>
      </c>
      <c r="U38" s="42">
        <f t="shared" si="12"/>
        <v>0</v>
      </c>
      <c r="V38" s="42">
        <f t="shared" si="13"/>
        <v>0</v>
      </c>
      <c r="W38" s="38">
        <f>IF($A38&gt;LastT,0,N38+W39/(1+Policy_Sched!$K38))</f>
        <v>0</v>
      </c>
      <c r="X38" s="38">
        <f>IF($A38&gt;LastT,0,(-Q38+X39)/(1+Policy_Sched!$K38))</f>
        <v>0</v>
      </c>
      <c r="Y38" s="38">
        <f>IF($A38&gt;LastT,0,-V38+Y39/(1+Policy_Sched!$K38))</f>
        <v>0</v>
      </c>
      <c r="Z38" s="42">
        <f t="shared" si="14"/>
        <v>0</v>
      </c>
      <c r="AA38" s="38">
        <f>IF($A38&gt;LastT,0,N38-V38-Q38/(1+Policy_Sched!$K38)+Z39/(1+Policy_Sched!$K38))</f>
        <v>0</v>
      </c>
    </row>
    <row r="39" spans="1:27" x14ac:dyDescent="0.2">
      <c r="A39" s="30">
        <f t="shared" si="15"/>
        <v>32</v>
      </c>
      <c r="B39" s="31">
        <f t="shared" si="16"/>
        <v>0</v>
      </c>
      <c r="C39" s="31">
        <f>IF($A39&gt;LastT,0,IF(AND($D$3&lt;&gt;0,$A39&gt;=T0,Policy_Sched!$B39&lt;LastAge),1+$D$3*$E$3,1))</f>
        <v>0</v>
      </c>
      <c r="D39" s="36">
        <f>IF($A39&gt;LastT,0,IF($C$3="up",MIN(Policy_Sched!$E39*(1+IF($A39&gt;=T0,$E$3,0)),$F$3),IF($C$3="down",MAX(Policy_Sched!$E39*(1-IF($A39&gt;=T0,$E$3,0)),Policy_Sched!$E39-$F$3),Policy_Sched!$E39)))</f>
        <v>0</v>
      </c>
      <c r="E39" s="37">
        <f t="shared" si="17"/>
        <v>0</v>
      </c>
      <c r="F39" s="37">
        <f t="shared" ref="F39:F70" si="18">IF($A39&gt;LastT,0,IF($A39=PolicyTerm,E39,0))</f>
        <v>0</v>
      </c>
      <c r="G39" s="37">
        <f t="shared" ref="G39:G70" si="19">IF($A39&gt;LastT,0,E39-F39)</f>
        <v>0</v>
      </c>
      <c r="H39" s="37">
        <f t="shared" ref="H39:H70" si="20">IF($A39=0,PolicyCount,0)</f>
        <v>0</v>
      </c>
      <c r="I39" s="37">
        <f t="shared" ref="I39:I70" si="21">IF($A39&gt;LastT,0,IF(AND($C$3="mass",$A39=T0),(G39+H39)*$E$3,0))</f>
        <v>0</v>
      </c>
      <c r="J39" s="37">
        <f t="shared" ref="J39:J70" si="22">IF($A39&gt;LastT,0,G39+H39-I39)</f>
        <v>0</v>
      </c>
      <c r="K39" s="37">
        <f>IF($A39&gt;LastT,0,J39*Policy_Sched!$C39*Policy_Sched!$D39*C39)</f>
        <v>0</v>
      </c>
      <c r="L39" s="41">
        <f t="shared" ref="L39:L70" si="23">J39*D39</f>
        <v>0</v>
      </c>
      <c r="M39" s="38">
        <f t="shared" ref="M39:M70" si="24">IF($A39&gt;LastT,0,(SizeAnnPrem*ExpsMaintAnnPrem+(SumAssured*ExpsMaintSA+ExpsMaintPol)*B39)*(1+IF($B$3="exps",$E$3,0)))</f>
        <v>0</v>
      </c>
      <c r="N39" s="38">
        <f t="shared" ref="N39:N70" si="25">SizePremium*J39</f>
        <v>0</v>
      </c>
      <c r="O39" s="38">
        <f t="shared" ref="O39:O70" si="26">SumAssured*K39</f>
        <v>0</v>
      </c>
      <c r="P39" s="38">
        <f>Policy_Sched!$I39*(L39+I39)</f>
        <v>0</v>
      </c>
      <c r="Q39" s="42">
        <f t="shared" ref="Q39:Q70" si="27">O39+P39</f>
        <v>0</v>
      </c>
      <c r="R39" s="38">
        <f t="shared" ref="R39:R70" si="28">IF($A39=0,SizeExpsAcq0*H39,0)</f>
        <v>0</v>
      </c>
      <c r="S39" s="38">
        <f t="shared" ref="S39:S70" si="29">IF($A39=0,SizeExpsCommInit0*J39,0)</f>
        <v>0</v>
      </c>
      <c r="T39" s="38">
        <f>Policy_Sched!$J39*J39</f>
        <v>0</v>
      </c>
      <c r="U39" s="42">
        <f t="shared" ref="U39:U70" si="30">M39*J39</f>
        <v>0</v>
      </c>
      <c r="V39" s="42">
        <f t="shared" ref="V39:V70" si="31">S39+T39+R39+U39</f>
        <v>0</v>
      </c>
      <c r="W39" s="38">
        <f>IF($A39&gt;LastT,0,N39+W40/(1+Policy_Sched!$K39))</f>
        <v>0</v>
      </c>
      <c r="X39" s="38">
        <f>IF($A39&gt;LastT,0,(-Q39+X40)/(1+Policy_Sched!$K39))</f>
        <v>0</v>
      </c>
      <c r="Y39" s="38">
        <f>IF($A39&gt;LastT,0,-V39+Y40/(1+Policy_Sched!$K39))</f>
        <v>0</v>
      </c>
      <c r="Z39" s="42">
        <f t="shared" ref="Z39:Z70" si="32">W39+Y39+X39</f>
        <v>0</v>
      </c>
      <c r="AA39" s="38">
        <f>IF($A39&gt;LastT,0,N39-V39-Q39/(1+Policy_Sched!$K39)+Z40/(1+Policy_Sched!$K39))</f>
        <v>0</v>
      </c>
    </row>
    <row r="40" spans="1:27" x14ac:dyDescent="0.2">
      <c r="A40" s="30">
        <f t="shared" ref="A40:A71" si="33">A39+1</f>
        <v>33</v>
      </c>
      <c r="B40" s="31">
        <f t="shared" ref="B40:B71" si="34">IF($A40&gt;LastT,0,IF($B$3="exps",B39*(1+InflRate+IF($A40&gt;=T0,$G$3,0)),B39/(1+InflRate)))</f>
        <v>0</v>
      </c>
      <c r="C40" s="31">
        <f>IF($A40&gt;LastT,0,IF(AND($D$3&lt;&gt;0,$A40&gt;=T0,Policy_Sched!$B40&lt;LastAge),1+$D$3*$E$3,1))</f>
        <v>0</v>
      </c>
      <c r="D40" s="36">
        <f>IF($A40&gt;LastT,0,IF($C$3="up",MIN(Policy_Sched!$E40*(1+IF($A40&gt;=T0,$E$3,0)),$F$3),IF($C$3="down",MAX(Policy_Sched!$E40*(1-IF($A40&gt;=T0,$E$3,0)),Policy_Sched!$E40-$F$3),Policy_Sched!$E40)))</f>
        <v>0</v>
      </c>
      <c r="E40" s="37">
        <f t="shared" ref="E40:E71" si="35">IF($A40&gt;LastT,0,J39-K39-L39)</f>
        <v>0</v>
      </c>
      <c r="F40" s="37">
        <f t="shared" si="18"/>
        <v>0</v>
      </c>
      <c r="G40" s="37">
        <f t="shared" si="19"/>
        <v>0</v>
      </c>
      <c r="H40" s="37">
        <f t="shared" si="20"/>
        <v>0</v>
      </c>
      <c r="I40" s="37">
        <f t="shared" si="21"/>
        <v>0</v>
      </c>
      <c r="J40" s="37">
        <f t="shared" si="22"/>
        <v>0</v>
      </c>
      <c r="K40" s="37">
        <f>IF($A40&gt;LastT,0,J40*Policy_Sched!$C40*Policy_Sched!$D40*C40)</f>
        <v>0</v>
      </c>
      <c r="L40" s="41">
        <f t="shared" si="23"/>
        <v>0</v>
      </c>
      <c r="M40" s="38">
        <f t="shared" si="24"/>
        <v>0</v>
      </c>
      <c r="N40" s="38">
        <f t="shared" si="25"/>
        <v>0</v>
      </c>
      <c r="O40" s="38">
        <f t="shared" si="26"/>
        <v>0</v>
      </c>
      <c r="P40" s="38">
        <f>Policy_Sched!$I40*(L40+I40)</f>
        <v>0</v>
      </c>
      <c r="Q40" s="42">
        <f t="shared" si="27"/>
        <v>0</v>
      </c>
      <c r="R40" s="38">
        <f t="shared" si="28"/>
        <v>0</v>
      </c>
      <c r="S40" s="38">
        <f t="shared" si="29"/>
        <v>0</v>
      </c>
      <c r="T40" s="38">
        <f>Policy_Sched!$J40*J40</f>
        <v>0</v>
      </c>
      <c r="U40" s="42">
        <f t="shared" si="30"/>
        <v>0</v>
      </c>
      <c r="V40" s="42">
        <f t="shared" si="31"/>
        <v>0</v>
      </c>
      <c r="W40" s="38">
        <f>IF($A40&gt;LastT,0,N40+W41/(1+Policy_Sched!$K40))</f>
        <v>0</v>
      </c>
      <c r="X40" s="38">
        <f>IF($A40&gt;LastT,0,(-Q40+X41)/(1+Policy_Sched!$K40))</f>
        <v>0</v>
      </c>
      <c r="Y40" s="38">
        <f>IF($A40&gt;LastT,0,-V40+Y41/(1+Policy_Sched!$K40))</f>
        <v>0</v>
      </c>
      <c r="Z40" s="42">
        <f t="shared" si="32"/>
        <v>0</v>
      </c>
      <c r="AA40" s="38">
        <f>IF($A40&gt;LastT,0,N40-V40-Q40/(1+Policy_Sched!$K40)+Z41/(1+Policy_Sched!$K40))</f>
        <v>0</v>
      </c>
    </row>
    <row r="41" spans="1:27" x14ac:dyDescent="0.2">
      <c r="A41" s="30">
        <f t="shared" si="33"/>
        <v>34</v>
      </c>
      <c r="B41" s="31">
        <f t="shared" si="34"/>
        <v>0</v>
      </c>
      <c r="C41" s="31">
        <f>IF($A41&gt;LastT,0,IF(AND($D$3&lt;&gt;0,$A41&gt;=T0,Policy_Sched!$B41&lt;LastAge),1+$D$3*$E$3,1))</f>
        <v>0</v>
      </c>
      <c r="D41" s="36">
        <f>IF($A41&gt;LastT,0,IF($C$3="up",MIN(Policy_Sched!$E41*(1+IF($A41&gt;=T0,$E$3,0)),$F$3),IF($C$3="down",MAX(Policy_Sched!$E41*(1-IF($A41&gt;=T0,$E$3,0)),Policy_Sched!$E41-$F$3),Policy_Sched!$E41)))</f>
        <v>0</v>
      </c>
      <c r="E41" s="37">
        <f t="shared" si="35"/>
        <v>0</v>
      </c>
      <c r="F41" s="37">
        <f t="shared" si="18"/>
        <v>0</v>
      </c>
      <c r="G41" s="37">
        <f t="shared" si="19"/>
        <v>0</v>
      </c>
      <c r="H41" s="37">
        <f t="shared" si="20"/>
        <v>0</v>
      </c>
      <c r="I41" s="37">
        <f t="shared" si="21"/>
        <v>0</v>
      </c>
      <c r="J41" s="37">
        <f t="shared" si="22"/>
        <v>0</v>
      </c>
      <c r="K41" s="37">
        <f>IF($A41&gt;LastT,0,J41*Policy_Sched!$C41*Policy_Sched!$D41*C41)</f>
        <v>0</v>
      </c>
      <c r="L41" s="41">
        <f t="shared" si="23"/>
        <v>0</v>
      </c>
      <c r="M41" s="38">
        <f t="shared" si="24"/>
        <v>0</v>
      </c>
      <c r="N41" s="38">
        <f t="shared" si="25"/>
        <v>0</v>
      </c>
      <c r="O41" s="38">
        <f t="shared" si="26"/>
        <v>0</v>
      </c>
      <c r="P41" s="38">
        <f>Policy_Sched!$I41*(L41+I41)</f>
        <v>0</v>
      </c>
      <c r="Q41" s="42">
        <f t="shared" si="27"/>
        <v>0</v>
      </c>
      <c r="R41" s="38">
        <f t="shared" si="28"/>
        <v>0</v>
      </c>
      <c r="S41" s="38">
        <f t="shared" si="29"/>
        <v>0</v>
      </c>
      <c r="T41" s="38">
        <f>Policy_Sched!$J41*J41</f>
        <v>0</v>
      </c>
      <c r="U41" s="42">
        <f t="shared" si="30"/>
        <v>0</v>
      </c>
      <c r="V41" s="42">
        <f t="shared" si="31"/>
        <v>0</v>
      </c>
      <c r="W41" s="38">
        <f>IF($A41&gt;LastT,0,N41+W42/(1+Policy_Sched!$K41))</f>
        <v>0</v>
      </c>
      <c r="X41" s="38">
        <f>IF($A41&gt;LastT,0,(-Q41+X42)/(1+Policy_Sched!$K41))</f>
        <v>0</v>
      </c>
      <c r="Y41" s="38">
        <f>IF($A41&gt;LastT,0,-V41+Y42/(1+Policy_Sched!$K41))</f>
        <v>0</v>
      </c>
      <c r="Z41" s="42">
        <f t="shared" si="32"/>
        <v>0</v>
      </c>
      <c r="AA41" s="38">
        <f>IF($A41&gt;LastT,0,N41-V41-Q41/(1+Policy_Sched!$K41)+Z42/(1+Policy_Sched!$K41))</f>
        <v>0</v>
      </c>
    </row>
    <row r="42" spans="1:27" x14ac:dyDescent="0.2">
      <c r="A42" s="30">
        <f t="shared" si="33"/>
        <v>35</v>
      </c>
      <c r="B42" s="31">
        <f t="shared" si="34"/>
        <v>0</v>
      </c>
      <c r="C42" s="31">
        <f>IF($A42&gt;LastT,0,IF(AND($D$3&lt;&gt;0,$A42&gt;=T0,Policy_Sched!$B42&lt;LastAge),1+$D$3*$E$3,1))</f>
        <v>0</v>
      </c>
      <c r="D42" s="36">
        <f>IF($A42&gt;LastT,0,IF($C$3="up",MIN(Policy_Sched!$E42*(1+IF($A42&gt;=T0,$E$3,0)),$F$3),IF($C$3="down",MAX(Policy_Sched!$E42*(1-IF($A42&gt;=T0,$E$3,0)),Policy_Sched!$E42-$F$3),Policy_Sched!$E42)))</f>
        <v>0</v>
      </c>
      <c r="E42" s="37">
        <f t="shared" si="35"/>
        <v>0</v>
      </c>
      <c r="F42" s="37">
        <f t="shared" si="18"/>
        <v>0</v>
      </c>
      <c r="G42" s="37">
        <f t="shared" si="19"/>
        <v>0</v>
      </c>
      <c r="H42" s="37">
        <f t="shared" si="20"/>
        <v>0</v>
      </c>
      <c r="I42" s="37">
        <f t="shared" si="21"/>
        <v>0</v>
      </c>
      <c r="J42" s="37">
        <f t="shared" si="22"/>
        <v>0</v>
      </c>
      <c r="K42" s="37">
        <f>IF($A42&gt;LastT,0,J42*Policy_Sched!$C42*Policy_Sched!$D42*C42)</f>
        <v>0</v>
      </c>
      <c r="L42" s="41">
        <f t="shared" si="23"/>
        <v>0</v>
      </c>
      <c r="M42" s="38">
        <f t="shared" si="24"/>
        <v>0</v>
      </c>
      <c r="N42" s="38">
        <f t="shared" si="25"/>
        <v>0</v>
      </c>
      <c r="O42" s="38">
        <f t="shared" si="26"/>
        <v>0</v>
      </c>
      <c r="P42" s="38">
        <f>Policy_Sched!$I42*(L42+I42)</f>
        <v>0</v>
      </c>
      <c r="Q42" s="42">
        <f t="shared" si="27"/>
        <v>0</v>
      </c>
      <c r="R42" s="38">
        <f t="shared" si="28"/>
        <v>0</v>
      </c>
      <c r="S42" s="38">
        <f t="shared" si="29"/>
        <v>0</v>
      </c>
      <c r="T42" s="38">
        <f>Policy_Sched!$J42*J42</f>
        <v>0</v>
      </c>
      <c r="U42" s="42">
        <f t="shared" si="30"/>
        <v>0</v>
      </c>
      <c r="V42" s="42">
        <f t="shared" si="31"/>
        <v>0</v>
      </c>
      <c r="W42" s="38">
        <f>IF($A42&gt;LastT,0,N42+W43/(1+Policy_Sched!$K42))</f>
        <v>0</v>
      </c>
      <c r="X42" s="38">
        <f>IF($A42&gt;LastT,0,(-Q42+X43)/(1+Policy_Sched!$K42))</f>
        <v>0</v>
      </c>
      <c r="Y42" s="38">
        <f>IF($A42&gt;LastT,0,-V42+Y43/(1+Policy_Sched!$K42))</f>
        <v>0</v>
      </c>
      <c r="Z42" s="42">
        <f t="shared" si="32"/>
        <v>0</v>
      </c>
      <c r="AA42" s="38">
        <f>IF($A42&gt;LastT,0,N42-V42-Q42/(1+Policy_Sched!$K42)+Z43/(1+Policy_Sched!$K42))</f>
        <v>0</v>
      </c>
    </row>
    <row r="43" spans="1:27" x14ac:dyDescent="0.2">
      <c r="A43" s="30">
        <f t="shared" si="33"/>
        <v>36</v>
      </c>
      <c r="B43" s="31">
        <f t="shared" si="34"/>
        <v>0</v>
      </c>
      <c r="C43" s="31">
        <f>IF($A43&gt;LastT,0,IF(AND($D$3&lt;&gt;0,$A43&gt;=T0,Policy_Sched!$B43&lt;LastAge),1+$D$3*$E$3,1))</f>
        <v>0</v>
      </c>
      <c r="D43" s="36">
        <f>IF($A43&gt;LastT,0,IF($C$3="up",MIN(Policy_Sched!$E43*(1+IF($A43&gt;=T0,$E$3,0)),$F$3),IF($C$3="down",MAX(Policy_Sched!$E43*(1-IF($A43&gt;=T0,$E$3,0)),Policy_Sched!$E43-$F$3),Policy_Sched!$E43)))</f>
        <v>0</v>
      </c>
      <c r="E43" s="37">
        <f t="shared" si="35"/>
        <v>0</v>
      </c>
      <c r="F43" s="37">
        <f t="shared" si="18"/>
        <v>0</v>
      </c>
      <c r="G43" s="37">
        <f t="shared" si="19"/>
        <v>0</v>
      </c>
      <c r="H43" s="37">
        <f t="shared" si="20"/>
        <v>0</v>
      </c>
      <c r="I43" s="37">
        <f t="shared" si="21"/>
        <v>0</v>
      </c>
      <c r="J43" s="37">
        <f t="shared" si="22"/>
        <v>0</v>
      </c>
      <c r="K43" s="37">
        <f>IF($A43&gt;LastT,0,J43*Policy_Sched!$C43*Policy_Sched!$D43*C43)</f>
        <v>0</v>
      </c>
      <c r="L43" s="41">
        <f t="shared" si="23"/>
        <v>0</v>
      </c>
      <c r="M43" s="38">
        <f t="shared" si="24"/>
        <v>0</v>
      </c>
      <c r="N43" s="38">
        <f t="shared" si="25"/>
        <v>0</v>
      </c>
      <c r="O43" s="38">
        <f t="shared" si="26"/>
        <v>0</v>
      </c>
      <c r="P43" s="38">
        <f>Policy_Sched!$I43*(L43+I43)</f>
        <v>0</v>
      </c>
      <c r="Q43" s="42">
        <f t="shared" si="27"/>
        <v>0</v>
      </c>
      <c r="R43" s="38">
        <f t="shared" si="28"/>
        <v>0</v>
      </c>
      <c r="S43" s="38">
        <f t="shared" si="29"/>
        <v>0</v>
      </c>
      <c r="T43" s="38">
        <f>Policy_Sched!$J43*J43</f>
        <v>0</v>
      </c>
      <c r="U43" s="42">
        <f t="shared" si="30"/>
        <v>0</v>
      </c>
      <c r="V43" s="42">
        <f t="shared" si="31"/>
        <v>0</v>
      </c>
      <c r="W43" s="38">
        <f>IF($A43&gt;LastT,0,N43+W44/(1+Policy_Sched!$K43))</f>
        <v>0</v>
      </c>
      <c r="X43" s="38">
        <f>IF($A43&gt;LastT,0,(-Q43+X44)/(1+Policy_Sched!$K43))</f>
        <v>0</v>
      </c>
      <c r="Y43" s="38">
        <f>IF($A43&gt;LastT,0,-V43+Y44/(1+Policy_Sched!$K43))</f>
        <v>0</v>
      </c>
      <c r="Z43" s="42">
        <f t="shared" si="32"/>
        <v>0</v>
      </c>
      <c r="AA43" s="38">
        <f>IF($A43&gt;LastT,0,N43-V43-Q43/(1+Policy_Sched!$K43)+Z44/(1+Policy_Sched!$K43))</f>
        <v>0</v>
      </c>
    </row>
    <row r="44" spans="1:27" x14ac:dyDescent="0.2">
      <c r="A44" s="30">
        <f t="shared" si="33"/>
        <v>37</v>
      </c>
      <c r="B44" s="31">
        <f t="shared" si="34"/>
        <v>0</v>
      </c>
      <c r="C44" s="31">
        <f>IF($A44&gt;LastT,0,IF(AND($D$3&lt;&gt;0,$A44&gt;=T0,Policy_Sched!$B44&lt;LastAge),1+$D$3*$E$3,1))</f>
        <v>0</v>
      </c>
      <c r="D44" s="36">
        <f>IF($A44&gt;LastT,0,IF($C$3="up",MIN(Policy_Sched!$E44*(1+IF($A44&gt;=T0,$E$3,0)),$F$3),IF($C$3="down",MAX(Policy_Sched!$E44*(1-IF($A44&gt;=T0,$E$3,0)),Policy_Sched!$E44-$F$3),Policy_Sched!$E44)))</f>
        <v>0</v>
      </c>
      <c r="E44" s="37">
        <f t="shared" si="35"/>
        <v>0</v>
      </c>
      <c r="F44" s="37">
        <f t="shared" si="18"/>
        <v>0</v>
      </c>
      <c r="G44" s="37">
        <f t="shared" si="19"/>
        <v>0</v>
      </c>
      <c r="H44" s="37">
        <f t="shared" si="20"/>
        <v>0</v>
      </c>
      <c r="I44" s="37">
        <f t="shared" si="21"/>
        <v>0</v>
      </c>
      <c r="J44" s="37">
        <f t="shared" si="22"/>
        <v>0</v>
      </c>
      <c r="K44" s="37">
        <f>IF($A44&gt;LastT,0,J44*Policy_Sched!$C44*Policy_Sched!$D44*C44)</f>
        <v>0</v>
      </c>
      <c r="L44" s="41">
        <f t="shared" si="23"/>
        <v>0</v>
      </c>
      <c r="M44" s="38">
        <f t="shared" si="24"/>
        <v>0</v>
      </c>
      <c r="N44" s="38">
        <f t="shared" si="25"/>
        <v>0</v>
      </c>
      <c r="O44" s="38">
        <f t="shared" si="26"/>
        <v>0</v>
      </c>
      <c r="P44" s="38">
        <f>Policy_Sched!$I44*(L44+I44)</f>
        <v>0</v>
      </c>
      <c r="Q44" s="42">
        <f t="shared" si="27"/>
        <v>0</v>
      </c>
      <c r="R44" s="38">
        <f t="shared" si="28"/>
        <v>0</v>
      </c>
      <c r="S44" s="38">
        <f t="shared" si="29"/>
        <v>0</v>
      </c>
      <c r="T44" s="38">
        <f>Policy_Sched!$J44*J44</f>
        <v>0</v>
      </c>
      <c r="U44" s="42">
        <f t="shared" si="30"/>
        <v>0</v>
      </c>
      <c r="V44" s="42">
        <f t="shared" si="31"/>
        <v>0</v>
      </c>
      <c r="W44" s="38">
        <f>IF($A44&gt;LastT,0,N44+W45/(1+Policy_Sched!$K44))</f>
        <v>0</v>
      </c>
      <c r="X44" s="38">
        <f>IF($A44&gt;LastT,0,(-Q44+X45)/(1+Policy_Sched!$K44))</f>
        <v>0</v>
      </c>
      <c r="Y44" s="38">
        <f>IF($A44&gt;LastT,0,-V44+Y45/(1+Policy_Sched!$K44))</f>
        <v>0</v>
      </c>
      <c r="Z44" s="42">
        <f t="shared" si="32"/>
        <v>0</v>
      </c>
      <c r="AA44" s="38">
        <f>IF($A44&gt;LastT,0,N44-V44-Q44/(1+Policy_Sched!$K44)+Z45/(1+Policy_Sched!$K44))</f>
        <v>0</v>
      </c>
    </row>
    <row r="45" spans="1:27" x14ac:dyDescent="0.2">
      <c r="A45" s="30">
        <f t="shared" si="33"/>
        <v>38</v>
      </c>
      <c r="B45" s="31">
        <f t="shared" si="34"/>
        <v>0</v>
      </c>
      <c r="C45" s="31">
        <f>IF($A45&gt;LastT,0,IF(AND($D$3&lt;&gt;0,$A45&gt;=T0,Policy_Sched!$B45&lt;LastAge),1+$D$3*$E$3,1))</f>
        <v>0</v>
      </c>
      <c r="D45" s="36">
        <f>IF($A45&gt;LastT,0,IF($C$3="up",MIN(Policy_Sched!$E45*(1+IF($A45&gt;=T0,$E$3,0)),$F$3),IF($C$3="down",MAX(Policy_Sched!$E45*(1-IF($A45&gt;=T0,$E$3,0)),Policy_Sched!$E45-$F$3),Policy_Sched!$E45)))</f>
        <v>0</v>
      </c>
      <c r="E45" s="37">
        <f t="shared" si="35"/>
        <v>0</v>
      </c>
      <c r="F45" s="37">
        <f t="shared" si="18"/>
        <v>0</v>
      </c>
      <c r="G45" s="37">
        <f t="shared" si="19"/>
        <v>0</v>
      </c>
      <c r="H45" s="37">
        <f t="shared" si="20"/>
        <v>0</v>
      </c>
      <c r="I45" s="37">
        <f t="shared" si="21"/>
        <v>0</v>
      </c>
      <c r="J45" s="37">
        <f t="shared" si="22"/>
        <v>0</v>
      </c>
      <c r="K45" s="37">
        <f>IF($A45&gt;LastT,0,J45*Policy_Sched!$C45*Policy_Sched!$D45*C45)</f>
        <v>0</v>
      </c>
      <c r="L45" s="41">
        <f t="shared" si="23"/>
        <v>0</v>
      </c>
      <c r="M45" s="38">
        <f t="shared" si="24"/>
        <v>0</v>
      </c>
      <c r="N45" s="38">
        <f t="shared" si="25"/>
        <v>0</v>
      </c>
      <c r="O45" s="38">
        <f t="shared" si="26"/>
        <v>0</v>
      </c>
      <c r="P45" s="38">
        <f>Policy_Sched!$I45*(L45+I45)</f>
        <v>0</v>
      </c>
      <c r="Q45" s="42">
        <f t="shared" si="27"/>
        <v>0</v>
      </c>
      <c r="R45" s="38">
        <f t="shared" si="28"/>
        <v>0</v>
      </c>
      <c r="S45" s="38">
        <f t="shared" si="29"/>
        <v>0</v>
      </c>
      <c r="T45" s="38">
        <f>Policy_Sched!$J45*J45</f>
        <v>0</v>
      </c>
      <c r="U45" s="42">
        <f t="shared" si="30"/>
        <v>0</v>
      </c>
      <c r="V45" s="42">
        <f t="shared" si="31"/>
        <v>0</v>
      </c>
      <c r="W45" s="38">
        <f>IF($A45&gt;LastT,0,N45+W46/(1+Policy_Sched!$K45))</f>
        <v>0</v>
      </c>
      <c r="X45" s="38">
        <f>IF($A45&gt;LastT,0,(-Q45+X46)/(1+Policy_Sched!$K45))</f>
        <v>0</v>
      </c>
      <c r="Y45" s="38">
        <f>IF($A45&gt;LastT,0,-V45+Y46/(1+Policy_Sched!$K45))</f>
        <v>0</v>
      </c>
      <c r="Z45" s="42">
        <f t="shared" si="32"/>
        <v>0</v>
      </c>
      <c r="AA45" s="38">
        <f>IF($A45&gt;LastT,0,N45-V45-Q45/(1+Policy_Sched!$K45)+Z46/(1+Policy_Sched!$K45))</f>
        <v>0</v>
      </c>
    </row>
    <row r="46" spans="1:27" x14ac:dyDescent="0.2">
      <c r="A46" s="30">
        <f t="shared" si="33"/>
        <v>39</v>
      </c>
      <c r="B46" s="31">
        <f t="shared" si="34"/>
        <v>0</v>
      </c>
      <c r="C46" s="31">
        <f>IF($A46&gt;LastT,0,IF(AND($D$3&lt;&gt;0,$A46&gt;=T0,Policy_Sched!$B46&lt;LastAge),1+$D$3*$E$3,1))</f>
        <v>0</v>
      </c>
      <c r="D46" s="36">
        <f>IF($A46&gt;LastT,0,IF($C$3="up",MIN(Policy_Sched!$E46*(1+IF($A46&gt;=T0,$E$3,0)),$F$3),IF($C$3="down",MAX(Policy_Sched!$E46*(1-IF($A46&gt;=T0,$E$3,0)),Policy_Sched!$E46-$F$3),Policy_Sched!$E46)))</f>
        <v>0</v>
      </c>
      <c r="E46" s="37">
        <f t="shared" si="35"/>
        <v>0</v>
      </c>
      <c r="F46" s="37">
        <f t="shared" si="18"/>
        <v>0</v>
      </c>
      <c r="G46" s="37">
        <f t="shared" si="19"/>
        <v>0</v>
      </c>
      <c r="H46" s="37">
        <f t="shared" si="20"/>
        <v>0</v>
      </c>
      <c r="I46" s="37">
        <f t="shared" si="21"/>
        <v>0</v>
      </c>
      <c r="J46" s="37">
        <f t="shared" si="22"/>
        <v>0</v>
      </c>
      <c r="K46" s="37">
        <f>IF($A46&gt;LastT,0,J46*Policy_Sched!$C46*Policy_Sched!$D46*C46)</f>
        <v>0</v>
      </c>
      <c r="L46" s="41">
        <f t="shared" si="23"/>
        <v>0</v>
      </c>
      <c r="M46" s="38">
        <f t="shared" si="24"/>
        <v>0</v>
      </c>
      <c r="N46" s="38">
        <f t="shared" si="25"/>
        <v>0</v>
      </c>
      <c r="O46" s="38">
        <f t="shared" si="26"/>
        <v>0</v>
      </c>
      <c r="P46" s="38">
        <f>Policy_Sched!$I46*(L46+I46)</f>
        <v>0</v>
      </c>
      <c r="Q46" s="42">
        <f t="shared" si="27"/>
        <v>0</v>
      </c>
      <c r="R46" s="38">
        <f t="shared" si="28"/>
        <v>0</v>
      </c>
      <c r="S46" s="38">
        <f t="shared" si="29"/>
        <v>0</v>
      </c>
      <c r="T46" s="38">
        <f>Policy_Sched!$J46*J46</f>
        <v>0</v>
      </c>
      <c r="U46" s="42">
        <f t="shared" si="30"/>
        <v>0</v>
      </c>
      <c r="V46" s="42">
        <f t="shared" si="31"/>
        <v>0</v>
      </c>
      <c r="W46" s="38">
        <f>IF($A46&gt;LastT,0,N46+W47/(1+Policy_Sched!$K46))</f>
        <v>0</v>
      </c>
      <c r="X46" s="38">
        <f>IF($A46&gt;LastT,0,(-Q46+X47)/(1+Policy_Sched!$K46))</f>
        <v>0</v>
      </c>
      <c r="Y46" s="38">
        <f>IF($A46&gt;LastT,0,-V46+Y47/(1+Policy_Sched!$K46))</f>
        <v>0</v>
      </c>
      <c r="Z46" s="42">
        <f t="shared" si="32"/>
        <v>0</v>
      </c>
      <c r="AA46" s="38">
        <f>IF($A46&gt;LastT,0,N46-V46-Q46/(1+Policy_Sched!$K46)+Z47/(1+Policy_Sched!$K46))</f>
        <v>0</v>
      </c>
    </row>
    <row r="47" spans="1:27" x14ac:dyDescent="0.2">
      <c r="A47" s="30">
        <f t="shared" si="33"/>
        <v>40</v>
      </c>
      <c r="B47" s="31">
        <f t="shared" si="34"/>
        <v>0</v>
      </c>
      <c r="C47" s="31">
        <f>IF($A47&gt;LastT,0,IF(AND($D$3&lt;&gt;0,$A47&gt;=T0,Policy_Sched!$B47&lt;LastAge),1+$D$3*$E$3,1))</f>
        <v>0</v>
      </c>
      <c r="D47" s="36">
        <f>IF($A47&gt;LastT,0,IF($C$3="up",MIN(Policy_Sched!$E47*(1+IF($A47&gt;=T0,$E$3,0)),$F$3),IF($C$3="down",MAX(Policy_Sched!$E47*(1-IF($A47&gt;=T0,$E$3,0)),Policy_Sched!$E47-$F$3),Policy_Sched!$E47)))</f>
        <v>0</v>
      </c>
      <c r="E47" s="37">
        <f t="shared" si="35"/>
        <v>0</v>
      </c>
      <c r="F47" s="37">
        <f t="shared" si="18"/>
        <v>0</v>
      </c>
      <c r="G47" s="37">
        <f t="shared" si="19"/>
        <v>0</v>
      </c>
      <c r="H47" s="37">
        <f t="shared" si="20"/>
        <v>0</v>
      </c>
      <c r="I47" s="37">
        <f t="shared" si="21"/>
        <v>0</v>
      </c>
      <c r="J47" s="37">
        <f t="shared" si="22"/>
        <v>0</v>
      </c>
      <c r="K47" s="37">
        <f>IF($A47&gt;LastT,0,J47*Policy_Sched!$C47*Policy_Sched!$D47*C47)</f>
        <v>0</v>
      </c>
      <c r="L47" s="41">
        <f t="shared" si="23"/>
        <v>0</v>
      </c>
      <c r="M47" s="38">
        <f t="shared" si="24"/>
        <v>0</v>
      </c>
      <c r="N47" s="38">
        <f t="shared" si="25"/>
        <v>0</v>
      </c>
      <c r="O47" s="38">
        <f t="shared" si="26"/>
        <v>0</v>
      </c>
      <c r="P47" s="38">
        <f>Policy_Sched!$I47*(L47+I47)</f>
        <v>0</v>
      </c>
      <c r="Q47" s="42">
        <f t="shared" si="27"/>
        <v>0</v>
      </c>
      <c r="R47" s="38">
        <f t="shared" si="28"/>
        <v>0</v>
      </c>
      <c r="S47" s="38">
        <f t="shared" si="29"/>
        <v>0</v>
      </c>
      <c r="T47" s="38">
        <f>Policy_Sched!$J47*J47</f>
        <v>0</v>
      </c>
      <c r="U47" s="42">
        <f t="shared" si="30"/>
        <v>0</v>
      </c>
      <c r="V47" s="42">
        <f t="shared" si="31"/>
        <v>0</v>
      </c>
      <c r="W47" s="38">
        <f>IF($A47&gt;LastT,0,N47+W48/(1+Policy_Sched!$K47))</f>
        <v>0</v>
      </c>
      <c r="X47" s="38">
        <f>IF($A47&gt;LastT,0,(-Q47+X48)/(1+Policy_Sched!$K47))</f>
        <v>0</v>
      </c>
      <c r="Y47" s="38">
        <f>IF($A47&gt;LastT,0,-V47+Y48/(1+Policy_Sched!$K47))</f>
        <v>0</v>
      </c>
      <c r="Z47" s="42">
        <f t="shared" si="32"/>
        <v>0</v>
      </c>
      <c r="AA47" s="38">
        <f>IF($A47&gt;LastT,0,N47-V47-Q47/(1+Policy_Sched!$K47)+Z48/(1+Policy_Sched!$K47))</f>
        <v>0</v>
      </c>
    </row>
    <row r="48" spans="1:27" x14ac:dyDescent="0.2">
      <c r="A48" s="30">
        <f t="shared" si="33"/>
        <v>41</v>
      </c>
      <c r="B48" s="31">
        <f t="shared" si="34"/>
        <v>0</v>
      </c>
      <c r="C48" s="31">
        <f>IF($A48&gt;LastT,0,IF(AND($D$3&lt;&gt;0,$A48&gt;=T0,Policy_Sched!$B48&lt;LastAge),1+$D$3*$E$3,1))</f>
        <v>0</v>
      </c>
      <c r="D48" s="36">
        <f>IF($A48&gt;LastT,0,IF($C$3="up",MIN(Policy_Sched!$E48*(1+IF($A48&gt;=T0,$E$3,0)),$F$3),IF($C$3="down",MAX(Policy_Sched!$E48*(1-IF($A48&gt;=T0,$E$3,0)),Policy_Sched!$E48-$F$3),Policy_Sched!$E48)))</f>
        <v>0</v>
      </c>
      <c r="E48" s="37">
        <f t="shared" si="35"/>
        <v>0</v>
      </c>
      <c r="F48" s="37">
        <f t="shared" si="18"/>
        <v>0</v>
      </c>
      <c r="G48" s="37">
        <f t="shared" si="19"/>
        <v>0</v>
      </c>
      <c r="H48" s="37">
        <f t="shared" si="20"/>
        <v>0</v>
      </c>
      <c r="I48" s="37">
        <f t="shared" si="21"/>
        <v>0</v>
      </c>
      <c r="J48" s="37">
        <f t="shared" si="22"/>
        <v>0</v>
      </c>
      <c r="K48" s="37">
        <f>IF($A48&gt;LastT,0,J48*Policy_Sched!$C48*Policy_Sched!$D48*C48)</f>
        <v>0</v>
      </c>
      <c r="L48" s="41">
        <f t="shared" si="23"/>
        <v>0</v>
      </c>
      <c r="M48" s="38">
        <f t="shared" si="24"/>
        <v>0</v>
      </c>
      <c r="N48" s="38">
        <f t="shared" si="25"/>
        <v>0</v>
      </c>
      <c r="O48" s="38">
        <f t="shared" si="26"/>
        <v>0</v>
      </c>
      <c r="P48" s="38">
        <f>Policy_Sched!$I48*(L48+I48)</f>
        <v>0</v>
      </c>
      <c r="Q48" s="42">
        <f t="shared" si="27"/>
        <v>0</v>
      </c>
      <c r="R48" s="38">
        <f t="shared" si="28"/>
        <v>0</v>
      </c>
      <c r="S48" s="38">
        <f t="shared" si="29"/>
        <v>0</v>
      </c>
      <c r="T48" s="38">
        <f>Policy_Sched!$J48*J48</f>
        <v>0</v>
      </c>
      <c r="U48" s="42">
        <f t="shared" si="30"/>
        <v>0</v>
      </c>
      <c r="V48" s="42">
        <f t="shared" si="31"/>
        <v>0</v>
      </c>
      <c r="W48" s="38">
        <f>IF($A48&gt;LastT,0,N48+W49/(1+Policy_Sched!$K48))</f>
        <v>0</v>
      </c>
      <c r="X48" s="38">
        <f>IF($A48&gt;LastT,0,(-Q48+X49)/(1+Policy_Sched!$K48))</f>
        <v>0</v>
      </c>
      <c r="Y48" s="38">
        <f>IF($A48&gt;LastT,0,-V48+Y49/(1+Policy_Sched!$K48))</f>
        <v>0</v>
      </c>
      <c r="Z48" s="42">
        <f t="shared" si="32"/>
        <v>0</v>
      </c>
      <c r="AA48" s="38">
        <f>IF($A48&gt;LastT,0,N48-V48-Q48/(1+Policy_Sched!$K48)+Z49/(1+Policy_Sched!$K48))</f>
        <v>0</v>
      </c>
    </row>
    <row r="49" spans="1:27" x14ac:dyDescent="0.2">
      <c r="A49" s="30">
        <f t="shared" si="33"/>
        <v>42</v>
      </c>
      <c r="B49" s="31">
        <f t="shared" si="34"/>
        <v>0</v>
      </c>
      <c r="C49" s="31">
        <f>IF($A49&gt;LastT,0,IF(AND($D$3&lt;&gt;0,$A49&gt;=T0,Policy_Sched!$B49&lt;LastAge),1+$D$3*$E$3,1))</f>
        <v>0</v>
      </c>
      <c r="D49" s="36">
        <f>IF($A49&gt;LastT,0,IF($C$3="up",MIN(Policy_Sched!$E49*(1+IF($A49&gt;=T0,$E$3,0)),$F$3),IF($C$3="down",MAX(Policy_Sched!$E49*(1-IF($A49&gt;=T0,$E$3,0)),Policy_Sched!$E49-$F$3),Policy_Sched!$E49)))</f>
        <v>0</v>
      </c>
      <c r="E49" s="37">
        <f t="shared" si="35"/>
        <v>0</v>
      </c>
      <c r="F49" s="37">
        <f t="shared" si="18"/>
        <v>0</v>
      </c>
      <c r="G49" s="37">
        <f t="shared" si="19"/>
        <v>0</v>
      </c>
      <c r="H49" s="37">
        <f t="shared" si="20"/>
        <v>0</v>
      </c>
      <c r="I49" s="37">
        <f t="shared" si="21"/>
        <v>0</v>
      </c>
      <c r="J49" s="37">
        <f t="shared" si="22"/>
        <v>0</v>
      </c>
      <c r="K49" s="37">
        <f>IF($A49&gt;LastT,0,J49*Policy_Sched!$C49*Policy_Sched!$D49*C49)</f>
        <v>0</v>
      </c>
      <c r="L49" s="41">
        <f t="shared" si="23"/>
        <v>0</v>
      </c>
      <c r="M49" s="38">
        <f t="shared" si="24"/>
        <v>0</v>
      </c>
      <c r="N49" s="38">
        <f t="shared" si="25"/>
        <v>0</v>
      </c>
      <c r="O49" s="38">
        <f t="shared" si="26"/>
        <v>0</v>
      </c>
      <c r="P49" s="38">
        <f>Policy_Sched!$I49*(L49+I49)</f>
        <v>0</v>
      </c>
      <c r="Q49" s="42">
        <f t="shared" si="27"/>
        <v>0</v>
      </c>
      <c r="R49" s="38">
        <f t="shared" si="28"/>
        <v>0</v>
      </c>
      <c r="S49" s="38">
        <f t="shared" si="29"/>
        <v>0</v>
      </c>
      <c r="T49" s="38">
        <f>Policy_Sched!$J49*J49</f>
        <v>0</v>
      </c>
      <c r="U49" s="42">
        <f t="shared" si="30"/>
        <v>0</v>
      </c>
      <c r="V49" s="42">
        <f t="shared" si="31"/>
        <v>0</v>
      </c>
      <c r="W49" s="38">
        <f>IF($A49&gt;LastT,0,N49+W50/(1+Policy_Sched!$K49))</f>
        <v>0</v>
      </c>
      <c r="X49" s="38">
        <f>IF($A49&gt;LastT,0,(-Q49+X50)/(1+Policy_Sched!$K49))</f>
        <v>0</v>
      </c>
      <c r="Y49" s="38">
        <f>IF($A49&gt;LastT,0,-V49+Y50/(1+Policy_Sched!$K49))</f>
        <v>0</v>
      </c>
      <c r="Z49" s="42">
        <f t="shared" si="32"/>
        <v>0</v>
      </c>
      <c r="AA49" s="38">
        <f>IF($A49&gt;LastT,0,N49-V49-Q49/(1+Policy_Sched!$K49)+Z50/(1+Policy_Sched!$K49))</f>
        <v>0</v>
      </c>
    </row>
    <row r="50" spans="1:27" x14ac:dyDescent="0.2">
      <c r="A50" s="30">
        <f t="shared" si="33"/>
        <v>43</v>
      </c>
      <c r="B50" s="31">
        <f t="shared" si="34"/>
        <v>0</v>
      </c>
      <c r="C50" s="31">
        <f>IF($A50&gt;LastT,0,IF(AND($D$3&lt;&gt;0,$A50&gt;=T0,Policy_Sched!$B50&lt;LastAge),1+$D$3*$E$3,1))</f>
        <v>0</v>
      </c>
      <c r="D50" s="36">
        <f>IF($A50&gt;LastT,0,IF($C$3="up",MIN(Policy_Sched!$E50*(1+IF($A50&gt;=T0,$E$3,0)),$F$3),IF($C$3="down",MAX(Policy_Sched!$E50*(1-IF($A50&gt;=T0,$E$3,0)),Policy_Sched!$E50-$F$3),Policy_Sched!$E50)))</f>
        <v>0</v>
      </c>
      <c r="E50" s="37">
        <f t="shared" si="35"/>
        <v>0</v>
      </c>
      <c r="F50" s="37">
        <f t="shared" si="18"/>
        <v>0</v>
      </c>
      <c r="G50" s="37">
        <f t="shared" si="19"/>
        <v>0</v>
      </c>
      <c r="H50" s="37">
        <f t="shared" si="20"/>
        <v>0</v>
      </c>
      <c r="I50" s="37">
        <f t="shared" si="21"/>
        <v>0</v>
      </c>
      <c r="J50" s="37">
        <f t="shared" si="22"/>
        <v>0</v>
      </c>
      <c r="K50" s="37">
        <f>IF($A50&gt;LastT,0,J50*Policy_Sched!$C50*Policy_Sched!$D50*C50)</f>
        <v>0</v>
      </c>
      <c r="L50" s="41">
        <f t="shared" si="23"/>
        <v>0</v>
      </c>
      <c r="M50" s="38">
        <f t="shared" si="24"/>
        <v>0</v>
      </c>
      <c r="N50" s="38">
        <f t="shared" si="25"/>
        <v>0</v>
      </c>
      <c r="O50" s="38">
        <f t="shared" si="26"/>
        <v>0</v>
      </c>
      <c r="P50" s="38">
        <f>Policy_Sched!$I50*(L50+I50)</f>
        <v>0</v>
      </c>
      <c r="Q50" s="42">
        <f t="shared" si="27"/>
        <v>0</v>
      </c>
      <c r="R50" s="38">
        <f t="shared" si="28"/>
        <v>0</v>
      </c>
      <c r="S50" s="38">
        <f t="shared" si="29"/>
        <v>0</v>
      </c>
      <c r="T50" s="38">
        <f>Policy_Sched!$J50*J50</f>
        <v>0</v>
      </c>
      <c r="U50" s="42">
        <f t="shared" si="30"/>
        <v>0</v>
      </c>
      <c r="V50" s="42">
        <f t="shared" si="31"/>
        <v>0</v>
      </c>
      <c r="W50" s="38">
        <f>IF($A50&gt;LastT,0,N50+W51/(1+Policy_Sched!$K50))</f>
        <v>0</v>
      </c>
      <c r="X50" s="38">
        <f>IF($A50&gt;LastT,0,(-Q50+X51)/(1+Policy_Sched!$K50))</f>
        <v>0</v>
      </c>
      <c r="Y50" s="38">
        <f>IF($A50&gt;LastT,0,-V50+Y51/(1+Policy_Sched!$K50))</f>
        <v>0</v>
      </c>
      <c r="Z50" s="42">
        <f t="shared" si="32"/>
        <v>0</v>
      </c>
      <c r="AA50" s="38">
        <f>IF($A50&gt;LastT,0,N50-V50-Q50/(1+Policy_Sched!$K50)+Z51/(1+Policy_Sched!$K50))</f>
        <v>0</v>
      </c>
    </row>
    <row r="51" spans="1:27" x14ac:dyDescent="0.2">
      <c r="A51" s="30">
        <f t="shared" si="33"/>
        <v>44</v>
      </c>
      <c r="B51" s="31">
        <f t="shared" si="34"/>
        <v>0</v>
      </c>
      <c r="C51" s="31">
        <f>IF($A51&gt;LastT,0,IF(AND($D$3&lt;&gt;0,$A51&gt;=T0,Policy_Sched!$B51&lt;LastAge),1+$D$3*$E$3,1))</f>
        <v>0</v>
      </c>
      <c r="D51" s="36">
        <f>IF($A51&gt;LastT,0,IF($C$3="up",MIN(Policy_Sched!$E51*(1+IF($A51&gt;=T0,$E$3,0)),$F$3),IF($C$3="down",MAX(Policy_Sched!$E51*(1-IF($A51&gt;=T0,$E$3,0)),Policy_Sched!$E51-$F$3),Policy_Sched!$E51)))</f>
        <v>0</v>
      </c>
      <c r="E51" s="37">
        <f t="shared" si="35"/>
        <v>0</v>
      </c>
      <c r="F51" s="37">
        <f t="shared" si="18"/>
        <v>0</v>
      </c>
      <c r="G51" s="37">
        <f t="shared" si="19"/>
        <v>0</v>
      </c>
      <c r="H51" s="37">
        <f t="shared" si="20"/>
        <v>0</v>
      </c>
      <c r="I51" s="37">
        <f t="shared" si="21"/>
        <v>0</v>
      </c>
      <c r="J51" s="37">
        <f t="shared" si="22"/>
        <v>0</v>
      </c>
      <c r="K51" s="37">
        <f>IF($A51&gt;LastT,0,J51*Policy_Sched!$C51*Policy_Sched!$D51*C51)</f>
        <v>0</v>
      </c>
      <c r="L51" s="41">
        <f t="shared" si="23"/>
        <v>0</v>
      </c>
      <c r="M51" s="38">
        <f t="shared" si="24"/>
        <v>0</v>
      </c>
      <c r="N51" s="38">
        <f t="shared" si="25"/>
        <v>0</v>
      </c>
      <c r="O51" s="38">
        <f t="shared" si="26"/>
        <v>0</v>
      </c>
      <c r="P51" s="38">
        <f>Policy_Sched!$I51*(L51+I51)</f>
        <v>0</v>
      </c>
      <c r="Q51" s="42">
        <f t="shared" si="27"/>
        <v>0</v>
      </c>
      <c r="R51" s="38">
        <f t="shared" si="28"/>
        <v>0</v>
      </c>
      <c r="S51" s="38">
        <f t="shared" si="29"/>
        <v>0</v>
      </c>
      <c r="T51" s="38">
        <f>Policy_Sched!$J51*J51</f>
        <v>0</v>
      </c>
      <c r="U51" s="42">
        <f t="shared" si="30"/>
        <v>0</v>
      </c>
      <c r="V51" s="42">
        <f t="shared" si="31"/>
        <v>0</v>
      </c>
      <c r="W51" s="38">
        <f>IF($A51&gt;LastT,0,N51+W52/(1+Policy_Sched!$K51))</f>
        <v>0</v>
      </c>
      <c r="X51" s="38">
        <f>IF($A51&gt;LastT,0,(-Q51+X52)/(1+Policy_Sched!$K51))</f>
        <v>0</v>
      </c>
      <c r="Y51" s="38">
        <f>IF($A51&gt;LastT,0,-V51+Y52/(1+Policy_Sched!$K51))</f>
        <v>0</v>
      </c>
      <c r="Z51" s="42">
        <f t="shared" si="32"/>
        <v>0</v>
      </c>
      <c r="AA51" s="38">
        <f>IF($A51&gt;LastT,0,N51-V51-Q51/(1+Policy_Sched!$K51)+Z52/(1+Policy_Sched!$K51))</f>
        <v>0</v>
      </c>
    </row>
    <row r="52" spans="1:27" x14ac:dyDescent="0.2">
      <c r="A52" s="30">
        <f t="shared" si="33"/>
        <v>45</v>
      </c>
      <c r="B52" s="31">
        <f t="shared" si="34"/>
        <v>0</v>
      </c>
      <c r="C52" s="31">
        <f>IF($A52&gt;LastT,0,IF(AND($D$3&lt;&gt;0,$A52&gt;=T0,Policy_Sched!$B52&lt;LastAge),1+$D$3*$E$3,1))</f>
        <v>0</v>
      </c>
      <c r="D52" s="36">
        <f>IF($A52&gt;LastT,0,IF($C$3="up",MIN(Policy_Sched!$E52*(1+IF($A52&gt;=T0,$E$3,0)),$F$3),IF($C$3="down",MAX(Policy_Sched!$E52*(1-IF($A52&gt;=T0,$E$3,0)),Policy_Sched!$E52-$F$3),Policy_Sched!$E52)))</f>
        <v>0</v>
      </c>
      <c r="E52" s="37">
        <f t="shared" si="35"/>
        <v>0</v>
      </c>
      <c r="F52" s="37">
        <f t="shared" si="18"/>
        <v>0</v>
      </c>
      <c r="G52" s="37">
        <f t="shared" si="19"/>
        <v>0</v>
      </c>
      <c r="H52" s="37">
        <f t="shared" si="20"/>
        <v>0</v>
      </c>
      <c r="I52" s="37">
        <f t="shared" si="21"/>
        <v>0</v>
      </c>
      <c r="J52" s="37">
        <f t="shared" si="22"/>
        <v>0</v>
      </c>
      <c r="K52" s="37">
        <f>IF($A52&gt;LastT,0,J52*Policy_Sched!$C52*Policy_Sched!$D52*C52)</f>
        <v>0</v>
      </c>
      <c r="L52" s="41">
        <f t="shared" si="23"/>
        <v>0</v>
      </c>
      <c r="M52" s="38">
        <f t="shared" si="24"/>
        <v>0</v>
      </c>
      <c r="N52" s="38">
        <f t="shared" si="25"/>
        <v>0</v>
      </c>
      <c r="O52" s="38">
        <f t="shared" si="26"/>
        <v>0</v>
      </c>
      <c r="P52" s="38">
        <f>Policy_Sched!$I52*(L52+I52)</f>
        <v>0</v>
      </c>
      <c r="Q52" s="42">
        <f t="shared" si="27"/>
        <v>0</v>
      </c>
      <c r="R52" s="38">
        <f t="shared" si="28"/>
        <v>0</v>
      </c>
      <c r="S52" s="38">
        <f t="shared" si="29"/>
        <v>0</v>
      </c>
      <c r="T52" s="38">
        <f>Policy_Sched!$J52*J52</f>
        <v>0</v>
      </c>
      <c r="U52" s="42">
        <f t="shared" si="30"/>
        <v>0</v>
      </c>
      <c r="V52" s="42">
        <f t="shared" si="31"/>
        <v>0</v>
      </c>
      <c r="W52" s="38">
        <f>IF($A52&gt;LastT,0,N52+W53/(1+Policy_Sched!$K52))</f>
        <v>0</v>
      </c>
      <c r="X52" s="38">
        <f>IF($A52&gt;LastT,0,(-Q52+X53)/(1+Policy_Sched!$K52))</f>
        <v>0</v>
      </c>
      <c r="Y52" s="38">
        <f>IF($A52&gt;LastT,0,-V52+Y53/(1+Policy_Sched!$K52))</f>
        <v>0</v>
      </c>
      <c r="Z52" s="42">
        <f t="shared" si="32"/>
        <v>0</v>
      </c>
      <c r="AA52" s="38">
        <f>IF($A52&gt;LastT,0,N52-V52-Q52/(1+Policy_Sched!$K52)+Z53/(1+Policy_Sched!$K52))</f>
        <v>0</v>
      </c>
    </row>
    <row r="53" spans="1:27" x14ac:dyDescent="0.2">
      <c r="A53" s="30">
        <f t="shared" si="33"/>
        <v>46</v>
      </c>
      <c r="B53" s="31">
        <f t="shared" si="34"/>
        <v>0</v>
      </c>
      <c r="C53" s="31">
        <f>IF($A53&gt;LastT,0,IF(AND($D$3&lt;&gt;0,$A53&gt;=T0,Policy_Sched!$B53&lt;LastAge),1+$D$3*$E$3,1))</f>
        <v>0</v>
      </c>
      <c r="D53" s="36">
        <f>IF($A53&gt;LastT,0,IF($C$3="up",MIN(Policy_Sched!$E53*(1+IF($A53&gt;=T0,$E$3,0)),$F$3),IF($C$3="down",MAX(Policy_Sched!$E53*(1-IF($A53&gt;=T0,$E$3,0)),Policy_Sched!$E53-$F$3),Policy_Sched!$E53)))</f>
        <v>0</v>
      </c>
      <c r="E53" s="37">
        <f t="shared" si="35"/>
        <v>0</v>
      </c>
      <c r="F53" s="37">
        <f t="shared" si="18"/>
        <v>0</v>
      </c>
      <c r="G53" s="37">
        <f t="shared" si="19"/>
        <v>0</v>
      </c>
      <c r="H53" s="37">
        <f t="shared" si="20"/>
        <v>0</v>
      </c>
      <c r="I53" s="37">
        <f t="shared" si="21"/>
        <v>0</v>
      </c>
      <c r="J53" s="37">
        <f t="shared" si="22"/>
        <v>0</v>
      </c>
      <c r="K53" s="37">
        <f>IF($A53&gt;LastT,0,J53*Policy_Sched!$C53*Policy_Sched!$D53*C53)</f>
        <v>0</v>
      </c>
      <c r="L53" s="41">
        <f t="shared" si="23"/>
        <v>0</v>
      </c>
      <c r="M53" s="38">
        <f t="shared" si="24"/>
        <v>0</v>
      </c>
      <c r="N53" s="38">
        <f t="shared" si="25"/>
        <v>0</v>
      </c>
      <c r="O53" s="38">
        <f t="shared" si="26"/>
        <v>0</v>
      </c>
      <c r="P53" s="38">
        <f>Policy_Sched!$I53*(L53+I53)</f>
        <v>0</v>
      </c>
      <c r="Q53" s="42">
        <f t="shared" si="27"/>
        <v>0</v>
      </c>
      <c r="R53" s="38">
        <f t="shared" si="28"/>
        <v>0</v>
      </c>
      <c r="S53" s="38">
        <f t="shared" si="29"/>
        <v>0</v>
      </c>
      <c r="T53" s="38">
        <f>Policy_Sched!$J53*J53</f>
        <v>0</v>
      </c>
      <c r="U53" s="42">
        <f t="shared" si="30"/>
        <v>0</v>
      </c>
      <c r="V53" s="42">
        <f t="shared" si="31"/>
        <v>0</v>
      </c>
      <c r="W53" s="38">
        <f>IF($A53&gt;LastT,0,N53+W54/(1+Policy_Sched!$K53))</f>
        <v>0</v>
      </c>
      <c r="X53" s="38">
        <f>IF($A53&gt;LastT,0,(-Q53+X54)/(1+Policy_Sched!$K53))</f>
        <v>0</v>
      </c>
      <c r="Y53" s="38">
        <f>IF($A53&gt;LastT,0,-V53+Y54/(1+Policy_Sched!$K53))</f>
        <v>0</v>
      </c>
      <c r="Z53" s="42">
        <f t="shared" si="32"/>
        <v>0</v>
      </c>
      <c r="AA53" s="38">
        <f>IF($A53&gt;LastT,0,N53-V53-Q53/(1+Policy_Sched!$K53)+Z54/(1+Policy_Sched!$K53))</f>
        <v>0</v>
      </c>
    </row>
    <row r="54" spans="1:27" x14ac:dyDescent="0.2">
      <c r="A54" s="30">
        <f t="shared" si="33"/>
        <v>47</v>
      </c>
      <c r="B54" s="31">
        <f t="shared" si="34"/>
        <v>0</v>
      </c>
      <c r="C54" s="31">
        <f>IF($A54&gt;LastT,0,IF(AND($D$3&lt;&gt;0,$A54&gt;=T0,Policy_Sched!$B54&lt;LastAge),1+$D$3*$E$3,1))</f>
        <v>0</v>
      </c>
      <c r="D54" s="36">
        <f>IF($A54&gt;LastT,0,IF($C$3="up",MIN(Policy_Sched!$E54*(1+IF($A54&gt;=T0,$E$3,0)),$F$3),IF($C$3="down",MAX(Policy_Sched!$E54*(1-IF($A54&gt;=T0,$E$3,0)),Policy_Sched!$E54-$F$3),Policy_Sched!$E54)))</f>
        <v>0</v>
      </c>
      <c r="E54" s="37">
        <f t="shared" si="35"/>
        <v>0</v>
      </c>
      <c r="F54" s="37">
        <f t="shared" si="18"/>
        <v>0</v>
      </c>
      <c r="G54" s="37">
        <f t="shared" si="19"/>
        <v>0</v>
      </c>
      <c r="H54" s="37">
        <f t="shared" si="20"/>
        <v>0</v>
      </c>
      <c r="I54" s="37">
        <f t="shared" si="21"/>
        <v>0</v>
      </c>
      <c r="J54" s="37">
        <f t="shared" si="22"/>
        <v>0</v>
      </c>
      <c r="K54" s="37">
        <f>IF($A54&gt;LastT,0,J54*Policy_Sched!$C54*Policy_Sched!$D54*C54)</f>
        <v>0</v>
      </c>
      <c r="L54" s="41">
        <f t="shared" si="23"/>
        <v>0</v>
      </c>
      <c r="M54" s="38">
        <f t="shared" si="24"/>
        <v>0</v>
      </c>
      <c r="N54" s="38">
        <f t="shared" si="25"/>
        <v>0</v>
      </c>
      <c r="O54" s="38">
        <f t="shared" si="26"/>
        <v>0</v>
      </c>
      <c r="P54" s="38">
        <f>Policy_Sched!$I54*(L54+I54)</f>
        <v>0</v>
      </c>
      <c r="Q54" s="42">
        <f t="shared" si="27"/>
        <v>0</v>
      </c>
      <c r="R54" s="38">
        <f t="shared" si="28"/>
        <v>0</v>
      </c>
      <c r="S54" s="38">
        <f t="shared" si="29"/>
        <v>0</v>
      </c>
      <c r="T54" s="38">
        <f>Policy_Sched!$J54*J54</f>
        <v>0</v>
      </c>
      <c r="U54" s="42">
        <f t="shared" si="30"/>
        <v>0</v>
      </c>
      <c r="V54" s="42">
        <f t="shared" si="31"/>
        <v>0</v>
      </c>
      <c r="W54" s="38">
        <f>IF($A54&gt;LastT,0,N54+W55/(1+Policy_Sched!$K54))</f>
        <v>0</v>
      </c>
      <c r="X54" s="38">
        <f>IF($A54&gt;LastT,0,(-Q54+X55)/(1+Policy_Sched!$K54))</f>
        <v>0</v>
      </c>
      <c r="Y54" s="38">
        <f>IF($A54&gt;LastT,0,-V54+Y55/(1+Policy_Sched!$K54))</f>
        <v>0</v>
      </c>
      <c r="Z54" s="42">
        <f t="shared" si="32"/>
        <v>0</v>
      </c>
      <c r="AA54" s="38">
        <f>IF($A54&gt;LastT,0,N54-V54-Q54/(1+Policy_Sched!$K54)+Z55/(1+Policy_Sched!$K54))</f>
        <v>0</v>
      </c>
    </row>
    <row r="55" spans="1:27" x14ac:dyDescent="0.2">
      <c r="A55" s="30">
        <f t="shared" si="33"/>
        <v>48</v>
      </c>
      <c r="B55" s="31">
        <f t="shared" si="34"/>
        <v>0</v>
      </c>
      <c r="C55" s="31">
        <f>IF($A55&gt;LastT,0,IF(AND($D$3&lt;&gt;0,$A55&gt;=T0,Policy_Sched!$B55&lt;LastAge),1+$D$3*$E$3,1))</f>
        <v>0</v>
      </c>
      <c r="D55" s="36">
        <f>IF($A55&gt;LastT,0,IF($C$3="up",MIN(Policy_Sched!$E55*(1+IF($A55&gt;=T0,$E$3,0)),$F$3),IF($C$3="down",MAX(Policy_Sched!$E55*(1-IF($A55&gt;=T0,$E$3,0)),Policy_Sched!$E55-$F$3),Policy_Sched!$E55)))</f>
        <v>0</v>
      </c>
      <c r="E55" s="37">
        <f t="shared" si="35"/>
        <v>0</v>
      </c>
      <c r="F55" s="37">
        <f t="shared" si="18"/>
        <v>0</v>
      </c>
      <c r="G55" s="37">
        <f t="shared" si="19"/>
        <v>0</v>
      </c>
      <c r="H55" s="37">
        <f t="shared" si="20"/>
        <v>0</v>
      </c>
      <c r="I55" s="37">
        <f t="shared" si="21"/>
        <v>0</v>
      </c>
      <c r="J55" s="37">
        <f t="shared" si="22"/>
        <v>0</v>
      </c>
      <c r="K55" s="37">
        <f>IF($A55&gt;LastT,0,J55*Policy_Sched!$C55*Policy_Sched!$D55*C55)</f>
        <v>0</v>
      </c>
      <c r="L55" s="41">
        <f t="shared" si="23"/>
        <v>0</v>
      </c>
      <c r="M55" s="38">
        <f t="shared" si="24"/>
        <v>0</v>
      </c>
      <c r="N55" s="38">
        <f t="shared" si="25"/>
        <v>0</v>
      </c>
      <c r="O55" s="38">
        <f t="shared" si="26"/>
        <v>0</v>
      </c>
      <c r="P55" s="38">
        <f>Policy_Sched!$I55*(L55+I55)</f>
        <v>0</v>
      </c>
      <c r="Q55" s="42">
        <f t="shared" si="27"/>
        <v>0</v>
      </c>
      <c r="R55" s="38">
        <f t="shared" si="28"/>
        <v>0</v>
      </c>
      <c r="S55" s="38">
        <f t="shared" si="29"/>
        <v>0</v>
      </c>
      <c r="T55" s="38">
        <f>Policy_Sched!$J55*J55</f>
        <v>0</v>
      </c>
      <c r="U55" s="42">
        <f t="shared" si="30"/>
        <v>0</v>
      </c>
      <c r="V55" s="42">
        <f t="shared" si="31"/>
        <v>0</v>
      </c>
      <c r="W55" s="38">
        <f>IF($A55&gt;LastT,0,N55+W56/(1+Policy_Sched!$K55))</f>
        <v>0</v>
      </c>
      <c r="X55" s="38">
        <f>IF($A55&gt;LastT,0,(-Q55+X56)/(1+Policy_Sched!$K55))</f>
        <v>0</v>
      </c>
      <c r="Y55" s="38">
        <f>IF($A55&gt;LastT,0,-V55+Y56/(1+Policy_Sched!$K55))</f>
        <v>0</v>
      </c>
      <c r="Z55" s="42">
        <f t="shared" si="32"/>
        <v>0</v>
      </c>
      <c r="AA55" s="38">
        <f>IF($A55&gt;LastT,0,N55-V55-Q55/(1+Policy_Sched!$K55)+Z56/(1+Policy_Sched!$K55))</f>
        <v>0</v>
      </c>
    </row>
    <row r="56" spans="1:27" x14ac:dyDescent="0.2">
      <c r="A56" s="30">
        <f t="shared" si="33"/>
        <v>49</v>
      </c>
      <c r="B56" s="31">
        <f t="shared" si="34"/>
        <v>0</v>
      </c>
      <c r="C56" s="31">
        <f>IF($A56&gt;LastT,0,IF(AND($D$3&lt;&gt;0,$A56&gt;=T0,Policy_Sched!$B56&lt;LastAge),1+$D$3*$E$3,1))</f>
        <v>0</v>
      </c>
      <c r="D56" s="36">
        <f>IF($A56&gt;LastT,0,IF($C$3="up",MIN(Policy_Sched!$E56*(1+IF($A56&gt;=T0,$E$3,0)),$F$3),IF($C$3="down",MAX(Policy_Sched!$E56*(1-IF($A56&gt;=T0,$E$3,0)),Policy_Sched!$E56-$F$3),Policy_Sched!$E56)))</f>
        <v>0</v>
      </c>
      <c r="E56" s="37">
        <f t="shared" si="35"/>
        <v>0</v>
      </c>
      <c r="F56" s="37">
        <f t="shared" si="18"/>
        <v>0</v>
      </c>
      <c r="G56" s="37">
        <f t="shared" si="19"/>
        <v>0</v>
      </c>
      <c r="H56" s="37">
        <f t="shared" si="20"/>
        <v>0</v>
      </c>
      <c r="I56" s="37">
        <f t="shared" si="21"/>
        <v>0</v>
      </c>
      <c r="J56" s="37">
        <f t="shared" si="22"/>
        <v>0</v>
      </c>
      <c r="K56" s="37">
        <f>IF($A56&gt;LastT,0,J56*Policy_Sched!$C56*Policy_Sched!$D56*C56)</f>
        <v>0</v>
      </c>
      <c r="L56" s="41">
        <f t="shared" si="23"/>
        <v>0</v>
      </c>
      <c r="M56" s="38">
        <f t="shared" si="24"/>
        <v>0</v>
      </c>
      <c r="N56" s="38">
        <f t="shared" si="25"/>
        <v>0</v>
      </c>
      <c r="O56" s="38">
        <f t="shared" si="26"/>
        <v>0</v>
      </c>
      <c r="P56" s="38">
        <f>Policy_Sched!$I56*(L56+I56)</f>
        <v>0</v>
      </c>
      <c r="Q56" s="42">
        <f t="shared" si="27"/>
        <v>0</v>
      </c>
      <c r="R56" s="38">
        <f t="shared" si="28"/>
        <v>0</v>
      </c>
      <c r="S56" s="38">
        <f t="shared" si="29"/>
        <v>0</v>
      </c>
      <c r="T56" s="38">
        <f>Policy_Sched!$J56*J56</f>
        <v>0</v>
      </c>
      <c r="U56" s="42">
        <f t="shared" si="30"/>
        <v>0</v>
      </c>
      <c r="V56" s="42">
        <f t="shared" si="31"/>
        <v>0</v>
      </c>
      <c r="W56" s="38">
        <f>IF($A56&gt;LastT,0,N56+W57/(1+Policy_Sched!$K56))</f>
        <v>0</v>
      </c>
      <c r="X56" s="38">
        <f>IF($A56&gt;LastT,0,(-Q56+X57)/(1+Policy_Sched!$K56))</f>
        <v>0</v>
      </c>
      <c r="Y56" s="38">
        <f>IF($A56&gt;LastT,0,-V56+Y57/(1+Policy_Sched!$K56))</f>
        <v>0</v>
      </c>
      <c r="Z56" s="42">
        <f t="shared" si="32"/>
        <v>0</v>
      </c>
      <c r="AA56" s="38">
        <f>IF($A56&gt;LastT,0,N56-V56-Q56/(1+Policy_Sched!$K56)+Z57/(1+Policy_Sched!$K56))</f>
        <v>0</v>
      </c>
    </row>
    <row r="57" spans="1:27" x14ac:dyDescent="0.2">
      <c r="A57" s="30">
        <f t="shared" si="33"/>
        <v>50</v>
      </c>
      <c r="B57" s="31">
        <f t="shared" si="34"/>
        <v>0</v>
      </c>
      <c r="C57" s="31">
        <f>IF($A57&gt;LastT,0,IF(AND($D$3&lt;&gt;0,$A57&gt;=T0,Policy_Sched!$B57&lt;LastAge),1+$D$3*$E$3,1))</f>
        <v>0</v>
      </c>
      <c r="D57" s="36">
        <f>IF($A57&gt;LastT,0,IF($C$3="up",MIN(Policy_Sched!$E57*(1+IF($A57&gt;=T0,$E$3,0)),$F$3),IF($C$3="down",MAX(Policy_Sched!$E57*(1-IF($A57&gt;=T0,$E$3,0)),Policy_Sched!$E57-$F$3),Policy_Sched!$E57)))</f>
        <v>0</v>
      </c>
      <c r="E57" s="37">
        <f t="shared" si="35"/>
        <v>0</v>
      </c>
      <c r="F57" s="37">
        <f t="shared" si="18"/>
        <v>0</v>
      </c>
      <c r="G57" s="37">
        <f t="shared" si="19"/>
        <v>0</v>
      </c>
      <c r="H57" s="37">
        <f t="shared" si="20"/>
        <v>0</v>
      </c>
      <c r="I57" s="37">
        <f t="shared" si="21"/>
        <v>0</v>
      </c>
      <c r="J57" s="37">
        <f t="shared" si="22"/>
        <v>0</v>
      </c>
      <c r="K57" s="37">
        <f>IF($A57&gt;LastT,0,J57*Policy_Sched!$C57*Policy_Sched!$D57*C57)</f>
        <v>0</v>
      </c>
      <c r="L57" s="41">
        <f t="shared" si="23"/>
        <v>0</v>
      </c>
      <c r="M57" s="38">
        <f t="shared" si="24"/>
        <v>0</v>
      </c>
      <c r="N57" s="38">
        <f t="shared" si="25"/>
        <v>0</v>
      </c>
      <c r="O57" s="38">
        <f t="shared" si="26"/>
        <v>0</v>
      </c>
      <c r="P57" s="38">
        <f>Policy_Sched!$I57*(L57+I57)</f>
        <v>0</v>
      </c>
      <c r="Q57" s="42">
        <f t="shared" si="27"/>
        <v>0</v>
      </c>
      <c r="R57" s="38">
        <f t="shared" si="28"/>
        <v>0</v>
      </c>
      <c r="S57" s="38">
        <f t="shared" si="29"/>
        <v>0</v>
      </c>
      <c r="T57" s="38">
        <f>Policy_Sched!$J57*J57</f>
        <v>0</v>
      </c>
      <c r="U57" s="42">
        <f t="shared" si="30"/>
        <v>0</v>
      </c>
      <c r="V57" s="42">
        <f t="shared" si="31"/>
        <v>0</v>
      </c>
      <c r="W57" s="38">
        <f>IF($A57&gt;LastT,0,N57+W58/(1+Policy_Sched!$K57))</f>
        <v>0</v>
      </c>
      <c r="X57" s="38">
        <f>IF($A57&gt;LastT,0,(-Q57+X58)/(1+Policy_Sched!$K57))</f>
        <v>0</v>
      </c>
      <c r="Y57" s="38">
        <f>IF($A57&gt;LastT,0,-V57+Y58/(1+Policy_Sched!$K57))</f>
        <v>0</v>
      </c>
      <c r="Z57" s="42">
        <f t="shared" si="32"/>
        <v>0</v>
      </c>
      <c r="AA57" s="38">
        <f>IF($A57&gt;LastT,0,N57-V57-Q57/(1+Policy_Sched!$K57)+Z58/(1+Policy_Sched!$K57))</f>
        <v>0</v>
      </c>
    </row>
    <row r="58" spans="1:27" x14ac:dyDescent="0.2">
      <c r="A58" s="30">
        <f t="shared" si="33"/>
        <v>51</v>
      </c>
      <c r="B58" s="31">
        <f t="shared" si="34"/>
        <v>0</v>
      </c>
      <c r="C58" s="31">
        <f>IF($A58&gt;LastT,0,IF(AND($D$3&lt;&gt;0,$A58&gt;=T0,Policy_Sched!$B58&lt;LastAge),1+$D$3*$E$3,1))</f>
        <v>0</v>
      </c>
      <c r="D58" s="36">
        <f>IF($A58&gt;LastT,0,IF($C$3="up",MIN(Policy_Sched!$E58*(1+IF($A58&gt;=T0,$E$3,0)),$F$3),IF($C$3="down",MAX(Policy_Sched!$E58*(1-IF($A58&gt;=T0,$E$3,0)),Policy_Sched!$E58-$F$3),Policy_Sched!$E58)))</f>
        <v>0</v>
      </c>
      <c r="E58" s="37">
        <f t="shared" si="35"/>
        <v>0</v>
      </c>
      <c r="F58" s="37">
        <f t="shared" si="18"/>
        <v>0</v>
      </c>
      <c r="G58" s="37">
        <f t="shared" si="19"/>
        <v>0</v>
      </c>
      <c r="H58" s="37">
        <f t="shared" si="20"/>
        <v>0</v>
      </c>
      <c r="I58" s="37">
        <f t="shared" si="21"/>
        <v>0</v>
      </c>
      <c r="J58" s="37">
        <f t="shared" si="22"/>
        <v>0</v>
      </c>
      <c r="K58" s="37">
        <f>IF($A58&gt;LastT,0,J58*Policy_Sched!$C58*Policy_Sched!$D58*C58)</f>
        <v>0</v>
      </c>
      <c r="L58" s="41">
        <f t="shared" si="23"/>
        <v>0</v>
      </c>
      <c r="M58" s="38">
        <f t="shared" si="24"/>
        <v>0</v>
      </c>
      <c r="N58" s="38">
        <f t="shared" si="25"/>
        <v>0</v>
      </c>
      <c r="O58" s="38">
        <f t="shared" si="26"/>
        <v>0</v>
      </c>
      <c r="P58" s="38">
        <f>Policy_Sched!$I58*(L58+I58)</f>
        <v>0</v>
      </c>
      <c r="Q58" s="42">
        <f t="shared" si="27"/>
        <v>0</v>
      </c>
      <c r="R58" s="38">
        <f t="shared" si="28"/>
        <v>0</v>
      </c>
      <c r="S58" s="38">
        <f t="shared" si="29"/>
        <v>0</v>
      </c>
      <c r="T58" s="38">
        <f>Policy_Sched!$J58*J58</f>
        <v>0</v>
      </c>
      <c r="U58" s="42">
        <f t="shared" si="30"/>
        <v>0</v>
      </c>
      <c r="V58" s="42">
        <f t="shared" si="31"/>
        <v>0</v>
      </c>
      <c r="W58" s="38">
        <f>IF($A58&gt;LastT,0,N58+W59/(1+Policy_Sched!$K58))</f>
        <v>0</v>
      </c>
      <c r="X58" s="38">
        <f>IF($A58&gt;LastT,0,(-Q58+X59)/(1+Policy_Sched!$K58))</f>
        <v>0</v>
      </c>
      <c r="Y58" s="38">
        <f>IF($A58&gt;LastT,0,-V58+Y59/(1+Policy_Sched!$K58))</f>
        <v>0</v>
      </c>
      <c r="Z58" s="42">
        <f t="shared" si="32"/>
        <v>0</v>
      </c>
      <c r="AA58" s="38">
        <f>IF($A58&gt;LastT,0,N58-V58-Q58/(1+Policy_Sched!$K58)+Z59/(1+Policy_Sched!$K58))</f>
        <v>0</v>
      </c>
    </row>
    <row r="59" spans="1:27" x14ac:dyDescent="0.2">
      <c r="A59" s="30">
        <f t="shared" si="33"/>
        <v>52</v>
      </c>
      <c r="B59" s="31">
        <f t="shared" si="34"/>
        <v>0</v>
      </c>
      <c r="C59" s="31">
        <f>IF($A59&gt;LastT,0,IF(AND($D$3&lt;&gt;0,$A59&gt;=T0,Policy_Sched!$B59&lt;LastAge),1+$D$3*$E$3,1))</f>
        <v>0</v>
      </c>
      <c r="D59" s="36">
        <f>IF($A59&gt;LastT,0,IF($C$3="up",MIN(Policy_Sched!$E59*(1+IF($A59&gt;=T0,$E$3,0)),$F$3),IF($C$3="down",MAX(Policy_Sched!$E59*(1-IF($A59&gt;=T0,$E$3,0)),Policy_Sched!$E59-$F$3),Policy_Sched!$E59)))</f>
        <v>0</v>
      </c>
      <c r="E59" s="37">
        <f t="shared" si="35"/>
        <v>0</v>
      </c>
      <c r="F59" s="37">
        <f t="shared" si="18"/>
        <v>0</v>
      </c>
      <c r="G59" s="37">
        <f t="shared" si="19"/>
        <v>0</v>
      </c>
      <c r="H59" s="37">
        <f t="shared" si="20"/>
        <v>0</v>
      </c>
      <c r="I59" s="37">
        <f t="shared" si="21"/>
        <v>0</v>
      </c>
      <c r="J59" s="37">
        <f t="shared" si="22"/>
        <v>0</v>
      </c>
      <c r="K59" s="37">
        <f>IF($A59&gt;LastT,0,J59*Policy_Sched!$C59*Policy_Sched!$D59*C59)</f>
        <v>0</v>
      </c>
      <c r="L59" s="41">
        <f t="shared" si="23"/>
        <v>0</v>
      </c>
      <c r="M59" s="38">
        <f t="shared" si="24"/>
        <v>0</v>
      </c>
      <c r="N59" s="38">
        <f t="shared" si="25"/>
        <v>0</v>
      </c>
      <c r="O59" s="38">
        <f t="shared" si="26"/>
        <v>0</v>
      </c>
      <c r="P59" s="38">
        <f>Policy_Sched!$I59*(L59+I59)</f>
        <v>0</v>
      </c>
      <c r="Q59" s="42">
        <f t="shared" si="27"/>
        <v>0</v>
      </c>
      <c r="R59" s="38">
        <f t="shared" si="28"/>
        <v>0</v>
      </c>
      <c r="S59" s="38">
        <f t="shared" si="29"/>
        <v>0</v>
      </c>
      <c r="T59" s="38">
        <f>Policy_Sched!$J59*J59</f>
        <v>0</v>
      </c>
      <c r="U59" s="42">
        <f t="shared" si="30"/>
        <v>0</v>
      </c>
      <c r="V59" s="42">
        <f t="shared" si="31"/>
        <v>0</v>
      </c>
      <c r="W59" s="38">
        <f>IF($A59&gt;LastT,0,N59+W60/(1+Policy_Sched!$K59))</f>
        <v>0</v>
      </c>
      <c r="X59" s="38">
        <f>IF($A59&gt;LastT,0,(-Q59+X60)/(1+Policy_Sched!$K59))</f>
        <v>0</v>
      </c>
      <c r="Y59" s="38">
        <f>IF($A59&gt;LastT,0,-V59+Y60/(1+Policy_Sched!$K59))</f>
        <v>0</v>
      </c>
      <c r="Z59" s="42">
        <f t="shared" si="32"/>
        <v>0</v>
      </c>
      <c r="AA59" s="38">
        <f>IF($A59&gt;LastT,0,N59-V59-Q59/(1+Policy_Sched!$K59)+Z60/(1+Policy_Sched!$K59))</f>
        <v>0</v>
      </c>
    </row>
    <row r="60" spans="1:27" x14ac:dyDescent="0.2">
      <c r="A60" s="30">
        <f t="shared" si="33"/>
        <v>53</v>
      </c>
      <c r="B60" s="31">
        <f t="shared" si="34"/>
        <v>0</v>
      </c>
      <c r="C60" s="31">
        <f>IF($A60&gt;LastT,0,IF(AND($D$3&lt;&gt;0,$A60&gt;=T0,Policy_Sched!$B60&lt;LastAge),1+$D$3*$E$3,1))</f>
        <v>0</v>
      </c>
      <c r="D60" s="36">
        <f>IF($A60&gt;LastT,0,IF($C$3="up",MIN(Policy_Sched!$E60*(1+IF($A60&gt;=T0,$E$3,0)),$F$3),IF($C$3="down",MAX(Policy_Sched!$E60*(1-IF($A60&gt;=T0,$E$3,0)),Policy_Sched!$E60-$F$3),Policy_Sched!$E60)))</f>
        <v>0</v>
      </c>
      <c r="E60" s="37">
        <f t="shared" si="35"/>
        <v>0</v>
      </c>
      <c r="F60" s="37">
        <f t="shared" si="18"/>
        <v>0</v>
      </c>
      <c r="G60" s="37">
        <f t="shared" si="19"/>
        <v>0</v>
      </c>
      <c r="H60" s="37">
        <f t="shared" si="20"/>
        <v>0</v>
      </c>
      <c r="I60" s="37">
        <f t="shared" si="21"/>
        <v>0</v>
      </c>
      <c r="J60" s="37">
        <f t="shared" si="22"/>
        <v>0</v>
      </c>
      <c r="K60" s="37">
        <f>IF($A60&gt;LastT,0,J60*Policy_Sched!$C60*Policy_Sched!$D60*C60)</f>
        <v>0</v>
      </c>
      <c r="L60" s="41">
        <f t="shared" si="23"/>
        <v>0</v>
      </c>
      <c r="M60" s="38">
        <f t="shared" si="24"/>
        <v>0</v>
      </c>
      <c r="N60" s="38">
        <f t="shared" si="25"/>
        <v>0</v>
      </c>
      <c r="O60" s="38">
        <f t="shared" si="26"/>
        <v>0</v>
      </c>
      <c r="P60" s="38">
        <f>Policy_Sched!$I60*(L60+I60)</f>
        <v>0</v>
      </c>
      <c r="Q60" s="42">
        <f t="shared" si="27"/>
        <v>0</v>
      </c>
      <c r="R60" s="38">
        <f t="shared" si="28"/>
        <v>0</v>
      </c>
      <c r="S60" s="38">
        <f t="shared" si="29"/>
        <v>0</v>
      </c>
      <c r="T60" s="38">
        <f>Policy_Sched!$J60*J60</f>
        <v>0</v>
      </c>
      <c r="U60" s="42">
        <f t="shared" si="30"/>
        <v>0</v>
      </c>
      <c r="V60" s="42">
        <f t="shared" si="31"/>
        <v>0</v>
      </c>
      <c r="W60" s="38">
        <f>IF($A60&gt;LastT,0,N60+W61/(1+Policy_Sched!$K60))</f>
        <v>0</v>
      </c>
      <c r="X60" s="38">
        <f>IF($A60&gt;LastT,0,(-Q60+X61)/(1+Policy_Sched!$K60))</f>
        <v>0</v>
      </c>
      <c r="Y60" s="38">
        <f>IF($A60&gt;LastT,0,-V60+Y61/(1+Policy_Sched!$K60))</f>
        <v>0</v>
      </c>
      <c r="Z60" s="42">
        <f t="shared" si="32"/>
        <v>0</v>
      </c>
      <c r="AA60" s="38">
        <f>IF($A60&gt;LastT,0,N60-V60-Q60/(1+Policy_Sched!$K60)+Z61/(1+Policy_Sched!$K60))</f>
        <v>0</v>
      </c>
    </row>
    <row r="61" spans="1:27" x14ac:dyDescent="0.2">
      <c r="A61" s="30">
        <f t="shared" si="33"/>
        <v>54</v>
      </c>
      <c r="B61" s="31">
        <f t="shared" si="34"/>
        <v>0</v>
      </c>
      <c r="C61" s="31">
        <f>IF($A61&gt;LastT,0,IF(AND($D$3&lt;&gt;0,$A61&gt;=T0,Policy_Sched!$B61&lt;LastAge),1+$D$3*$E$3,1))</f>
        <v>0</v>
      </c>
      <c r="D61" s="36">
        <f>IF($A61&gt;LastT,0,IF($C$3="up",MIN(Policy_Sched!$E61*(1+IF($A61&gt;=T0,$E$3,0)),$F$3),IF($C$3="down",MAX(Policy_Sched!$E61*(1-IF($A61&gt;=T0,$E$3,0)),Policy_Sched!$E61-$F$3),Policy_Sched!$E61)))</f>
        <v>0</v>
      </c>
      <c r="E61" s="37">
        <f t="shared" si="35"/>
        <v>0</v>
      </c>
      <c r="F61" s="37">
        <f t="shared" si="18"/>
        <v>0</v>
      </c>
      <c r="G61" s="37">
        <f t="shared" si="19"/>
        <v>0</v>
      </c>
      <c r="H61" s="37">
        <f t="shared" si="20"/>
        <v>0</v>
      </c>
      <c r="I61" s="37">
        <f t="shared" si="21"/>
        <v>0</v>
      </c>
      <c r="J61" s="37">
        <f t="shared" si="22"/>
        <v>0</v>
      </c>
      <c r="K61" s="37">
        <f>IF($A61&gt;LastT,0,J61*Policy_Sched!$C61*Policy_Sched!$D61*C61)</f>
        <v>0</v>
      </c>
      <c r="L61" s="41">
        <f t="shared" si="23"/>
        <v>0</v>
      </c>
      <c r="M61" s="38">
        <f t="shared" si="24"/>
        <v>0</v>
      </c>
      <c r="N61" s="38">
        <f t="shared" si="25"/>
        <v>0</v>
      </c>
      <c r="O61" s="38">
        <f t="shared" si="26"/>
        <v>0</v>
      </c>
      <c r="P61" s="38">
        <f>Policy_Sched!$I61*(L61+I61)</f>
        <v>0</v>
      </c>
      <c r="Q61" s="42">
        <f t="shared" si="27"/>
        <v>0</v>
      </c>
      <c r="R61" s="38">
        <f t="shared" si="28"/>
        <v>0</v>
      </c>
      <c r="S61" s="38">
        <f t="shared" si="29"/>
        <v>0</v>
      </c>
      <c r="T61" s="38">
        <f>Policy_Sched!$J61*J61</f>
        <v>0</v>
      </c>
      <c r="U61" s="42">
        <f t="shared" si="30"/>
        <v>0</v>
      </c>
      <c r="V61" s="42">
        <f t="shared" si="31"/>
        <v>0</v>
      </c>
      <c r="W61" s="38">
        <f>IF($A61&gt;LastT,0,N61+W62/(1+Policy_Sched!$K61))</f>
        <v>0</v>
      </c>
      <c r="X61" s="38">
        <f>IF($A61&gt;LastT,0,(-Q61+X62)/(1+Policy_Sched!$K61))</f>
        <v>0</v>
      </c>
      <c r="Y61" s="38">
        <f>IF($A61&gt;LastT,0,-V61+Y62/(1+Policy_Sched!$K61))</f>
        <v>0</v>
      </c>
      <c r="Z61" s="42">
        <f t="shared" si="32"/>
        <v>0</v>
      </c>
      <c r="AA61" s="38">
        <f>IF($A61&gt;LastT,0,N61-V61-Q61/(1+Policy_Sched!$K61)+Z62/(1+Policy_Sched!$K61))</f>
        <v>0</v>
      </c>
    </row>
    <row r="62" spans="1:27" x14ac:dyDescent="0.2">
      <c r="A62" s="30">
        <f t="shared" si="33"/>
        <v>55</v>
      </c>
      <c r="B62" s="31">
        <f t="shared" si="34"/>
        <v>0</v>
      </c>
      <c r="C62" s="31">
        <f>IF($A62&gt;LastT,0,IF(AND($D$3&lt;&gt;0,$A62&gt;=T0,Policy_Sched!$B62&lt;LastAge),1+$D$3*$E$3,1))</f>
        <v>0</v>
      </c>
      <c r="D62" s="36">
        <f>IF($A62&gt;LastT,0,IF($C$3="up",MIN(Policy_Sched!$E62*(1+IF($A62&gt;=T0,$E$3,0)),$F$3),IF($C$3="down",MAX(Policy_Sched!$E62*(1-IF($A62&gt;=T0,$E$3,0)),Policy_Sched!$E62-$F$3),Policy_Sched!$E62)))</f>
        <v>0</v>
      </c>
      <c r="E62" s="37">
        <f t="shared" si="35"/>
        <v>0</v>
      </c>
      <c r="F62" s="37">
        <f t="shared" si="18"/>
        <v>0</v>
      </c>
      <c r="G62" s="37">
        <f t="shared" si="19"/>
        <v>0</v>
      </c>
      <c r="H62" s="37">
        <f t="shared" si="20"/>
        <v>0</v>
      </c>
      <c r="I62" s="37">
        <f t="shared" si="21"/>
        <v>0</v>
      </c>
      <c r="J62" s="37">
        <f t="shared" si="22"/>
        <v>0</v>
      </c>
      <c r="K62" s="37">
        <f>IF($A62&gt;LastT,0,J62*Policy_Sched!$C62*Policy_Sched!$D62*C62)</f>
        <v>0</v>
      </c>
      <c r="L62" s="41">
        <f t="shared" si="23"/>
        <v>0</v>
      </c>
      <c r="M62" s="38">
        <f t="shared" si="24"/>
        <v>0</v>
      </c>
      <c r="N62" s="38">
        <f t="shared" si="25"/>
        <v>0</v>
      </c>
      <c r="O62" s="38">
        <f t="shared" si="26"/>
        <v>0</v>
      </c>
      <c r="P62" s="38">
        <f>Policy_Sched!$I62*(L62+I62)</f>
        <v>0</v>
      </c>
      <c r="Q62" s="42">
        <f t="shared" si="27"/>
        <v>0</v>
      </c>
      <c r="R62" s="38">
        <f t="shared" si="28"/>
        <v>0</v>
      </c>
      <c r="S62" s="38">
        <f t="shared" si="29"/>
        <v>0</v>
      </c>
      <c r="T62" s="38">
        <f>Policy_Sched!$J62*J62</f>
        <v>0</v>
      </c>
      <c r="U62" s="42">
        <f t="shared" si="30"/>
        <v>0</v>
      </c>
      <c r="V62" s="42">
        <f t="shared" si="31"/>
        <v>0</v>
      </c>
      <c r="W62" s="38">
        <f>IF($A62&gt;LastT,0,N62+W63/(1+Policy_Sched!$K62))</f>
        <v>0</v>
      </c>
      <c r="X62" s="38">
        <f>IF($A62&gt;LastT,0,(-Q62+X63)/(1+Policy_Sched!$K62))</f>
        <v>0</v>
      </c>
      <c r="Y62" s="38">
        <f>IF($A62&gt;LastT,0,-V62+Y63/(1+Policy_Sched!$K62))</f>
        <v>0</v>
      </c>
      <c r="Z62" s="42">
        <f t="shared" si="32"/>
        <v>0</v>
      </c>
      <c r="AA62" s="38">
        <f>IF($A62&gt;LastT,0,N62-V62-Q62/(1+Policy_Sched!$K62)+Z63/(1+Policy_Sched!$K62))</f>
        <v>0</v>
      </c>
    </row>
    <row r="63" spans="1:27" x14ac:dyDescent="0.2">
      <c r="A63" s="30">
        <f t="shared" si="33"/>
        <v>56</v>
      </c>
      <c r="B63" s="31">
        <f t="shared" si="34"/>
        <v>0</v>
      </c>
      <c r="C63" s="31">
        <f>IF($A63&gt;LastT,0,IF(AND($D$3&lt;&gt;0,$A63&gt;=T0,Policy_Sched!$B63&lt;LastAge),1+$D$3*$E$3,1))</f>
        <v>0</v>
      </c>
      <c r="D63" s="36">
        <f>IF($A63&gt;LastT,0,IF($C$3="up",MIN(Policy_Sched!$E63*(1+IF($A63&gt;=T0,$E$3,0)),$F$3),IF($C$3="down",MAX(Policy_Sched!$E63*(1-IF($A63&gt;=T0,$E$3,0)),Policy_Sched!$E63-$F$3),Policy_Sched!$E63)))</f>
        <v>0</v>
      </c>
      <c r="E63" s="37">
        <f t="shared" si="35"/>
        <v>0</v>
      </c>
      <c r="F63" s="37">
        <f t="shared" si="18"/>
        <v>0</v>
      </c>
      <c r="G63" s="37">
        <f t="shared" si="19"/>
        <v>0</v>
      </c>
      <c r="H63" s="37">
        <f t="shared" si="20"/>
        <v>0</v>
      </c>
      <c r="I63" s="37">
        <f t="shared" si="21"/>
        <v>0</v>
      </c>
      <c r="J63" s="37">
        <f t="shared" si="22"/>
        <v>0</v>
      </c>
      <c r="K63" s="37">
        <f>IF($A63&gt;LastT,0,J63*Policy_Sched!$C63*Policy_Sched!$D63*C63)</f>
        <v>0</v>
      </c>
      <c r="L63" s="41">
        <f t="shared" si="23"/>
        <v>0</v>
      </c>
      <c r="M63" s="38">
        <f t="shared" si="24"/>
        <v>0</v>
      </c>
      <c r="N63" s="38">
        <f t="shared" si="25"/>
        <v>0</v>
      </c>
      <c r="O63" s="38">
        <f t="shared" si="26"/>
        <v>0</v>
      </c>
      <c r="P63" s="38">
        <f>Policy_Sched!$I63*(L63+I63)</f>
        <v>0</v>
      </c>
      <c r="Q63" s="42">
        <f t="shared" si="27"/>
        <v>0</v>
      </c>
      <c r="R63" s="38">
        <f t="shared" si="28"/>
        <v>0</v>
      </c>
      <c r="S63" s="38">
        <f t="shared" si="29"/>
        <v>0</v>
      </c>
      <c r="T63" s="38">
        <f>Policy_Sched!$J63*J63</f>
        <v>0</v>
      </c>
      <c r="U63" s="42">
        <f t="shared" si="30"/>
        <v>0</v>
      </c>
      <c r="V63" s="42">
        <f t="shared" si="31"/>
        <v>0</v>
      </c>
      <c r="W63" s="38">
        <f>IF($A63&gt;LastT,0,N63+W64/(1+Policy_Sched!$K63))</f>
        <v>0</v>
      </c>
      <c r="X63" s="38">
        <f>IF($A63&gt;LastT,0,(-Q63+X64)/(1+Policy_Sched!$K63))</f>
        <v>0</v>
      </c>
      <c r="Y63" s="38">
        <f>IF($A63&gt;LastT,0,-V63+Y64/(1+Policy_Sched!$K63))</f>
        <v>0</v>
      </c>
      <c r="Z63" s="42">
        <f t="shared" si="32"/>
        <v>0</v>
      </c>
      <c r="AA63" s="38">
        <f>IF($A63&gt;LastT,0,N63-V63-Q63/(1+Policy_Sched!$K63)+Z64/(1+Policy_Sched!$K63))</f>
        <v>0</v>
      </c>
    </row>
    <row r="64" spans="1:27" x14ac:dyDescent="0.2">
      <c r="A64" s="30">
        <f t="shared" si="33"/>
        <v>57</v>
      </c>
      <c r="B64" s="31">
        <f t="shared" si="34"/>
        <v>0</v>
      </c>
      <c r="C64" s="31">
        <f>IF($A64&gt;LastT,0,IF(AND($D$3&lt;&gt;0,$A64&gt;=T0,Policy_Sched!$B64&lt;LastAge),1+$D$3*$E$3,1))</f>
        <v>0</v>
      </c>
      <c r="D64" s="36">
        <f>IF($A64&gt;LastT,0,IF($C$3="up",MIN(Policy_Sched!$E64*(1+IF($A64&gt;=T0,$E$3,0)),$F$3),IF($C$3="down",MAX(Policy_Sched!$E64*(1-IF($A64&gt;=T0,$E$3,0)),Policy_Sched!$E64-$F$3),Policy_Sched!$E64)))</f>
        <v>0</v>
      </c>
      <c r="E64" s="37">
        <f t="shared" si="35"/>
        <v>0</v>
      </c>
      <c r="F64" s="37">
        <f t="shared" si="18"/>
        <v>0</v>
      </c>
      <c r="G64" s="37">
        <f t="shared" si="19"/>
        <v>0</v>
      </c>
      <c r="H64" s="37">
        <f t="shared" si="20"/>
        <v>0</v>
      </c>
      <c r="I64" s="37">
        <f t="shared" si="21"/>
        <v>0</v>
      </c>
      <c r="J64" s="37">
        <f t="shared" si="22"/>
        <v>0</v>
      </c>
      <c r="K64" s="37">
        <f>IF($A64&gt;LastT,0,J64*Policy_Sched!$C64*Policy_Sched!$D64*C64)</f>
        <v>0</v>
      </c>
      <c r="L64" s="41">
        <f t="shared" si="23"/>
        <v>0</v>
      </c>
      <c r="M64" s="38">
        <f t="shared" si="24"/>
        <v>0</v>
      </c>
      <c r="N64" s="38">
        <f t="shared" si="25"/>
        <v>0</v>
      </c>
      <c r="O64" s="38">
        <f t="shared" si="26"/>
        <v>0</v>
      </c>
      <c r="P64" s="38">
        <f>Policy_Sched!$I64*(L64+I64)</f>
        <v>0</v>
      </c>
      <c r="Q64" s="42">
        <f t="shared" si="27"/>
        <v>0</v>
      </c>
      <c r="R64" s="38">
        <f t="shared" si="28"/>
        <v>0</v>
      </c>
      <c r="S64" s="38">
        <f t="shared" si="29"/>
        <v>0</v>
      </c>
      <c r="T64" s="38">
        <f>Policy_Sched!$J64*J64</f>
        <v>0</v>
      </c>
      <c r="U64" s="42">
        <f t="shared" si="30"/>
        <v>0</v>
      </c>
      <c r="V64" s="42">
        <f t="shared" si="31"/>
        <v>0</v>
      </c>
      <c r="W64" s="38">
        <f>IF($A64&gt;LastT,0,N64+W65/(1+Policy_Sched!$K64))</f>
        <v>0</v>
      </c>
      <c r="X64" s="38">
        <f>IF($A64&gt;LastT,0,(-Q64+X65)/(1+Policy_Sched!$K64))</f>
        <v>0</v>
      </c>
      <c r="Y64" s="38">
        <f>IF($A64&gt;LastT,0,-V64+Y65/(1+Policy_Sched!$K64))</f>
        <v>0</v>
      </c>
      <c r="Z64" s="42">
        <f t="shared" si="32"/>
        <v>0</v>
      </c>
      <c r="AA64" s="38">
        <f>IF($A64&gt;LastT,0,N64-V64-Q64/(1+Policy_Sched!$K64)+Z65/(1+Policy_Sched!$K64))</f>
        <v>0</v>
      </c>
    </row>
    <row r="65" spans="1:27" x14ac:dyDescent="0.2">
      <c r="A65" s="30">
        <f t="shared" si="33"/>
        <v>58</v>
      </c>
      <c r="B65" s="31">
        <f t="shared" si="34"/>
        <v>0</v>
      </c>
      <c r="C65" s="31">
        <f>IF($A65&gt;LastT,0,IF(AND($D$3&lt;&gt;0,$A65&gt;=T0,Policy_Sched!$B65&lt;LastAge),1+$D$3*$E$3,1))</f>
        <v>0</v>
      </c>
      <c r="D65" s="36">
        <f>IF($A65&gt;LastT,0,IF($C$3="up",MIN(Policy_Sched!$E65*(1+IF($A65&gt;=T0,$E$3,0)),$F$3),IF($C$3="down",MAX(Policy_Sched!$E65*(1-IF($A65&gt;=T0,$E$3,0)),Policy_Sched!$E65-$F$3),Policy_Sched!$E65)))</f>
        <v>0</v>
      </c>
      <c r="E65" s="37">
        <f t="shared" si="35"/>
        <v>0</v>
      </c>
      <c r="F65" s="37">
        <f t="shared" si="18"/>
        <v>0</v>
      </c>
      <c r="G65" s="37">
        <f t="shared" si="19"/>
        <v>0</v>
      </c>
      <c r="H65" s="37">
        <f t="shared" si="20"/>
        <v>0</v>
      </c>
      <c r="I65" s="37">
        <f t="shared" si="21"/>
        <v>0</v>
      </c>
      <c r="J65" s="37">
        <f t="shared" si="22"/>
        <v>0</v>
      </c>
      <c r="K65" s="37">
        <f>IF($A65&gt;LastT,0,J65*Policy_Sched!$C65*Policy_Sched!$D65*C65)</f>
        <v>0</v>
      </c>
      <c r="L65" s="41">
        <f t="shared" si="23"/>
        <v>0</v>
      </c>
      <c r="M65" s="38">
        <f t="shared" si="24"/>
        <v>0</v>
      </c>
      <c r="N65" s="38">
        <f t="shared" si="25"/>
        <v>0</v>
      </c>
      <c r="O65" s="38">
        <f t="shared" si="26"/>
        <v>0</v>
      </c>
      <c r="P65" s="38">
        <f>Policy_Sched!$I65*(L65+I65)</f>
        <v>0</v>
      </c>
      <c r="Q65" s="42">
        <f t="shared" si="27"/>
        <v>0</v>
      </c>
      <c r="R65" s="38">
        <f t="shared" si="28"/>
        <v>0</v>
      </c>
      <c r="S65" s="38">
        <f t="shared" si="29"/>
        <v>0</v>
      </c>
      <c r="T65" s="38">
        <f>Policy_Sched!$J65*J65</f>
        <v>0</v>
      </c>
      <c r="U65" s="42">
        <f t="shared" si="30"/>
        <v>0</v>
      </c>
      <c r="V65" s="42">
        <f t="shared" si="31"/>
        <v>0</v>
      </c>
      <c r="W65" s="38">
        <f>IF($A65&gt;LastT,0,N65+W66/(1+Policy_Sched!$K65))</f>
        <v>0</v>
      </c>
      <c r="X65" s="38">
        <f>IF($A65&gt;LastT,0,(-Q65+X66)/(1+Policy_Sched!$K65))</f>
        <v>0</v>
      </c>
      <c r="Y65" s="38">
        <f>IF($A65&gt;LastT,0,-V65+Y66/(1+Policy_Sched!$K65))</f>
        <v>0</v>
      </c>
      <c r="Z65" s="42">
        <f t="shared" si="32"/>
        <v>0</v>
      </c>
      <c r="AA65" s="38">
        <f>IF($A65&gt;LastT,0,N65-V65-Q65/(1+Policy_Sched!$K65)+Z66/(1+Policy_Sched!$K65))</f>
        <v>0</v>
      </c>
    </row>
    <row r="66" spans="1:27" x14ac:dyDescent="0.2">
      <c r="A66" s="30">
        <f t="shared" si="33"/>
        <v>59</v>
      </c>
      <c r="B66" s="31">
        <f t="shared" si="34"/>
        <v>0</v>
      </c>
      <c r="C66" s="31">
        <f>IF($A66&gt;LastT,0,IF(AND($D$3&lt;&gt;0,$A66&gt;=T0,Policy_Sched!$B66&lt;LastAge),1+$D$3*$E$3,1))</f>
        <v>0</v>
      </c>
      <c r="D66" s="36">
        <f>IF($A66&gt;LastT,0,IF($C$3="up",MIN(Policy_Sched!$E66*(1+IF($A66&gt;=T0,$E$3,0)),$F$3),IF($C$3="down",MAX(Policy_Sched!$E66*(1-IF($A66&gt;=T0,$E$3,0)),Policy_Sched!$E66-$F$3),Policy_Sched!$E66)))</f>
        <v>0</v>
      </c>
      <c r="E66" s="37">
        <f t="shared" si="35"/>
        <v>0</v>
      </c>
      <c r="F66" s="37">
        <f t="shared" si="18"/>
        <v>0</v>
      </c>
      <c r="G66" s="37">
        <f t="shared" si="19"/>
        <v>0</v>
      </c>
      <c r="H66" s="37">
        <f t="shared" si="20"/>
        <v>0</v>
      </c>
      <c r="I66" s="37">
        <f t="shared" si="21"/>
        <v>0</v>
      </c>
      <c r="J66" s="37">
        <f t="shared" si="22"/>
        <v>0</v>
      </c>
      <c r="K66" s="37">
        <f>IF($A66&gt;LastT,0,J66*Policy_Sched!$C66*Policy_Sched!$D66*C66)</f>
        <v>0</v>
      </c>
      <c r="L66" s="41">
        <f t="shared" si="23"/>
        <v>0</v>
      </c>
      <c r="M66" s="38">
        <f t="shared" si="24"/>
        <v>0</v>
      </c>
      <c r="N66" s="38">
        <f t="shared" si="25"/>
        <v>0</v>
      </c>
      <c r="O66" s="38">
        <f t="shared" si="26"/>
        <v>0</v>
      </c>
      <c r="P66" s="38">
        <f>Policy_Sched!$I66*(L66+I66)</f>
        <v>0</v>
      </c>
      <c r="Q66" s="42">
        <f t="shared" si="27"/>
        <v>0</v>
      </c>
      <c r="R66" s="38">
        <f t="shared" si="28"/>
        <v>0</v>
      </c>
      <c r="S66" s="38">
        <f t="shared" si="29"/>
        <v>0</v>
      </c>
      <c r="T66" s="38">
        <f>Policy_Sched!$J66*J66</f>
        <v>0</v>
      </c>
      <c r="U66" s="42">
        <f t="shared" si="30"/>
        <v>0</v>
      </c>
      <c r="V66" s="42">
        <f t="shared" si="31"/>
        <v>0</v>
      </c>
      <c r="W66" s="38">
        <f>IF($A66&gt;LastT,0,N66+W67/(1+Policy_Sched!$K66))</f>
        <v>0</v>
      </c>
      <c r="X66" s="38">
        <f>IF($A66&gt;LastT,0,(-Q66+X67)/(1+Policy_Sched!$K66))</f>
        <v>0</v>
      </c>
      <c r="Y66" s="38">
        <f>IF($A66&gt;LastT,0,-V66+Y67/(1+Policy_Sched!$K66))</f>
        <v>0</v>
      </c>
      <c r="Z66" s="42">
        <f t="shared" si="32"/>
        <v>0</v>
      </c>
      <c r="AA66" s="38">
        <f>IF($A66&gt;LastT,0,N66-V66-Q66/(1+Policy_Sched!$K66)+Z67/(1+Policy_Sched!$K66))</f>
        <v>0</v>
      </c>
    </row>
    <row r="67" spans="1:27" x14ac:dyDescent="0.2">
      <c r="A67" s="30">
        <f t="shared" si="33"/>
        <v>60</v>
      </c>
      <c r="B67" s="31">
        <f t="shared" si="34"/>
        <v>0</v>
      </c>
      <c r="C67" s="31">
        <f>IF($A67&gt;LastT,0,IF(AND($D$3&lt;&gt;0,$A67&gt;=T0,Policy_Sched!$B67&lt;LastAge),1+$D$3*$E$3,1))</f>
        <v>0</v>
      </c>
      <c r="D67" s="36">
        <f>IF($A67&gt;LastT,0,IF($C$3="up",MIN(Policy_Sched!$E67*(1+IF($A67&gt;=T0,$E$3,0)),$F$3),IF($C$3="down",MAX(Policy_Sched!$E67*(1-IF($A67&gt;=T0,$E$3,0)),Policy_Sched!$E67-$F$3),Policy_Sched!$E67)))</f>
        <v>0</v>
      </c>
      <c r="E67" s="37">
        <f t="shared" si="35"/>
        <v>0</v>
      </c>
      <c r="F67" s="37">
        <f t="shared" si="18"/>
        <v>0</v>
      </c>
      <c r="G67" s="37">
        <f t="shared" si="19"/>
        <v>0</v>
      </c>
      <c r="H67" s="37">
        <f t="shared" si="20"/>
        <v>0</v>
      </c>
      <c r="I67" s="37">
        <f t="shared" si="21"/>
        <v>0</v>
      </c>
      <c r="J67" s="37">
        <f t="shared" si="22"/>
        <v>0</v>
      </c>
      <c r="K67" s="37">
        <f>IF($A67&gt;LastT,0,J67*Policy_Sched!$C67*Policy_Sched!$D67*C67)</f>
        <v>0</v>
      </c>
      <c r="L67" s="41">
        <f t="shared" si="23"/>
        <v>0</v>
      </c>
      <c r="M67" s="38">
        <f t="shared" si="24"/>
        <v>0</v>
      </c>
      <c r="N67" s="38">
        <f t="shared" si="25"/>
        <v>0</v>
      </c>
      <c r="O67" s="38">
        <f t="shared" si="26"/>
        <v>0</v>
      </c>
      <c r="P67" s="38">
        <f>Policy_Sched!$I67*(L67+I67)</f>
        <v>0</v>
      </c>
      <c r="Q67" s="42">
        <f t="shared" si="27"/>
        <v>0</v>
      </c>
      <c r="R67" s="38">
        <f t="shared" si="28"/>
        <v>0</v>
      </c>
      <c r="S67" s="38">
        <f t="shared" si="29"/>
        <v>0</v>
      </c>
      <c r="T67" s="38">
        <f>Policy_Sched!$J67*J67</f>
        <v>0</v>
      </c>
      <c r="U67" s="42">
        <f t="shared" si="30"/>
        <v>0</v>
      </c>
      <c r="V67" s="42">
        <f t="shared" si="31"/>
        <v>0</v>
      </c>
      <c r="W67" s="38">
        <f>IF($A67&gt;LastT,0,N67+W68/(1+Policy_Sched!$K67))</f>
        <v>0</v>
      </c>
      <c r="X67" s="38">
        <f>IF($A67&gt;LastT,0,(-Q67+X68)/(1+Policy_Sched!$K67))</f>
        <v>0</v>
      </c>
      <c r="Y67" s="38">
        <f>IF($A67&gt;LastT,0,-V67+Y68/(1+Policy_Sched!$K67))</f>
        <v>0</v>
      </c>
      <c r="Z67" s="42">
        <f t="shared" si="32"/>
        <v>0</v>
      </c>
      <c r="AA67" s="38">
        <f>IF($A67&gt;LastT,0,N67-V67-Q67/(1+Policy_Sched!$K67)+Z68/(1+Policy_Sched!$K67))</f>
        <v>0</v>
      </c>
    </row>
    <row r="68" spans="1:27" x14ac:dyDescent="0.2">
      <c r="A68" s="30">
        <f t="shared" si="33"/>
        <v>61</v>
      </c>
      <c r="B68" s="31">
        <f t="shared" si="34"/>
        <v>0</v>
      </c>
      <c r="C68" s="31">
        <f>IF($A68&gt;LastT,0,IF(AND($D$3&lt;&gt;0,$A68&gt;=T0,Policy_Sched!$B68&lt;LastAge),1+$D$3*$E$3,1))</f>
        <v>0</v>
      </c>
      <c r="D68" s="36">
        <f>IF($A68&gt;LastT,0,IF($C$3="up",MIN(Policy_Sched!$E68*(1+IF($A68&gt;=T0,$E$3,0)),$F$3),IF($C$3="down",MAX(Policy_Sched!$E68*(1-IF($A68&gt;=T0,$E$3,0)),Policy_Sched!$E68-$F$3),Policy_Sched!$E68)))</f>
        <v>0</v>
      </c>
      <c r="E68" s="37">
        <f t="shared" si="35"/>
        <v>0</v>
      </c>
      <c r="F68" s="37">
        <f t="shared" si="18"/>
        <v>0</v>
      </c>
      <c r="G68" s="37">
        <f t="shared" si="19"/>
        <v>0</v>
      </c>
      <c r="H68" s="37">
        <f t="shared" si="20"/>
        <v>0</v>
      </c>
      <c r="I68" s="37">
        <f t="shared" si="21"/>
        <v>0</v>
      </c>
      <c r="J68" s="37">
        <f t="shared" si="22"/>
        <v>0</v>
      </c>
      <c r="K68" s="37">
        <f>IF($A68&gt;LastT,0,J68*Policy_Sched!$C68*Policy_Sched!$D68*C68)</f>
        <v>0</v>
      </c>
      <c r="L68" s="41">
        <f t="shared" si="23"/>
        <v>0</v>
      </c>
      <c r="M68" s="38">
        <f t="shared" si="24"/>
        <v>0</v>
      </c>
      <c r="N68" s="38">
        <f t="shared" si="25"/>
        <v>0</v>
      </c>
      <c r="O68" s="38">
        <f t="shared" si="26"/>
        <v>0</v>
      </c>
      <c r="P68" s="38">
        <f>Policy_Sched!$I68*(L68+I68)</f>
        <v>0</v>
      </c>
      <c r="Q68" s="42">
        <f t="shared" si="27"/>
        <v>0</v>
      </c>
      <c r="R68" s="38">
        <f t="shared" si="28"/>
        <v>0</v>
      </c>
      <c r="S68" s="38">
        <f t="shared" si="29"/>
        <v>0</v>
      </c>
      <c r="T68" s="38">
        <f>Policy_Sched!$J68*J68</f>
        <v>0</v>
      </c>
      <c r="U68" s="42">
        <f t="shared" si="30"/>
        <v>0</v>
      </c>
      <c r="V68" s="42">
        <f t="shared" si="31"/>
        <v>0</v>
      </c>
      <c r="W68" s="38">
        <f>IF($A68&gt;LastT,0,N68+W69/(1+Policy_Sched!$K68))</f>
        <v>0</v>
      </c>
      <c r="X68" s="38">
        <f>IF($A68&gt;LastT,0,(-Q68+X69)/(1+Policy_Sched!$K68))</f>
        <v>0</v>
      </c>
      <c r="Y68" s="38">
        <f>IF($A68&gt;LastT,0,-V68+Y69/(1+Policy_Sched!$K68))</f>
        <v>0</v>
      </c>
      <c r="Z68" s="42">
        <f t="shared" si="32"/>
        <v>0</v>
      </c>
      <c r="AA68" s="38">
        <f>IF($A68&gt;LastT,0,N68-V68-Q68/(1+Policy_Sched!$K68)+Z69/(1+Policy_Sched!$K68))</f>
        <v>0</v>
      </c>
    </row>
    <row r="69" spans="1:27" x14ac:dyDescent="0.2">
      <c r="A69" s="30">
        <f t="shared" si="33"/>
        <v>62</v>
      </c>
      <c r="B69" s="31">
        <f t="shared" si="34"/>
        <v>0</v>
      </c>
      <c r="C69" s="31">
        <f>IF($A69&gt;LastT,0,IF(AND($D$3&lt;&gt;0,$A69&gt;=T0,Policy_Sched!$B69&lt;LastAge),1+$D$3*$E$3,1))</f>
        <v>0</v>
      </c>
      <c r="D69" s="36">
        <f>IF($A69&gt;LastT,0,IF($C$3="up",MIN(Policy_Sched!$E69*(1+IF($A69&gt;=T0,$E$3,0)),$F$3),IF($C$3="down",MAX(Policy_Sched!$E69*(1-IF($A69&gt;=T0,$E$3,0)),Policy_Sched!$E69-$F$3),Policy_Sched!$E69)))</f>
        <v>0</v>
      </c>
      <c r="E69" s="37">
        <f t="shared" si="35"/>
        <v>0</v>
      </c>
      <c r="F69" s="37">
        <f t="shared" si="18"/>
        <v>0</v>
      </c>
      <c r="G69" s="37">
        <f t="shared" si="19"/>
        <v>0</v>
      </c>
      <c r="H69" s="37">
        <f t="shared" si="20"/>
        <v>0</v>
      </c>
      <c r="I69" s="37">
        <f t="shared" si="21"/>
        <v>0</v>
      </c>
      <c r="J69" s="37">
        <f t="shared" si="22"/>
        <v>0</v>
      </c>
      <c r="K69" s="37">
        <f>IF($A69&gt;LastT,0,J69*Policy_Sched!$C69*Policy_Sched!$D69*C69)</f>
        <v>0</v>
      </c>
      <c r="L69" s="41">
        <f t="shared" si="23"/>
        <v>0</v>
      </c>
      <c r="M69" s="38">
        <f t="shared" si="24"/>
        <v>0</v>
      </c>
      <c r="N69" s="38">
        <f t="shared" si="25"/>
        <v>0</v>
      </c>
      <c r="O69" s="38">
        <f t="shared" si="26"/>
        <v>0</v>
      </c>
      <c r="P69" s="38">
        <f>Policy_Sched!$I69*(L69+I69)</f>
        <v>0</v>
      </c>
      <c r="Q69" s="42">
        <f t="shared" si="27"/>
        <v>0</v>
      </c>
      <c r="R69" s="38">
        <f t="shared" si="28"/>
        <v>0</v>
      </c>
      <c r="S69" s="38">
        <f t="shared" si="29"/>
        <v>0</v>
      </c>
      <c r="T69" s="38">
        <f>Policy_Sched!$J69*J69</f>
        <v>0</v>
      </c>
      <c r="U69" s="42">
        <f t="shared" si="30"/>
        <v>0</v>
      </c>
      <c r="V69" s="42">
        <f t="shared" si="31"/>
        <v>0</v>
      </c>
      <c r="W69" s="38">
        <f>IF($A69&gt;LastT,0,N69+W70/(1+Policy_Sched!$K69))</f>
        <v>0</v>
      </c>
      <c r="X69" s="38">
        <f>IF($A69&gt;LastT,0,(-Q69+X70)/(1+Policy_Sched!$K69))</f>
        <v>0</v>
      </c>
      <c r="Y69" s="38">
        <f>IF($A69&gt;LastT,0,-V69+Y70/(1+Policy_Sched!$K69))</f>
        <v>0</v>
      </c>
      <c r="Z69" s="42">
        <f t="shared" si="32"/>
        <v>0</v>
      </c>
      <c r="AA69" s="38">
        <f>IF($A69&gt;LastT,0,N69-V69-Q69/(1+Policy_Sched!$K69)+Z70/(1+Policy_Sched!$K69))</f>
        <v>0</v>
      </c>
    </row>
    <row r="70" spans="1:27" x14ac:dyDescent="0.2">
      <c r="A70" s="30">
        <f t="shared" si="33"/>
        <v>63</v>
      </c>
      <c r="B70" s="31">
        <f t="shared" si="34"/>
        <v>0</v>
      </c>
      <c r="C70" s="31">
        <f>IF($A70&gt;LastT,0,IF(AND($D$3&lt;&gt;0,$A70&gt;=T0,Policy_Sched!$B70&lt;LastAge),1+$D$3*$E$3,1))</f>
        <v>0</v>
      </c>
      <c r="D70" s="36">
        <f>IF($A70&gt;LastT,0,IF($C$3="up",MIN(Policy_Sched!$E70*(1+IF($A70&gt;=T0,$E$3,0)),$F$3),IF($C$3="down",MAX(Policy_Sched!$E70*(1-IF($A70&gt;=T0,$E$3,0)),Policy_Sched!$E70-$F$3),Policy_Sched!$E70)))</f>
        <v>0</v>
      </c>
      <c r="E70" s="37">
        <f t="shared" si="35"/>
        <v>0</v>
      </c>
      <c r="F70" s="37">
        <f t="shared" si="18"/>
        <v>0</v>
      </c>
      <c r="G70" s="37">
        <f t="shared" si="19"/>
        <v>0</v>
      </c>
      <c r="H70" s="37">
        <f t="shared" si="20"/>
        <v>0</v>
      </c>
      <c r="I70" s="37">
        <f t="shared" si="21"/>
        <v>0</v>
      </c>
      <c r="J70" s="37">
        <f t="shared" si="22"/>
        <v>0</v>
      </c>
      <c r="K70" s="37">
        <f>IF($A70&gt;LastT,0,J70*Policy_Sched!$C70*Policy_Sched!$D70*C70)</f>
        <v>0</v>
      </c>
      <c r="L70" s="41">
        <f t="shared" si="23"/>
        <v>0</v>
      </c>
      <c r="M70" s="38">
        <f t="shared" si="24"/>
        <v>0</v>
      </c>
      <c r="N70" s="38">
        <f t="shared" si="25"/>
        <v>0</v>
      </c>
      <c r="O70" s="38">
        <f t="shared" si="26"/>
        <v>0</v>
      </c>
      <c r="P70" s="38">
        <f>Policy_Sched!$I70*(L70+I70)</f>
        <v>0</v>
      </c>
      <c r="Q70" s="42">
        <f t="shared" si="27"/>
        <v>0</v>
      </c>
      <c r="R70" s="38">
        <f t="shared" si="28"/>
        <v>0</v>
      </c>
      <c r="S70" s="38">
        <f t="shared" si="29"/>
        <v>0</v>
      </c>
      <c r="T70" s="38">
        <f>Policy_Sched!$J70*J70</f>
        <v>0</v>
      </c>
      <c r="U70" s="42">
        <f t="shared" si="30"/>
        <v>0</v>
      </c>
      <c r="V70" s="42">
        <f t="shared" si="31"/>
        <v>0</v>
      </c>
      <c r="W70" s="38">
        <f>IF($A70&gt;LastT,0,N70+W71/(1+Policy_Sched!$K70))</f>
        <v>0</v>
      </c>
      <c r="X70" s="38">
        <f>IF($A70&gt;LastT,0,(-Q70+X71)/(1+Policy_Sched!$K70))</f>
        <v>0</v>
      </c>
      <c r="Y70" s="38">
        <f>IF($A70&gt;LastT,0,-V70+Y71/(1+Policy_Sched!$K70))</f>
        <v>0</v>
      </c>
      <c r="Z70" s="42">
        <f t="shared" si="32"/>
        <v>0</v>
      </c>
      <c r="AA70" s="38">
        <f>IF($A70&gt;LastT,0,N70-V70-Q70/(1+Policy_Sched!$K70)+Z71/(1+Policy_Sched!$K70))</f>
        <v>0</v>
      </c>
    </row>
    <row r="71" spans="1:27" x14ac:dyDescent="0.2">
      <c r="A71" s="30">
        <f t="shared" si="33"/>
        <v>64</v>
      </c>
      <c r="B71" s="31">
        <f t="shared" si="34"/>
        <v>0</v>
      </c>
      <c r="C71" s="31">
        <f>IF($A71&gt;LastT,0,IF(AND($D$3&lt;&gt;0,$A71&gt;=T0,Policy_Sched!$B71&lt;LastAge),1+$D$3*$E$3,1))</f>
        <v>0</v>
      </c>
      <c r="D71" s="36">
        <f>IF($A71&gt;LastT,0,IF($C$3="up",MIN(Policy_Sched!$E71*(1+IF($A71&gt;=T0,$E$3,0)),$F$3),IF($C$3="down",MAX(Policy_Sched!$E71*(1-IF($A71&gt;=T0,$E$3,0)),Policy_Sched!$E71-$F$3),Policy_Sched!$E71)))</f>
        <v>0</v>
      </c>
      <c r="E71" s="37">
        <f t="shared" si="35"/>
        <v>0</v>
      </c>
      <c r="F71" s="37">
        <f t="shared" ref="F71:F102" si="36">IF($A71&gt;LastT,0,IF($A71=PolicyTerm,E71,0))</f>
        <v>0</v>
      </c>
      <c r="G71" s="37">
        <f t="shared" ref="G71:G102" si="37">IF($A71&gt;LastT,0,E71-F71)</f>
        <v>0</v>
      </c>
      <c r="H71" s="37">
        <f t="shared" ref="H71:H102" si="38">IF($A71=0,PolicyCount,0)</f>
        <v>0</v>
      </c>
      <c r="I71" s="37">
        <f t="shared" ref="I71:I102" si="39">IF($A71&gt;LastT,0,IF(AND($C$3="mass",$A71=T0),(G71+H71)*$E$3,0))</f>
        <v>0</v>
      </c>
      <c r="J71" s="37">
        <f t="shared" ref="J71:J102" si="40">IF($A71&gt;LastT,0,G71+H71-I71)</f>
        <v>0</v>
      </c>
      <c r="K71" s="37">
        <f>IF($A71&gt;LastT,0,J71*Policy_Sched!$C71*Policy_Sched!$D71*C71)</f>
        <v>0</v>
      </c>
      <c r="L71" s="41">
        <f t="shared" ref="L71:L102" si="41">J71*D71</f>
        <v>0</v>
      </c>
      <c r="M71" s="38">
        <f t="shared" ref="M71:M102" si="42">IF($A71&gt;LastT,0,(SizeAnnPrem*ExpsMaintAnnPrem+(SumAssured*ExpsMaintSA+ExpsMaintPol)*B71)*(1+IF($B$3="exps",$E$3,0)))</f>
        <v>0</v>
      </c>
      <c r="N71" s="38">
        <f t="shared" ref="N71:N102" si="43">SizePremium*J71</f>
        <v>0</v>
      </c>
      <c r="O71" s="38">
        <f t="shared" ref="O71:O102" si="44">SumAssured*K71</f>
        <v>0</v>
      </c>
      <c r="P71" s="38">
        <f>Policy_Sched!$I71*(L71+I71)</f>
        <v>0</v>
      </c>
      <c r="Q71" s="42">
        <f t="shared" ref="Q71:Q102" si="45">O71+P71</f>
        <v>0</v>
      </c>
      <c r="R71" s="38">
        <f t="shared" ref="R71:R102" si="46">IF($A71=0,SizeExpsAcq0*H71,0)</f>
        <v>0</v>
      </c>
      <c r="S71" s="38">
        <f t="shared" ref="S71:S102" si="47">IF($A71=0,SizeExpsCommInit0*J71,0)</f>
        <v>0</v>
      </c>
      <c r="T71" s="38">
        <f>Policy_Sched!$J71*J71</f>
        <v>0</v>
      </c>
      <c r="U71" s="42">
        <f t="shared" ref="U71:U102" si="48">M71*J71</f>
        <v>0</v>
      </c>
      <c r="V71" s="42">
        <f t="shared" ref="V71:V102" si="49">S71+T71+R71+U71</f>
        <v>0</v>
      </c>
      <c r="W71" s="38">
        <f>IF($A71&gt;LastT,0,N71+W72/(1+Policy_Sched!$K71))</f>
        <v>0</v>
      </c>
      <c r="X71" s="38">
        <f>IF($A71&gt;LastT,0,(-Q71+X72)/(1+Policy_Sched!$K71))</f>
        <v>0</v>
      </c>
      <c r="Y71" s="38">
        <f>IF($A71&gt;LastT,0,-V71+Y72/(1+Policy_Sched!$K71))</f>
        <v>0</v>
      </c>
      <c r="Z71" s="42">
        <f t="shared" ref="Z71:Z102" si="50">W71+Y71+X71</f>
        <v>0</v>
      </c>
      <c r="AA71" s="38">
        <f>IF($A71&gt;LastT,0,N71-V71-Q71/(1+Policy_Sched!$K71)+Z72/(1+Policy_Sched!$K71))</f>
        <v>0</v>
      </c>
    </row>
    <row r="72" spans="1:27" x14ac:dyDescent="0.2">
      <c r="A72" s="30">
        <f t="shared" ref="A72:A103" si="51">A71+1</f>
        <v>65</v>
      </c>
      <c r="B72" s="31">
        <f t="shared" ref="B72:B103" si="52">IF($A72&gt;LastT,0,IF($B$3="exps",B71*(1+InflRate+IF($A72&gt;=T0,$G$3,0)),B71/(1+InflRate)))</f>
        <v>0</v>
      </c>
      <c r="C72" s="31">
        <f>IF($A72&gt;LastT,0,IF(AND($D$3&lt;&gt;0,$A72&gt;=T0,Policy_Sched!$B72&lt;LastAge),1+$D$3*$E$3,1))</f>
        <v>0</v>
      </c>
      <c r="D72" s="36">
        <f>IF($A72&gt;LastT,0,IF($C$3="up",MIN(Policy_Sched!$E72*(1+IF($A72&gt;=T0,$E$3,0)),$F$3),IF($C$3="down",MAX(Policy_Sched!$E72*(1-IF($A72&gt;=T0,$E$3,0)),Policy_Sched!$E72-$F$3),Policy_Sched!$E72)))</f>
        <v>0</v>
      </c>
      <c r="E72" s="37">
        <f t="shared" ref="E72:E103" si="53">IF($A72&gt;LastT,0,J71-K71-L71)</f>
        <v>0</v>
      </c>
      <c r="F72" s="37">
        <f t="shared" si="36"/>
        <v>0</v>
      </c>
      <c r="G72" s="37">
        <f t="shared" si="37"/>
        <v>0</v>
      </c>
      <c r="H72" s="37">
        <f t="shared" si="38"/>
        <v>0</v>
      </c>
      <c r="I72" s="37">
        <f t="shared" si="39"/>
        <v>0</v>
      </c>
      <c r="J72" s="37">
        <f t="shared" si="40"/>
        <v>0</v>
      </c>
      <c r="K72" s="37">
        <f>IF($A72&gt;LastT,0,J72*Policy_Sched!$C72*Policy_Sched!$D72*C72)</f>
        <v>0</v>
      </c>
      <c r="L72" s="41">
        <f t="shared" si="41"/>
        <v>0</v>
      </c>
      <c r="M72" s="38">
        <f t="shared" si="42"/>
        <v>0</v>
      </c>
      <c r="N72" s="38">
        <f t="shared" si="43"/>
        <v>0</v>
      </c>
      <c r="O72" s="38">
        <f t="shared" si="44"/>
        <v>0</v>
      </c>
      <c r="P72" s="38">
        <f>Policy_Sched!$I72*(L72+I72)</f>
        <v>0</v>
      </c>
      <c r="Q72" s="42">
        <f t="shared" si="45"/>
        <v>0</v>
      </c>
      <c r="R72" s="38">
        <f t="shared" si="46"/>
        <v>0</v>
      </c>
      <c r="S72" s="38">
        <f t="shared" si="47"/>
        <v>0</v>
      </c>
      <c r="T72" s="38">
        <f>Policy_Sched!$J72*J72</f>
        <v>0</v>
      </c>
      <c r="U72" s="42">
        <f t="shared" si="48"/>
        <v>0</v>
      </c>
      <c r="V72" s="42">
        <f t="shared" si="49"/>
        <v>0</v>
      </c>
      <c r="W72" s="38">
        <f>IF($A72&gt;LastT,0,N72+W73/(1+Policy_Sched!$K72))</f>
        <v>0</v>
      </c>
      <c r="X72" s="38">
        <f>IF($A72&gt;LastT,0,(-Q72+X73)/(1+Policy_Sched!$K72))</f>
        <v>0</v>
      </c>
      <c r="Y72" s="38">
        <f>IF($A72&gt;LastT,0,-V72+Y73/(1+Policy_Sched!$K72))</f>
        <v>0</v>
      </c>
      <c r="Z72" s="42">
        <f t="shared" si="50"/>
        <v>0</v>
      </c>
      <c r="AA72" s="38">
        <f>IF($A72&gt;LastT,0,N72-V72-Q72/(1+Policy_Sched!$K72)+Z73/(1+Policy_Sched!$K72))</f>
        <v>0</v>
      </c>
    </row>
    <row r="73" spans="1:27" x14ac:dyDescent="0.2">
      <c r="A73" s="30">
        <f t="shared" si="51"/>
        <v>66</v>
      </c>
      <c r="B73" s="31">
        <f t="shared" si="52"/>
        <v>0</v>
      </c>
      <c r="C73" s="31">
        <f>IF($A73&gt;LastT,0,IF(AND($D$3&lt;&gt;0,$A73&gt;=T0,Policy_Sched!$B73&lt;LastAge),1+$D$3*$E$3,1))</f>
        <v>0</v>
      </c>
      <c r="D73" s="36">
        <f>IF($A73&gt;LastT,0,IF($C$3="up",MIN(Policy_Sched!$E73*(1+IF($A73&gt;=T0,$E$3,0)),$F$3),IF($C$3="down",MAX(Policy_Sched!$E73*(1-IF($A73&gt;=T0,$E$3,0)),Policy_Sched!$E73-$F$3),Policy_Sched!$E73)))</f>
        <v>0</v>
      </c>
      <c r="E73" s="37">
        <f t="shared" si="53"/>
        <v>0</v>
      </c>
      <c r="F73" s="37">
        <f t="shared" si="36"/>
        <v>0</v>
      </c>
      <c r="G73" s="37">
        <f t="shared" si="37"/>
        <v>0</v>
      </c>
      <c r="H73" s="37">
        <f t="shared" si="38"/>
        <v>0</v>
      </c>
      <c r="I73" s="37">
        <f t="shared" si="39"/>
        <v>0</v>
      </c>
      <c r="J73" s="37">
        <f t="shared" si="40"/>
        <v>0</v>
      </c>
      <c r="K73" s="37">
        <f>IF($A73&gt;LastT,0,J73*Policy_Sched!$C73*Policy_Sched!$D73*C73)</f>
        <v>0</v>
      </c>
      <c r="L73" s="41">
        <f t="shared" si="41"/>
        <v>0</v>
      </c>
      <c r="M73" s="38">
        <f t="shared" si="42"/>
        <v>0</v>
      </c>
      <c r="N73" s="38">
        <f t="shared" si="43"/>
        <v>0</v>
      </c>
      <c r="O73" s="38">
        <f t="shared" si="44"/>
        <v>0</v>
      </c>
      <c r="P73" s="38">
        <f>Policy_Sched!$I73*(L73+I73)</f>
        <v>0</v>
      </c>
      <c r="Q73" s="42">
        <f t="shared" si="45"/>
        <v>0</v>
      </c>
      <c r="R73" s="38">
        <f t="shared" si="46"/>
        <v>0</v>
      </c>
      <c r="S73" s="38">
        <f t="shared" si="47"/>
        <v>0</v>
      </c>
      <c r="T73" s="38">
        <f>Policy_Sched!$J73*J73</f>
        <v>0</v>
      </c>
      <c r="U73" s="42">
        <f t="shared" si="48"/>
        <v>0</v>
      </c>
      <c r="V73" s="42">
        <f t="shared" si="49"/>
        <v>0</v>
      </c>
      <c r="W73" s="38">
        <f>IF($A73&gt;LastT,0,N73+W74/(1+Policy_Sched!$K73))</f>
        <v>0</v>
      </c>
      <c r="X73" s="38">
        <f>IF($A73&gt;LastT,0,(-Q73+X74)/(1+Policy_Sched!$K73))</f>
        <v>0</v>
      </c>
      <c r="Y73" s="38">
        <f>IF($A73&gt;LastT,0,-V73+Y74/(1+Policy_Sched!$K73))</f>
        <v>0</v>
      </c>
      <c r="Z73" s="42">
        <f t="shared" si="50"/>
        <v>0</v>
      </c>
      <c r="AA73" s="38">
        <f>IF($A73&gt;LastT,0,N73-V73-Q73/(1+Policy_Sched!$K73)+Z74/(1+Policy_Sched!$K73))</f>
        <v>0</v>
      </c>
    </row>
    <row r="74" spans="1:27" x14ac:dyDescent="0.2">
      <c r="A74" s="30">
        <f t="shared" si="51"/>
        <v>67</v>
      </c>
      <c r="B74" s="31">
        <f t="shared" si="52"/>
        <v>0</v>
      </c>
      <c r="C74" s="31">
        <f>IF($A74&gt;LastT,0,IF(AND($D$3&lt;&gt;0,$A74&gt;=T0,Policy_Sched!$B74&lt;LastAge),1+$D$3*$E$3,1))</f>
        <v>0</v>
      </c>
      <c r="D74" s="36">
        <f>IF($A74&gt;LastT,0,IF($C$3="up",MIN(Policy_Sched!$E74*(1+IF($A74&gt;=T0,$E$3,0)),$F$3),IF($C$3="down",MAX(Policy_Sched!$E74*(1-IF($A74&gt;=T0,$E$3,0)),Policy_Sched!$E74-$F$3),Policy_Sched!$E74)))</f>
        <v>0</v>
      </c>
      <c r="E74" s="37">
        <f t="shared" si="53"/>
        <v>0</v>
      </c>
      <c r="F74" s="37">
        <f t="shared" si="36"/>
        <v>0</v>
      </c>
      <c r="G74" s="37">
        <f t="shared" si="37"/>
        <v>0</v>
      </c>
      <c r="H74" s="37">
        <f t="shared" si="38"/>
        <v>0</v>
      </c>
      <c r="I74" s="37">
        <f t="shared" si="39"/>
        <v>0</v>
      </c>
      <c r="J74" s="37">
        <f t="shared" si="40"/>
        <v>0</v>
      </c>
      <c r="K74" s="37">
        <f>IF($A74&gt;LastT,0,J74*Policy_Sched!$C74*Policy_Sched!$D74*C74)</f>
        <v>0</v>
      </c>
      <c r="L74" s="41">
        <f t="shared" si="41"/>
        <v>0</v>
      </c>
      <c r="M74" s="38">
        <f t="shared" si="42"/>
        <v>0</v>
      </c>
      <c r="N74" s="38">
        <f t="shared" si="43"/>
        <v>0</v>
      </c>
      <c r="O74" s="38">
        <f t="shared" si="44"/>
        <v>0</v>
      </c>
      <c r="P74" s="38">
        <f>Policy_Sched!$I74*(L74+I74)</f>
        <v>0</v>
      </c>
      <c r="Q74" s="42">
        <f t="shared" si="45"/>
        <v>0</v>
      </c>
      <c r="R74" s="38">
        <f t="shared" si="46"/>
        <v>0</v>
      </c>
      <c r="S74" s="38">
        <f t="shared" si="47"/>
        <v>0</v>
      </c>
      <c r="T74" s="38">
        <f>Policy_Sched!$J74*J74</f>
        <v>0</v>
      </c>
      <c r="U74" s="42">
        <f t="shared" si="48"/>
        <v>0</v>
      </c>
      <c r="V74" s="42">
        <f t="shared" si="49"/>
        <v>0</v>
      </c>
      <c r="W74" s="38">
        <f>IF($A74&gt;LastT,0,N74+W75/(1+Policy_Sched!$K74))</f>
        <v>0</v>
      </c>
      <c r="X74" s="38">
        <f>IF($A74&gt;LastT,0,(-Q74+X75)/(1+Policy_Sched!$K74))</f>
        <v>0</v>
      </c>
      <c r="Y74" s="38">
        <f>IF($A74&gt;LastT,0,-V74+Y75/(1+Policy_Sched!$K74))</f>
        <v>0</v>
      </c>
      <c r="Z74" s="42">
        <f t="shared" si="50"/>
        <v>0</v>
      </c>
      <c r="AA74" s="38">
        <f>IF($A74&gt;LastT,0,N74-V74-Q74/(1+Policy_Sched!$K74)+Z75/(1+Policy_Sched!$K74))</f>
        <v>0</v>
      </c>
    </row>
    <row r="75" spans="1:27" x14ac:dyDescent="0.2">
      <c r="A75" s="30">
        <f t="shared" si="51"/>
        <v>68</v>
      </c>
      <c r="B75" s="31">
        <f t="shared" si="52"/>
        <v>0</v>
      </c>
      <c r="C75" s="31">
        <f>IF($A75&gt;LastT,0,IF(AND($D$3&lt;&gt;0,$A75&gt;=T0,Policy_Sched!$B75&lt;LastAge),1+$D$3*$E$3,1))</f>
        <v>0</v>
      </c>
      <c r="D75" s="36">
        <f>IF($A75&gt;LastT,0,IF($C$3="up",MIN(Policy_Sched!$E75*(1+IF($A75&gt;=T0,$E$3,0)),$F$3),IF($C$3="down",MAX(Policy_Sched!$E75*(1-IF($A75&gt;=T0,$E$3,0)),Policy_Sched!$E75-$F$3),Policy_Sched!$E75)))</f>
        <v>0</v>
      </c>
      <c r="E75" s="37">
        <f t="shared" si="53"/>
        <v>0</v>
      </c>
      <c r="F75" s="37">
        <f t="shared" si="36"/>
        <v>0</v>
      </c>
      <c r="G75" s="37">
        <f t="shared" si="37"/>
        <v>0</v>
      </c>
      <c r="H75" s="37">
        <f t="shared" si="38"/>
        <v>0</v>
      </c>
      <c r="I75" s="37">
        <f t="shared" si="39"/>
        <v>0</v>
      </c>
      <c r="J75" s="37">
        <f t="shared" si="40"/>
        <v>0</v>
      </c>
      <c r="K75" s="37">
        <f>IF($A75&gt;LastT,0,J75*Policy_Sched!$C75*Policy_Sched!$D75*C75)</f>
        <v>0</v>
      </c>
      <c r="L75" s="41">
        <f t="shared" si="41"/>
        <v>0</v>
      </c>
      <c r="M75" s="38">
        <f t="shared" si="42"/>
        <v>0</v>
      </c>
      <c r="N75" s="38">
        <f t="shared" si="43"/>
        <v>0</v>
      </c>
      <c r="O75" s="38">
        <f t="shared" si="44"/>
        <v>0</v>
      </c>
      <c r="P75" s="38">
        <f>Policy_Sched!$I75*(L75+I75)</f>
        <v>0</v>
      </c>
      <c r="Q75" s="42">
        <f t="shared" si="45"/>
        <v>0</v>
      </c>
      <c r="R75" s="38">
        <f t="shared" si="46"/>
        <v>0</v>
      </c>
      <c r="S75" s="38">
        <f t="shared" si="47"/>
        <v>0</v>
      </c>
      <c r="T75" s="38">
        <f>Policy_Sched!$J75*J75</f>
        <v>0</v>
      </c>
      <c r="U75" s="42">
        <f t="shared" si="48"/>
        <v>0</v>
      </c>
      <c r="V75" s="42">
        <f t="shared" si="49"/>
        <v>0</v>
      </c>
      <c r="W75" s="38">
        <f>IF($A75&gt;LastT,0,N75+W76/(1+Policy_Sched!$K75))</f>
        <v>0</v>
      </c>
      <c r="X75" s="38">
        <f>IF($A75&gt;LastT,0,(-Q75+X76)/(1+Policy_Sched!$K75))</f>
        <v>0</v>
      </c>
      <c r="Y75" s="38">
        <f>IF($A75&gt;LastT,0,-V75+Y76/(1+Policy_Sched!$K75))</f>
        <v>0</v>
      </c>
      <c r="Z75" s="42">
        <f t="shared" si="50"/>
        <v>0</v>
      </c>
      <c r="AA75" s="38">
        <f>IF($A75&gt;LastT,0,N75-V75-Q75/(1+Policy_Sched!$K75)+Z76/(1+Policy_Sched!$K75))</f>
        <v>0</v>
      </c>
    </row>
    <row r="76" spans="1:27" x14ac:dyDescent="0.2">
      <c r="A76" s="30">
        <f t="shared" si="51"/>
        <v>69</v>
      </c>
      <c r="B76" s="31">
        <f t="shared" si="52"/>
        <v>0</v>
      </c>
      <c r="C76" s="31">
        <f>IF($A76&gt;LastT,0,IF(AND($D$3&lt;&gt;0,$A76&gt;=T0,Policy_Sched!$B76&lt;LastAge),1+$D$3*$E$3,1))</f>
        <v>0</v>
      </c>
      <c r="D76" s="36">
        <f>IF($A76&gt;LastT,0,IF($C$3="up",MIN(Policy_Sched!$E76*(1+IF($A76&gt;=T0,$E$3,0)),$F$3),IF($C$3="down",MAX(Policy_Sched!$E76*(1-IF($A76&gt;=T0,$E$3,0)),Policy_Sched!$E76-$F$3),Policy_Sched!$E76)))</f>
        <v>0</v>
      </c>
      <c r="E76" s="37">
        <f t="shared" si="53"/>
        <v>0</v>
      </c>
      <c r="F76" s="37">
        <f t="shared" si="36"/>
        <v>0</v>
      </c>
      <c r="G76" s="37">
        <f t="shared" si="37"/>
        <v>0</v>
      </c>
      <c r="H76" s="37">
        <f t="shared" si="38"/>
        <v>0</v>
      </c>
      <c r="I76" s="37">
        <f t="shared" si="39"/>
        <v>0</v>
      </c>
      <c r="J76" s="37">
        <f t="shared" si="40"/>
        <v>0</v>
      </c>
      <c r="K76" s="37">
        <f>IF($A76&gt;LastT,0,J76*Policy_Sched!$C76*Policy_Sched!$D76*C76)</f>
        <v>0</v>
      </c>
      <c r="L76" s="41">
        <f t="shared" si="41"/>
        <v>0</v>
      </c>
      <c r="M76" s="38">
        <f t="shared" si="42"/>
        <v>0</v>
      </c>
      <c r="N76" s="38">
        <f t="shared" si="43"/>
        <v>0</v>
      </c>
      <c r="O76" s="38">
        <f t="shared" si="44"/>
        <v>0</v>
      </c>
      <c r="P76" s="38">
        <f>Policy_Sched!$I76*(L76+I76)</f>
        <v>0</v>
      </c>
      <c r="Q76" s="42">
        <f t="shared" si="45"/>
        <v>0</v>
      </c>
      <c r="R76" s="38">
        <f t="shared" si="46"/>
        <v>0</v>
      </c>
      <c r="S76" s="38">
        <f t="shared" si="47"/>
        <v>0</v>
      </c>
      <c r="T76" s="38">
        <f>Policy_Sched!$J76*J76</f>
        <v>0</v>
      </c>
      <c r="U76" s="42">
        <f t="shared" si="48"/>
        <v>0</v>
      </c>
      <c r="V76" s="42">
        <f t="shared" si="49"/>
        <v>0</v>
      </c>
      <c r="W76" s="38">
        <f>IF($A76&gt;LastT,0,N76+W77/(1+Policy_Sched!$K76))</f>
        <v>0</v>
      </c>
      <c r="X76" s="38">
        <f>IF($A76&gt;LastT,0,(-Q76+X77)/(1+Policy_Sched!$K76))</f>
        <v>0</v>
      </c>
      <c r="Y76" s="38">
        <f>IF($A76&gt;LastT,0,-V76+Y77/(1+Policy_Sched!$K76))</f>
        <v>0</v>
      </c>
      <c r="Z76" s="42">
        <f t="shared" si="50"/>
        <v>0</v>
      </c>
      <c r="AA76" s="38">
        <f>IF($A76&gt;LastT,0,N76-V76-Q76/(1+Policy_Sched!$K76)+Z77/(1+Policy_Sched!$K76))</f>
        <v>0</v>
      </c>
    </row>
    <row r="77" spans="1:27" x14ac:dyDescent="0.2">
      <c r="A77" s="30">
        <f t="shared" si="51"/>
        <v>70</v>
      </c>
      <c r="B77" s="31">
        <f t="shared" si="52"/>
        <v>0</v>
      </c>
      <c r="C77" s="31">
        <f>IF($A77&gt;LastT,0,IF(AND($D$3&lt;&gt;0,$A77&gt;=T0,Policy_Sched!$B77&lt;LastAge),1+$D$3*$E$3,1))</f>
        <v>0</v>
      </c>
      <c r="D77" s="36">
        <f>IF($A77&gt;LastT,0,IF($C$3="up",MIN(Policy_Sched!$E77*(1+IF($A77&gt;=T0,$E$3,0)),$F$3),IF($C$3="down",MAX(Policy_Sched!$E77*(1-IF($A77&gt;=T0,$E$3,0)),Policy_Sched!$E77-$F$3),Policy_Sched!$E77)))</f>
        <v>0</v>
      </c>
      <c r="E77" s="37">
        <f t="shared" si="53"/>
        <v>0</v>
      </c>
      <c r="F77" s="37">
        <f t="shared" si="36"/>
        <v>0</v>
      </c>
      <c r="G77" s="37">
        <f t="shared" si="37"/>
        <v>0</v>
      </c>
      <c r="H77" s="37">
        <f t="shared" si="38"/>
        <v>0</v>
      </c>
      <c r="I77" s="37">
        <f t="shared" si="39"/>
        <v>0</v>
      </c>
      <c r="J77" s="37">
        <f t="shared" si="40"/>
        <v>0</v>
      </c>
      <c r="K77" s="37">
        <f>IF($A77&gt;LastT,0,J77*Policy_Sched!$C77*Policy_Sched!$D77*C77)</f>
        <v>0</v>
      </c>
      <c r="L77" s="41">
        <f t="shared" si="41"/>
        <v>0</v>
      </c>
      <c r="M77" s="38">
        <f t="shared" si="42"/>
        <v>0</v>
      </c>
      <c r="N77" s="38">
        <f t="shared" si="43"/>
        <v>0</v>
      </c>
      <c r="O77" s="38">
        <f t="shared" si="44"/>
        <v>0</v>
      </c>
      <c r="P77" s="38">
        <f>Policy_Sched!$I77*(L77+I77)</f>
        <v>0</v>
      </c>
      <c r="Q77" s="42">
        <f t="shared" si="45"/>
        <v>0</v>
      </c>
      <c r="R77" s="38">
        <f t="shared" si="46"/>
        <v>0</v>
      </c>
      <c r="S77" s="38">
        <f t="shared" si="47"/>
        <v>0</v>
      </c>
      <c r="T77" s="38">
        <f>Policy_Sched!$J77*J77</f>
        <v>0</v>
      </c>
      <c r="U77" s="42">
        <f t="shared" si="48"/>
        <v>0</v>
      </c>
      <c r="V77" s="42">
        <f t="shared" si="49"/>
        <v>0</v>
      </c>
      <c r="W77" s="38">
        <f>IF($A77&gt;LastT,0,N77+W78/(1+Policy_Sched!$K77))</f>
        <v>0</v>
      </c>
      <c r="X77" s="38">
        <f>IF($A77&gt;LastT,0,(-Q77+X78)/(1+Policy_Sched!$K77))</f>
        <v>0</v>
      </c>
      <c r="Y77" s="38">
        <f>IF($A77&gt;LastT,0,-V77+Y78/(1+Policy_Sched!$K77))</f>
        <v>0</v>
      </c>
      <c r="Z77" s="42">
        <f t="shared" si="50"/>
        <v>0</v>
      </c>
      <c r="AA77" s="38">
        <f>IF($A77&gt;LastT,0,N77-V77-Q77/(1+Policy_Sched!$K77)+Z78/(1+Policy_Sched!$K77))</f>
        <v>0</v>
      </c>
    </row>
    <row r="78" spans="1:27" x14ac:dyDescent="0.2">
      <c r="A78" s="30">
        <f t="shared" si="51"/>
        <v>71</v>
      </c>
      <c r="B78" s="31">
        <f t="shared" si="52"/>
        <v>0</v>
      </c>
      <c r="C78" s="31">
        <f>IF($A78&gt;LastT,0,IF(AND($D$3&lt;&gt;0,$A78&gt;=T0,Policy_Sched!$B78&lt;LastAge),1+$D$3*$E$3,1))</f>
        <v>0</v>
      </c>
      <c r="D78" s="36">
        <f>IF($A78&gt;LastT,0,IF($C$3="up",MIN(Policy_Sched!$E78*(1+IF($A78&gt;=T0,$E$3,0)),$F$3),IF($C$3="down",MAX(Policy_Sched!$E78*(1-IF($A78&gt;=T0,$E$3,0)),Policy_Sched!$E78-$F$3),Policy_Sched!$E78)))</f>
        <v>0</v>
      </c>
      <c r="E78" s="37">
        <f t="shared" si="53"/>
        <v>0</v>
      </c>
      <c r="F78" s="37">
        <f t="shared" si="36"/>
        <v>0</v>
      </c>
      <c r="G78" s="37">
        <f t="shared" si="37"/>
        <v>0</v>
      </c>
      <c r="H78" s="37">
        <f t="shared" si="38"/>
        <v>0</v>
      </c>
      <c r="I78" s="37">
        <f t="shared" si="39"/>
        <v>0</v>
      </c>
      <c r="J78" s="37">
        <f t="shared" si="40"/>
        <v>0</v>
      </c>
      <c r="K78" s="37">
        <f>IF($A78&gt;LastT,0,J78*Policy_Sched!$C78*Policy_Sched!$D78*C78)</f>
        <v>0</v>
      </c>
      <c r="L78" s="41">
        <f t="shared" si="41"/>
        <v>0</v>
      </c>
      <c r="M78" s="38">
        <f t="shared" si="42"/>
        <v>0</v>
      </c>
      <c r="N78" s="38">
        <f t="shared" si="43"/>
        <v>0</v>
      </c>
      <c r="O78" s="38">
        <f t="shared" si="44"/>
        <v>0</v>
      </c>
      <c r="P78" s="38">
        <f>Policy_Sched!$I78*(L78+I78)</f>
        <v>0</v>
      </c>
      <c r="Q78" s="42">
        <f t="shared" si="45"/>
        <v>0</v>
      </c>
      <c r="R78" s="38">
        <f t="shared" si="46"/>
        <v>0</v>
      </c>
      <c r="S78" s="38">
        <f t="shared" si="47"/>
        <v>0</v>
      </c>
      <c r="T78" s="38">
        <f>Policy_Sched!$J78*J78</f>
        <v>0</v>
      </c>
      <c r="U78" s="42">
        <f t="shared" si="48"/>
        <v>0</v>
      </c>
      <c r="V78" s="42">
        <f t="shared" si="49"/>
        <v>0</v>
      </c>
      <c r="W78" s="38">
        <f>IF($A78&gt;LastT,0,N78+W79/(1+Policy_Sched!$K78))</f>
        <v>0</v>
      </c>
      <c r="X78" s="38">
        <f>IF($A78&gt;LastT,0,(-Q78+X79)/(1+Policy_Sched!$K78))</f>
        <v>0</v>
      </c>
      <c r="Y78" s="38">
        <f>IF($A78&gt;LastT,0,-V78+Y79/(1+Policy_Sched!$K78))</f>
        <v>0</v>
      </c>
      <c r="Z78" s="42">
        <f t="shared" si="50"/>
        <v>0</v>
      </c>
      <c r="AA78" s="38">
        <f>IF($A78&gt;LastT,0,N78-V78-Q78/(1+Policy_Sched!$K78)+Z79/(1+Policy_Sched!$K78))</f>
        <v>0</v>
      </c>
    </row>
    <row r="79" spans="1:27" x14ac:dyDescent="0.2">
      <c r="A79" s="30">
        <f t="shared" si="51"/>
        <v>72</v>
      </c>
      <c r="B79" s="31">
        <f t="shared" si="52"/>
        <v>0</v>
      </c>
      <c r="C79" s="31">
        <f>IF($A79&gt;LastT,0,IF(AND($D$3&lt;&gt;0,$A79&gt;=T0,Policy_Sched!$B79&lt;LastAge),1+$D$3*$E$3,1))</f>
        <v>0</v>
      </c>
      <c r="D79" s="36">
        <f>IF($A79&gt;LastT,0,IF($C$3="up",MIN(Policy_Sched!$E79*(1+IF($A79&gt;=T0,$E$3,0)),$F$3),IF($C$3="down",MAX(Policy_Sched!$E79*(1-IF($A79&gt;=T0,$E$3,0)),Policy_Sched!$E79-$F$3),Policy_Sched!$E79)))</f>
        <v>0</v>
      </c>
      <c r="E79" s="37">
        <f t="shared" si="53"/>
        <v>0</v>
      </c>
      <c r="F79" s="37">
        <f t="shared" si="36"/>
        <v>0</v>
      </c>
      <c r="G79" s="37">
        <f t="shared" si="37"/>
        <v>0</v>
      </c>
      <c r="H79" s="37">
        <f t="shared" si="38"/>
        <v>0</v>
      </c>
      <c r="I79" s="37">
        <f t="shared" si="39"/>
        <v>0</v>
      </c>
      <c r="J79" s="37">
        <f t="shared" si="40"/>
        <v>0</v>
      </c>
      <c r="K79" s="37">
        <f>IF($A79&gt;LastT,0,J79*Policy_Sched!$C79*Policy_Sched!$D79*C79)</f>
        <v>0</v>
      </c>
      <c r="L79" s="41">
        <f t="shared" si="41"/>
        <v>0</v>
      </c>
      <c r="M79" s="38">
        <f t="shared" si="42"/>
        <v>0</v>
      </c>
      <c r="N79" s="38">
        <f t="shared" si="43"/>
        <v>0</v>
      </c>
      <c r="O79" s="38">
        <f t="shared" si="44"/>
        <v>0</v>
      </c>
      <c r="P79" s="38">
        <f>Policy_Sched!$I79*(L79+I79)</f>
        <v>0</v>
      </c>
      <c r="Q79" s="42">
        <f t="shared" si="45"/>
        <v>0</v>
      </c>
      <c r="R79" s="38">
        <f t="shared" si="46"/>
        <v>0</v>
      </c>
      <c r="S79" s="38">
        <f t="shared" si="47"/>
        <v>0</v>
      </c>
      <c r="T79" s="38">
        <f>Policy_Sched!$J79*J79</f>
        <v>0</v>
      </c>
      <c r="U79" s="42">
        <f t="shared" si="48"/>
        <v>0</v>
      </c>
      <c r="V79" s="42">
        <f t="shared" si="49"/>
        <v>0</v>
      </c>
      <c r="W79" s="38">
        <f>IF($A79&gt;LastT,0,N79+W80/(1+Policy_Sched!$K79))</f>
        <v>0</v>
      </c>
      <c r="X79" s="38">
        <f>IF($A79&gt;LastT,0,(-Q79+X80)/(1+Policy_Sched!$K79))</f>
        <v>0</v>
      </c>
      <c r="Y79" s="38">
        <f>IF($A79&gt;LastT,0,-V79+Y80/(1+Policy_Sched!$K79))</f>
        <v>0</v>
      </c>
      <c r="Z79" s="42">
        <f t="shared" si="50"/>
        <v>0</v>
      </c>
      <c r="AA79" s="38">
        <f>IF($A79&gt;LastT,0,N79-V79-Q79/(1+Policy_Sched!$K79)+Z80/(1+Policy_Sched!$K79))</f>
        <v>0</v>
      </c>
    </row>
    <row r="80" spans="1:27" x14ac:dyDescent="0.2">
      <c r="A80" s="30">
        <f t="shared" si="51"/>
        <v>73</v>
      </c>
      <c r="B80" s="31">
        <f t="shared" si="52"/>
        <v>0</v>
      </c>
      <c r="C80" s="31">
        <f>IF($A80&gt;LastT,0,IF(AND($D$3&lt;&gt;0,$A80&gt;=T0,Policy_Sched!$B80&lt;LastAge),1+$D$3*$E$3,1))</f>
        <v>0</v>
      </c>
      <c r="D80" s="36">
        <f>IF($A80&gt;LastT,0,IF($C$3="up",MIN(Policy_Sched!$E80*(1+IF($A80&gt;=T0,$E$3,0)),$F$3),IF($C$3="down",MAX(Policy_Sched!$E80*(1-IF($A80&gt;=T0,$E$3,0)),Policy_Sched!$E80-$F$3),Policy_Sched!$E80)))</f>
        <v>0</v>
      </c>
      <c r="E80" s="37">
        <f t="shared" si="53"/>
        <v>0</v>
      </c>
      <c r="F80" s="37">
        <f t="shared" si="36"/>
        <v>0</v>
      </c>
      <c r="G80" s="37">
        <f t="shared" si="37"/>
        <v>0</v>
      </c>
      <c r="H80" s="37">
        <f t="shared" si="38"/>
        <v>0</v>
      </c>
      <c r="I80" s="37">
        <f t="shared" si="39"/>
        <v>0</v>
      </c>
      <c r="J80" s="37">
        <f t="shared" si="40"/>
        <v>0</v>
      </c>
      <c r="K80" s="37">
        <f>IF($A80&gt;LastT,0,J80*Policy_Sched!$C80*Policy_Sched!$D80*C80)</f>
        <v>0</v>
      </c>
      <c r="L80" s="41">
        <f t="shared" si="41"/>
        <v>0</v>
      </c>
      <c r="M80" s="38">
        <f t="shared" si="42"/>
        <v>0</v>
      </c>
      <c r="N80" s="38">
        <f t="shared" si="43"/>
        <v>0</v>
      </c>
      <c r="O80" s="38">
        <f t="shared" si="44"/>
        <v>0</v>
      </c>
      <c r="P80" s="38">
        <f>Policy_Sched!$I80*(L80+I80)</f>
        <v>0</v>
      </c>
      <c r="Q80" s="42">
        <f t="shared" si="45"/>
        <v>0</v>
      </c>
      <c r="R80" s="38">
        <f t="shared" si="46"/>
        <v>0</v>
      </c>
      <c r="S80" s="38">
        <f t="shared" si="47"/>
        <v>0</v>
      </c>
      <c r="T80" s="38">
        <f>Policy_Sched!$J80*J80</f>
        <v>0</v>
      </c>
      <c r="U80" s="42">
        <f t="shared" si="48"/>
        <v>0</v>
      </c>
      <c r="V80" s="42">
        <f t="shared" si="49"/>
        <v>0</v>
      </c>
      <c r="W80" s="38">
        <f>IF($A80&gt;LastT,0,N80+W81/(1+Policy_Sched!$K80))</f>
        <v>0</v>
      </c>
      <c r="X80" s="38">
        <f>IF($A80&gt;LastT,0,(-Q80+X81)/(1+Policy_Sched!$K80))</f>
        <v>0</v>
      </c>
      <c r="Y80" s="38">
        <f>IF($A80&gt;LastT,0,-V80+Y81/(1+Policy_Sched!$K80))</f>
        <v>0</v>
      </c>
      <c r="Z80" s="42">
        <f t="shared" si="50"/>
        <v>0</v>
      </c>
      <c r="AA80" s="38">
        <f>IF($A80&gt;LastT,0,N80-V80-Q80/(1+Policy_Sched!$K80)+Z81/(1+Policy_Sched!$K80))</f>
        <v>0</v>
      </c>
    </row>
    <row r="81" spans="1:27" x14ac:dyDescent="0.2">
      <c r="A81" s="30">
        <f t="shared" si="51"/>
        <v>74</v>
      </c>
      <c r="B81" s="31">
        <f t="shared" si="52"/>
        <v>0</v>
      </c>
      <c r="C81" s="31">
        <f>IF($A81&gt;LastT,0,IF(AND($D$3&lt;&gt;0,$A81&gt;=T0,Policy_Sched!$B81&lt;LastAge),1+$D$3*$E$3,1))</f>
        <v>0</v>
      </c>
      <c r="D81" s="36">
        <f>IF($A81&gt;LastT,0,IF($C$3="up",MIN(Policy_Sched!$E81*(1+IF($A81&gt;=T0,$E$3,0)),$F$3),IF($C$3="down",MAX(Policy_Sched!$E81*(1-IF($A81&gt;=T0,$E$3,0)),Policy_Sched!$E81-$F$3),Policy_Sched!$E81)))</f>
        <v>0</v>
      </c>
      <c r="E81" s="37">
        <f t="shared" si="53"/>
        <v>0</v>
      </c>
      <c r="F81" s="37">
        <f t="shared" si="36"/>
        <v>0</v>
      </c>
      <c r="G81" s="37">
        <f t="shared" si="37"/>
        <v>0</v>
      </c>
      <c r="H81" s="37">
        <f t="shared" si="38"/>
        <v>0</v>
      </c>
      <c r="I81" s="37">
        <f t="shared" si="39"/>
        <v>0</v>
      </c>
      <c r="J81" s="37">
        <f t="shared" si="40"/>
        <v>0</v>
      </c>
      <c r="K81" s="37">
        <f>IF($A81&gt;LastT,0,J81*Policy_Sched!$C81*Policy_Sched!$D81*C81)</f>
        <v>0</v>
      </c>
      <c r="L81" s="41">
        <f t="shared" si="41"/>
        <v>0</v>
      </c>
      <c r="M81" s="38">
        <f t="shared" si="42"/>
        <v>0</v>
      </c>
      <c r="N81" s="38">
        <f t="shared" si="43"/>
        <v>0</v>
      </c>
      <c r="O81" s="38">
        <f t="shared" si="44"/>
        <v>0</v>
      </c>
      <c r="P81" s="38">
        <f>Policy_Sched!$I81*(L81+I81)</f>
        <v>0</v>
      </c>
      <c r="Q81" s="42">
        <f t="shared" si="45"/>
        <v>0</v>
      </c>
      <c r="R81" s="38">
        <f t="shared" si="46"/>
        <v>0</v>
      </c>
      <c r="S81" s="38">
        <f t="shared" si="47"/>
        <v>0</v>
      </c>
      <c r="T81" s="38">
        <f>Policy_Sched!$J81*J81</f>
        <v>0</v>
      </c>
      <c r="U81" s="42">
        <f t="shared" si="48"/>
        <v>0</v>
      </c>
      <c r="V81" s="42">
        <f t="shared" si="49"/>
        <v>0</v>
      </c>
      <c r="W81" s="38">
        <f>IF($A81&gt;LastT,0,N81+W82/(1+Policy_Sched!$K81))</f>
        <v>0</v>
      </c>
      <c r="X81" s="38">
        <f>IF($A81&gt;LastT,0,(-Q81+X82)/(1+Policy_Sched!$K81))</f>
        <v>0</v>
      </c>
      <c r="Y81" s="38">
        <f>IF($A81&gt;LastT,0,-V81+Y82/(1+Policy_Sched!$K81))</f>
        <v>0</v>
      </c>
      <c r="Z81" s="42">
        <f t="shared" si="50"/>
        <v>0</v>
      </c>
      <c r="AA81" s="38">
        <f>IF($A81&gt;LastT,0,N81-V81-Q81/(1+Policy_Sched!$K81)+Z82/(1+Policy_Sched!$K81))</f>
        <v>0</v>
      </c>
    </row>
    <row r="82" spans="1:27" x14ac:dyDescent="0.2">
      <c r="A82" s="30">
        <f t="shared" si="51"/>
        <v>75</v>
      </c>
      <c r="B82" s="31">
        <f t="shared" si="52"/>
        <v>0</v>
      </c>
      <c r="C82" s="31">
        <f>IF($A82&gt;LastT,0,IF(AND($D$3&lt;&gt;0,$A82&gt;=T0,Policy_Sched!$B82&lt;LastAge),1+$D$3*$E$3,1))</f>
        <v>0</v>
      </c>
      <c r="D82" s="36">
        <f>IF($A82&gt;LastT,0,IF($C$3="up",MIN(Policy_Sched!$E82*(1+IF($A82&gt;=T0,$E$3,0)),$F$3),IF($C$3="down",MAX(Policy_Sched!$E82*(1-IF($A82&gt;=T0,$E$3,0)),Policy_Sched!$E82-$F$3),Policy_Sched!$E82)))</f>
        <v>0</v>
      </c>
      <c r="E82" s="37">
        <f t="shared" si="53"/>
        <v>0</v>
      </c>
      <c r="F82" s="37">
        <f t="shared" si="36"/>
        <v>0</v>
      </c>
      <c r="G82" s="37">
        <f t="shared" si="37"/>
        <v>0</v>
      </c>
      <c r="H82" s="37">
        <f t="shared" si="38"/>
        <v>0</v>
      </c>
      <c r="I82" s="37">
        <f t="shared" si="39"/>
        <v>0</v>
      </c>
      <c r="J82" s="37">
        <f t="shared" si="40"/>
        <v>0</v>
      </c>
      <c r="K82" s="37">
        <f>IF($A82&gt;LastT,0,J82*Policy_Sched!$C82*Policy_Sched!$D82*C82)</f>
        <v>0</v>
      </c>
      <c r="L82" s="41">
        <f t="shared" si="41"/>
        <v>0</v>
      </c>
      <c r="M82" s="38">
        <f t="shared" si="42"/>
        <v>0</v>
      </c>
      <c r="N82" s="38">
        <f t="shared" si="43"/>
        <v>0</v>
      </c>
      <c r="O82" s="38">
        <f t="shared" si="44"/>
        <v>0</v>
      </c>
      <c r="P82" s="38">
        <f>Policy_Sched!$I82*(L82+I82)</f>
        <v>0</v>
      </c>
      <c r="Q82" s="42">
        <f t="shared" si="45"/>
        <v>0</v>
      </c>
      <c r="R82" s="38">
        <f t="shared" si="46"/>
        <v>0</v>
      </c>
      <c r="S82" s="38">
        <f t="shared" si="47"/>
        <v>0</v>
      </c>
      <c r="T82" s="38">
        <f>Policy_Sched!$J82*J82</f>
        <v>0</v>
      </c>
      <c r="U82" s="42">
        <f t="shared" si="48"/>
        <v>0</v>
      </c>
      <c r="V82" s="42">
        <f t="shared" si="49"/>
        <v>0</v>
      </c>
      <c r="W82" s="38">
        <f>IF($A82&gt;LastT,0,N82+W83/(1+Policy_Sched!$K82))</f>
        <v>0</v>
      </c>
      <c r="X82" s="38">
        <f>IF($A82&gt;LastT,0,(-Q82+X83)/(1+Policy_Sched!$K82))</f>
        <v>0</v>
      </c>
      <c r="Y82" s="38">
        <f>IF($A82&gt;LastT,0,-V82+Y83/(1+Policy_Sched!$K82))</f>
        <v>0</v>
      </c>
      <c r="Z82" s="42">
        <f t="shared" si="50"/>
        <v>0</v>
      </c>
      <c r="AA82" s="38">
        <f>IF($A82&gt;LastT,0,N82-V82-Q82/(1+Policy_Sched!$K82)+Z83/(1+Policy_Sched!$K82))</f>
        <v>0</v>
      </c>
    </row>
    <row r="83" spans="1:27" x14ac:dyDescent="0.2">
      <c r="A83" s="30">
        <f t="shared" si="51"/>
        <v>76</v>
      </c>
      <c r="B83" s="31">
        <f t="shared" si="52"/>
        <v>0</v>
      </c>
      <c r="C83" s="31">
        <f>IF($A83&gt;LastT,0,IF(AND($D$3&lt;&gt;0,$A83&gt;=T0,Policy_Sched!$B83&lt;LastAge),1+$D$3*$E$3,1))</f>
        <v>0</v>
      </c>
      <c r="D83" s="36">
        <f>IF($A83&gt;LastT,0,IF($C$3="up",MIN(Policy_Sched!$E83*(1+IF($A83&gt;=T0,$E$3,0)),$F$3),IF($C$3="down",MAX(Policy_Sched!$E83*(1-IF($A83&gt;=T0,$E$3,0)),Policy_Sched!$E83-$F$3),Policy_Sched!$E83)))</f>
        <v>0</v>
      </c>
      <c r="E83" s="37">
        <f t="shared" si="53"/>
        <v>0</v>
      </c>
      <c r="F83" s="37">
        <f t="shared" si="36"/>
        <v>0</v>
      </c>
      <c r="G83" s="37">
        <f t="shared" si="37"/>
        <v>0</v>
      </c>
      <c r="H83" s="37">
        <f t="shared" si="38"/>
        <v>0</v>
      </c>
      <c r="I83" s="37">
        <f t="shared" si="39"/>
        <v>0</v>
      </c>
      <c r="J83" s="37">
        <f t="shared" si="40"/>
        <v>0</v>
      </c>
      <c r="K83" s="37">
        <f>IF($A83&gt;LastT,0,J83*Policy_Sched!$C83*Policy_Sched!$D83*C83)</f>
        <v>0</v>
      </c>
      <c r="L83" s="41">
        <f t="shared" si="41"/>
        <v>0</v>
      </c>
      <c r="M83" s="38">
        <f t="shared" si="42"/>
        <v>0</v>
      </c>
      <c r="N83" s="38">
        <f t="shared" si="43"/>
        <v>0</v>
      </c>
      <c r="O83" s="38">
        <f t="shared" si="44"/>
        <v>0</v>
      </c>
      <c r="P83" s="38">
        <f>Policy_Sched!$I83*(L83+I83)</f>
        <v>0</v>
      </c>
      <c r="Q83" s="42">
        <f t="shared" si="45"/>
        <v>0</v>
      </c>
      <c r="R83" s="38">
        <f t="shared" si="46"/>
        <v>0</v>
      </c>
      <c r="S83" s="38">
        <f t="shared" si="47"/>
        <v>0</v>
      </c>
      <c r="T83" s="38">
        <f>Policy_Sched!$J83*J83</f>
        <v>0</v>
      </c>
      <c r="U83" s="42">
        <f t="shared" si="48"/>
        <v>0</v>
      </c>
      <c r="V83" s="42">
        <f t="shared" si="49"/>
        <v>0</v>
      </c>
      <c r="W83" s="38">
        <f>IF($A83&gt;LastT,0,N83+W84/(1+Policy_Sched!$K83))</f>
        <v>0</v>
      </c>
      <c r="X83" s="38">
        <f>IF($A83&gt;LastT,0,(-Q83+X84)/(1+Policy_Sched!$K83))</f>
        <v>0</v>
      </c>
      <c r="Y83" s="38">
        <f>IF($A83&gt;LastT,0,-V83+Y84/(1+Policy_Sched!$K83))</f>
        <v>0</v>
      </c>
      <c r="Z83" s="42">
        <f t="shared" si="50"/>
        <v>0</v>
      </c>
      <c r="AA83" s="38">
        <f>IF($A83&gt;LastT,0,N83-V83-Q83/(1+Policy_Sched!$K83)+Z84/(1+Policy_Sched!$K83))</f>
        <v>0</v>
      </c>
    </row>
    <row r="84" spans="1:27" x14ac:dyDescent="0.2">
      <c r="A84" s="30">
        <f t="shared" si="51"/>
        <v>77</v>
      </c>
      <c r="B84" s="31">
        <f t="shared" si="52"/>
        <v>0</v>
      </c>
      <c r="C84" s="31">
        <f>IF($A84&gt;LastT,0,IF(AND($D$3&lt;&gt;0,$A84&gt;=T0,Policy_Sched!$B84&lt;LastAge),1+$D$3*$E$3,1))</f>
        <v>0</v>
      </c>
      <c r="D84" s="36">
        <f>IF($A84&gt;LastT,0,IF($C$3="up",MIN(Policy_Sched!$E84*(1+IF($A84&gt;=T0,$E$3,0)),$F$3),IF($C$3="down",MAX(Policy_Sched!$E84*(1-IF($A84&gt;=T0,$E$3,0)),Policy_Sched!$E84-$F$3),Policy_Sched!$E84)))</f>
        <v>0</v>
      </c>
      <c r="E84" s="37">
        <f t="shared" si="53"/>
        <v>0</v>
      </c>
      <c r="F84" s="37">
        <f t="shared" si="36"/>
        <v>0</v>
      </c>
      <c r="G84" s="37">
        <f t="shared" si="37"/>
        <v>0</v>
      </c>
      <c r="H84" s="37">
        <f t="shared" si="38"/>
        <v>0</v>
      </c>
      <c r="I84" s="37">
        <f t="shared" si="39"/>
        <v>0</v>
      </c>
      <c r="J84" s="37">
        <f t="shared" si="40"/>
        <v>0</v>
      </c>
      <c r="K84" s="37">
        <f>IF($A84&gt;LastT,0,J84*Policy_Sched!$C84*Policy_Sched!$D84*C84)</f>
        <v>0</v>
      </c>
      <c r="L84" s="41">
        <f t="shared" si="41"/>
        <v>0</v>
      </c>
      <c r="M84" s="38">
        <f t="shared" si="42"/>
        <v>0</v>
      </c>
      <c r="N84" s="38">
        <f t="shared" si="43"/>
        <v>0</v>
      </c>
      <c r="O84" s="38">
        <f t="shared" si="44"/>
        <v>0</v>
      </c>
      <c r="P84" s="38">
        <f>Policy_Sched!$I84*(L84+I84)</f>
        <v>0</v>
      </c>
      <c r="Q84" s="42">
        <f t="shared" si="45"/>
        <v>0</v>
      </c>
      <c r="R84" s="38">
        <f t="shared" si="46"/>
        <v>0</v>
      </c>
      <c r="S84" s="38">
        <f t="shared" si="47"/>
        <v>0</v>
      </c>
      <c r="T84" s="38">
        <f>Policy_Sched!$J84*J84</f>
        <v>0</v>
      </c>
      <c r="U84" s="42">
        <f t="shared" si="48"/>
        <v>0</v>
      </c>
      <c r="V84" s="42">
        <f t="shared" si="49"/>
        <v>0</v>
      </c>
      <c r="W84" s="38">
        <f>IF($A84&gt;LastT,0,N84+W85/(1+Policy_Sched!$K84))</f>
        <v>0</v>
      </c>
      <c r="X84" s="38">
        <f>IF($A84&gt;LastT,0,(-Q84+X85)/(1+Policy_Sched!$K84))</f>
        <v>0</v>
      </c>
      <c r="Y84" s="38">
        <f>IF($A84&gt;LastT,0,-V84+Y85/(1+Policy_Sched!$K84))</f>
        <v>0</v>
      </c>
      <c r="Z84" s="42">
        <f t="shared" si="50"/>
        <v>0</v>
      </c>
      <c r="AA84" s="38">
        <f>IF($A84&gt;LastT,0,N84-V84-Q84/(1+Policy_Sched!$K84)+Z85/(1+Policy_Sched!$K84))</f>
        <v>0</v>
      </c>
    </row>
    <row r="85" spans="1:27" x14ac:dyDescent="0.2">
      <c r="A85" s="30">
        <f t="shared" si="51"/>
        <v>78</v>
      </c>
      <c r="B85" s="31">
        <f t="shared" si="52"/>
        <v>0</v>
      </c>
      <c r="C85" s="31">
        <f>IF($A85&gt;LastT,0,IF(AND($D$3&lt;&gt;0,$A85&gt;=T0,Policy_Sched!$B85&lt;LastAge),1+$D$3*$E$3,1))</f>
        <v>0</v>
      </c>
      <c r="D85" s="36">
        <f>IF($A85&gt;LastT,0,IF($C$3="up",MIN(Policy_Sched!$E85*(1+IF($A85&gt;=T0,$E$3,0)),$F$3),IF($C$3="down",MAX(Policy_Sched!$E85*(1-IF($A85&gt;=T0,$E$3,0)),Policy_Sched!$E85-$F$3),Policy_Sched!$E85)))</f>
        <v>0</v>
      </c>
      <c r="E85" s="37">
        <f t="shared" si="53"/>
        <v>0</v>
      </c>
      <c r="F85" s="37">
        <f t="shared" si="36"/>
        <v>0</v>
      </c>
      <c r="G85" s="37">
        <f t="shared" si="37"/>
        <v>0</v>
      </c>
      <c r="H85" s="37">
        <f t="shared" si="38"/>
        <v>0</v>
      </c>
      <c r="I85" s="37">
        <f t="shared" si="39"/>
        <v>0</v>
      </c>
      <c r="J85" s="37">
        <f t="shared" si="40"/>
        <v>0</v>
      </c>
      <c r="K85" s="37">
        <f>IF($A85&gt;LastT,0,J85*Policy_Sched!$C85*Policy_Sched!$D85*C85)</f>
        <v>0</v>
      </c>
      <c r="L85" s="41">
        <f t="shared" si="41"/>
        <v>0</v>
      </c>
      <c r="M85" s="38">
        <f t="shared" si="42"/>
        <v>0</v>
      </c>
      <c r="N85" s="38">
        <f t="shared" si="43"/>
        <v>0</v>
      </c>
      <c r="O85" s="38">
        <f t="shared" si="44"/>
        <v>0</v>
      </c>
      <c r="P85" s="38">
        <f>Policy_Sched!$I85*(L85+I85)</f>
        <v>0</v>
      </c>
      <c r="Q85" s="42">
        <f t="shared" si="45"/>
        <v>0</v>
      </c>
      <c r="R85" s="38">
        <f t="shared" si="46"/>
        <v>0</v>
      </c>
      <c r="S85" s="38">
        <f t="shared" si="47"/>
        <v>0</v>
      </c>
      <c r="T85" s="38">
        <f>Policy_Sched!$J85*J85</f>
        <v>0</v>
      </c>
      <c r="U85" s="42">
        <f t="shared" si="48"/>
        <v>0</v>
      </c>
      <c r="V85" s="42">
        <f t="shared" si="49"/>
        <v>0</v>
      </c>
      <c r="W85" s="38">
        <f>IF($A85&gt;LastT,0,N85+W86/(1+Policy_Sched!$K85))</f>
        <v>0</v>
      </c>
      <c r="X85" s="38">
        <f>IF($A85&gt;LastT,0,(-Q85+X86)/(1+Policy_Sched!$K85))</f>
        <v>0</v>
      </c>
      <c r="Y85" s="38">
        <f>IF($A85&gt;LastT,0,-V85+Y86/(1+Policy_Sched!$K85))</f>
        <v>0</v>
      </c>
      <c r="Z85" s="42">
        <f t="shared" si="50"/>
        <v>0</v>
      </c>
      <c r="AA85" s="38">
        <f>IF($A85&gt;LastT,0,N85-V85-Q85/(1+Policy_Sched!$K85)+Z86/(1+Policy_Sched!$K85))</f>
        <v>0</v>
      </c>
    </row>
    <row r="86" spans="1:27" x14ac:dyDescent="0.2">
      <c r="A86" s="30">
        <f t="shared" si="51"/>
        <v>79</v>
      </c>
      <c r="B86" s="31">
        <f t="shared" si="52"/>
        <v>0</v>
      </c>
      <c r="C86" s="31">
        <f>IF($A86&gt;LastT,0,IF(AND($D$3&lt;&gt;0,$A86&gt;=T0,Policy_Sched!$B86&lt;LastAge),1+$D$3*$E$3,1))</f>
        <v>0</v>
      </c>
      <c r="D86" s="36">
        <f>IF($A86&gt;LastT,0,IF($C$3="up",MIN(Policy_Sched!$E86*(1+IF($A86&gt;=T0,$E$3,0)),$F$3),IF($C$3="down",MAX(Policy_Sched!$E86*(1-IF($A86&gt;=T0,$E$3,0)),Policy_Sched!$E86-$F$3),Policy_Sched!$E86)))</f>
        <v>0</v>
      </c>
      <c r="E86" s="37">
        <f t="shared" si="53"/>
        <v>0</v>
      </c>
      <c r="F86" s="37">
        <f t="shared" si="36"/>
        <v>0</v>
      </c>
      <c r="G86" s="37">
        <f t="shared" si="37"/>
        <v>0</v>
      </c>
      <c r="H86" s="37">
        <f t="shared" si="38"/>
        <v>0</v>
      </c>
      <c r="I86" s="37">
        <f t="shared" si="39"/>
        <v>0</v>
      </c>
      <c r="J86" s="37">
        <f t="shared" si="40"/>
        <v>0</v>
      </c>
      <c r="K86" s="37">
        <f>IF($A86&gt;LastT,0,J86*Policy_Sched!$C86*Policy_Sched!$D86*C86)</f>
        <v>0</v>
      </c>
      <c r="L86" s="41">
        <f t="shared" si="41"/>
        <v>0</v>
      </c>
      <c r="M86" s="38">
        <f t="shared" si="42"/>
        <v>0</v>
      </c>
      <c r="N86" s="38">
        <f t="shared" si="43"/>
        <v>0</v>
      </c>
      <c r="O86" s="38">
        <f t="shared" si="44"/>
        <v>0</v>
      </c>
      <c r="P86" s="38">
        <f>Policy_Sched!$I86*(L86+I86)</f>
        <v>0</v>
      </c>
      <c r="Q86" s="42">
        <f t="shared" si="45"/>
        <v>0</v>
      </c>
      <c r="R86" s="38">
        <f t="shared" si="46"/>
        <v>0</v>
      </c>
      <c r="S86" s="38">
        <f t="shared" si="47"/>
        <v>0</v>
      </c>
      <c r="T86" s="38">
        <f>Policy_Sched!$J86*J86</f>
        <v>0</v>
      </c>
      <c r="U86" s="42">
        <f t="shared" si="48"/>
        <v>0</v>
      </c>
      <c r="V86" s="42">
        <f t="shared" si="49"/>
        <v>0</v>
      </c>
      <c r="W86" s="38">
        <f>IF($A86&gt;LastT,0,N86+W87/(1+Policy_Sched!$K86))</f>
        <v>0</v>
      </c>
      <c r="X86" s="38">
        <f>IF($A86&gt;LastT,0,(-Q86+X87)/(1+Policy_Sched!$K86))</f>
        <v>0</v>
      </c>
      <c r="Y86" s="38">
        <f>IF($A86&gt;LastT,0,-V86+Y87/(1+Policy_Sched!$K86))</f>
        <v>0</v>
      </c>
      <c r="Z86" s="42">
        <f t="shared" si="50"/>
        <v>0</v>
      </c>
      <c r="AA86" s="38">
        <f>IF($A86&gt;LastT,0,N86-V86-Q86/(1+Policy_Sched!$K86)+Z87/(1+Policy_Sched!$K86))</f>
        <v>0</v>
      </c>
    </row>
    <row r="87" spans="1:27" x14ac:dyDescent="0.2">
      <c r="A87" s="30">
        <f t="shared" si="51"/>
        <v>80</v>
      </c>
      <c r="B87" s="31">
        <f t="shared" si="52"/>
        <v>0</v>
      </c>
      <c r="C87" s="31">
        <f>IF($A87&gt;LastT,0,IF(AND($D$3&lt;&gt;0,$A87&gt;=T0,Policy_Sched!$B87&lt;LastAge),1+$D$3*$E$3,1))</f>
        <v>0</v>
      </c>
      <c r="D87" s="36">
        <f>IF($A87&gt;LastT,0,IF($C$3="up",MIN(Policy_Sched!$E87*(1+IF($A87&gt;=T0,$E$3,0)),$F$3),IF($C$3="down",MAX(Policy_Sched!$E87*(1-IF($A87&gt;=T0,$E$3,0)),Policy_Sched!$E87-$F$3),Policy_Sched!$E87)))</f>
        <v>0</v>
      </c>
      <c r="E87" s="37">
        <f t="shared" si="53"/>
        <v>0</v>
      </c>
      <c r="F87" s="37">
        <f t="shared" si="36"/>
        <v>0</v>
      </c>
      <c r="G87" s="37">
        <f t="shared" si="37"/>
        <v>0</v>
      </c>
      <c r="H87" s="37">
        <f t="shared" si="38"/>
        <v>0</v>
      </c>
      <c r="I87" s="37">
        <f t="shared" si="39"/>
        <v>0</v>
      </c>
      <c r="J87" s="37">
        <f t="shared" si="40"/>
        <v>0</v>
      </c>
      <c r="K87" s="37">
        <f>IF($A87&gt;LastT,0,J87*Policy_Sched!$C87*Policy_Sched!$D87*C87)</f>
        <v>0</v>
      </c>
      <c r="L87" s="41">
        <f t="shared" si="41"/>
        <v>0</v>
      </c>
      <c r="M87" s="38">
        <f t="shared" si="42"/>
        <v>0</v>
      </c>
      <c r="N87" s="38">
        <f t="shared" si="43"/>
        <v>0</v>
      </c>
      <c r="O87" s="38">
        <f t="shared" si="44"/>
        <v>0</v>
      </c>
      <c r="P87" s="38">
        <f>Policy_Sched!$I87*(L87+I87)</f>
        <v>0</v>
      </c>
      <c r="Q87" s="42">
        <f t="shared" si="45"/>
        <v>0</v>
      </c>
      <c r="R87" s="38">
        <f t="shared" si="46"/>
        <v>0</v>
      </c>
      <c r="S87" s="38">
        <f t="shared" si="47"/>
        <v>0</v>
      </c>
      <c r="T87" s="38">
        <f>Policy_Sched!$J87*J87</f>
        <v>0</v>
      </c>
      <c r="U87" s="42">
        <f t="shared" si="48"/>
        <v>0</v>
      </c>
      <c r="V87" s="42">
        <f t="shared" si="49"/>
        <v>0</v>
      </c>
      <c r="W87" s="38">
        <f>IF($A87&gt;LastT,0,N87+W88/(1+Policy_Sched!$K87))</f>
        <v>0</v>
      </c>
      <c r="X87" s="38">
        <f>IF($A87&gt;LastT,0,(-Q87+X88)/(1+Policy_Sched!$K87))</f>
        <v>0</v>
      </c>
      <c r="Y87" s="38">
        <f>IF($A87&gt;LastT,0,-V87+Y88/(1+Policy_Sched!$K87))</f>
        <v>0</v>
      </c>
      <c r="Z87" s="42">
        <f t="shared" si="50"/>
        <v>0</v>
      </c>
      <c r="AA87" s="38">
        <f>IF($A87&gt;LastT,0,N87-V87-Q87/(1+Policy_Sched!$K87)+Z88/(1+Policy_Sched!$K87))</f>
        <v>0</v>
      </c>
    </row>
    <row r="88" spans="1:27" x14ac:dyDescent="0.2">
      <c r="A88" s="30">
        <f t="shared" si="51"/>
        <v>81</v>
      </c>
      <c r="B88" s="31">
        <f t="shared" si="52"/>
        <v>0</v>
      </c>
      <c r="C88" s="31">
        <f>IF($A88&gt;LastT,0,IF(AND($D$3&lt;&gt;0,$A88&gt;=T0,Policy_Sched!$B88&lt;LastAge),1+$D$3*$E$3,1))</f>
        <v>0</v>
      </c>
      <c r="D88" s="36">
        <f>IF($A88&gt;LastT,0,IF($C$3="up",MIN(Policy_Sched!$E88*(1+IF($A88&gt;=T0,$E$3,0)),$F$3),IF($C$3="down",MAX(Policy_Sched!$E88*(1-IF($A88&gt;=T0,$E$3,0)),Policy_Sched!$E88-$F$3),Policy_Sched!$E88)))</f>
        <v>0</v>
      </c>
      <c r="E88" s="37">
        <f t="shared" si="53"/>
        <v>0</v>
      </c>
      <c r="F88" s="37">
        <f t="shared" si="36"/>
        <v>0</v>
      </c>
      <c r="G88" s="37">
        <f t="shared" si="37"/>
        <v>0</v>
      </c>
      <c r="H88" s="37">
        <f t="shared" si="38"/>
        <v>0</v>
      </c>
      <c r="I88" s="37">
        <f t="shared" si="39"/>
        <v>0</v>
      </c>
      <c r="J88" s="37">
        <f t="shared" si="40"/>
        <v>0</v>
      </c>
      <c r="K88" s="37">
        <f>IF($A88&gt;LastT,0,J88*Policy_Sched!$C88*Policy_Sched!$D88*C88)</f>
        <v>0</v>
      </c>
      <c r="L88" s="41">
        <f t="shared" si="41"/>
        <v>0</v>
      </c>
      <c r="M88" s="38">
        <f t="shared" si="42"/>
        <v>0</v>
      </c>
      <c r="N88" s="38">
        <f t="shared" si="43"/>
        <v>0</v>
      </c>
      <c r="O88" s="38">
        <f t="shared" si="44"/>
        <v>0</v>
      </c>
      <c r="P88" s="38">
        <f>Policy_Sched!$I88*(L88+I88)</f>
        <v>0</v>
      </c>
      <c r="Q88" s="42">
        <f t="shared" si="45"/>
        <v>0</v>
      </c>
      <c r="R88" s="38">
        <f t="shared" si="46"/>
        <v>0</v>
      </c>
      <c r="S88" s="38">
        <f t="shared" si="47"/>
        <v>0</v>
      </c>
      <c r="T88" s="38">
        <f>Policy_Sched!$J88*J88</f>
        <v>0</v>
      </c>
      <c r="U88" s="42">
        <f t="shared" si="48"/>
        <v>0</v>
      </c>
      <c r="V88" s="42">
        <f t="shared" si="49"/>
        <v>0</v>
      </c>
      <c r="W88" s="38">
        <f>IF($A88&gt;LastT,0,N88+W89/(1+Policy_Sched!$K88))</f>
        <v>0</v>
      </c>
      <c r="X88" s="38">
        <f>IF($A88&gt;LastT,0,(-Q88+X89)/(1+Policy_Sched!$K88))</f>
        <v>0</v>
      </c>
      <c r="Y88" s="38">
        <f>IF($A88&gt;LastT,0,-V88+Y89/(1+Policy_Sched!$K88))</f>
        <v>0</v>
      </c>
      <c r="Z88" s="42">
        <f t="shared" si="50"/>
        <v>0</v>
      </c>
      <c r="AA88" s="38">
        <f>IF($A88&gt;LastT,0,N88-V88-Q88/(1+Policy_Sched!$K88)+Z89/(1+Policy_Sched!$K88))</f>
        <v>0</v>
      </c>
    </row>
    <row r="89" spans="1:27" x14ac:dyDescent="0.2">
      <c r="A89" s="30">
        <f t="shared" si="51"/>
        <v>82</v>
      </c>
      <c r="B89" s="31">
        <f t="shared" si="52"/>
        <v>0</v>
      </c>
      <c r="C89" s="31">
        <f>IF($A89&gt;LastT,0,IF(AND($D$3&lt;&gt;0,$A89&gt;=T0,Policy_Sched!$B89&lt;LastAge),1+$D$3*$E$3,1))</f>
        <v>0</v>
      </c>
      <c r="D89" s="36">
        <f>IF($A89&gt;LastT,0,IF($C$3="up",MIN(Policy_Sched!$E89*(1+IF($A89&gt;=T0,$E$3,0)),$F$3),IF($C$3="down",MAX(Policy_Sched!$E89*(1-IF($A89&gt;=T0,$E$3,0)),Policy_Sched!$E89-$F$3),Policy_Sched!$E89)))</f>
        <v>0</v>
      </c>
      <c r="E89" s="37">
        <f t="shared" si="53"/>
        <v>0</v>
      </c>
      <c r="F89" s="37">
        <f t="shared" si="36"/>
        <v>0</v>
      </c>
      <c r="G89" s="37">
        <f t="shared" si="37"/>
        <v>0</v>
      </c>
      <c r="H89" s="37">
        <f t="shared" si="38"/>
        <v>0</v>
      </c>
      <c r="I89" s="37">
        <f t="shared" si="39"/>
        <v>0</v>
      </c>
      <c r="J89" s="37">
        <f t="shared" si="40"/>
        <v>0</v>
      </c>
      <c r="K89" s="37">
        <f>IF($A89&gt;LastT,0,J89*Policy_Sched!$C89*Policy_Sched!$D89*C89)</f>
        <v>0</v>
      </c>
      <c r="L89" s="41">
        <f t="shared" si="41"/>
        <v>0</v>
      </c>
      <c r="M89" s="38">
        <f t="shared" si="42"/>
        <v>0</v>
      </c>
      <c r="N89" s="38">
        <f t="shared" si="43"/>
        <v>0</v>
      </c>
      <c r="O89" s="38">
        <f t="shared" si="44"/>
        <v>0</v>
      </c>
      <c r="P89" s="38">
        <f>Policy_Sched!$I89*(L89+I89)</f>
        <v>0</v>
      </c>
      <c r="Q89" s="42">
        <f t="shared" si="45"/>
        <v>0</v>
      </c>
      <c r="R89" s="38">
        <f t="shared" si="46"/>
        <v>0</v>
      </c>
      <c r="S89" s="38">
        <f t="shared" si="47"/>
        <v>0</v>
      </c>
      <c r="T89" s="38">
        <f>Policy_Sched!$J89*J89</f>
        <v>0</v>
      </c>
      <c r="U89" s="42">
        <f t="shared" si="48"/>
        <v>0</v>
      </c>
      <c r="V89" s="42">
        <f t="shared" si="49"/>
        <v>0</v>
      </c>
      <c r="W89" s="38">
        <f>IF($A89&gt;LastT,0,N89+W90/(1+Policy_Sched!$K89))</f>
        <v>0</v>
      </c>
      <c r="X89" s="38">
        <f>IF($A89&gt;LastT,0,(-Q89+X90)/(1+Policy_Sched!$K89))</f>
        <v>0</v>
      </c>
      <c r="Y89" s="38">
        <f>IF($A89&gt;LastT,0,-V89+Y90/(1+Policy_Sched!$K89))</f>
        <v>0</v>
      </c>
      <c r="Z89" s="42">
        <f t="shared" si="50"/>
        <v>0</v>
      </c>
      <c r="AA89" s="38">
        <f>IF($A89&gt;LastT,0,N89-V89-Q89/(1+Policy_Sched!$K89)+Z90/(1+Policy_Sched!$K89))</f>
        <v>0</v>
      </c>
    </row>
    <row r="90" spans="1:27" x14ac:dyDescent="0.2">
      <c r="A90" s="30">
        <f t="shared" si="51"/>
        <v>83</v>
      </c>
      <c r="B90" s="31">
        <f t="shared" si="52"/>
        <v>0</v>
      </c>
      <c r="C90" s="31">
        <f>IF($A90&gt;LastT,0,IF(AND($D$3&lt;&gt;0,$A90&gt;=T0,Policy_Sched!$B90&lt;LastAge),1+$D$3*$E$3,1))</f>
        <v>0</v>
      </c>
      <c r="D90" s="36">
        <f>IF($A90&gt;LastT,0,IF($C$3="up",MIN(Policy_Sched!$E90*(1+IF($A90&gt;=T0,$E$3,0)),$F$3),IF($C$3="down",MAX(Policy_Sched!$E90*(1-IF($A90&gt;=T0,$E$3,0)),Policy_Sched!$E90-$F$3),Policy_Sched!$E90)))</f>
        <v>0</v>
      </c>
      <c r="E90" s="37">
        <f t="shared" si="53"/>
        <v>0</v>
      </c>
      <c r="F90" s="37">
        <f t="shared" si="36"/>
        <v>0</v>
      </c>
      <c r="G90" s="37">
        <f t="shared" si="37"/>
        <v>0</v>
      </c>
      <c r="H90" s="37">
        <f t="shared" si="38"/>
        <v>0</v>
      </c>
      <c r="I90" s="37">
        <f t="shared" si="39"/>
        <v>0</v>
      </c>
      <c r="J90" s="37">
        <f t="shared" si="40"/>
        <v>0</v>
      </c>
      <c r="K90" s="37">
        <f>IF($A90&gt;LastT,0,J90*Policy_Sched!$C90*Policy_Sched!$D90*C90)</f>
        <v>0</v>
      </c>
      <c r="L90" s="41">
        <f t="shared" si="41"/>
        <v>0</v>
      </c>
      <c r="M90" s="38">
        <f t="shared" si="42"/>
        <v>0</v>
      </c>
      <c r="N90" s="38">
        <f t="shared" si="43"/>
        <v>0</v>
      </c>
      <c r="O90" s="38">
        <f t="shared" si="44"/>
        <v>0</v>
      </c>
      <c r="P90" s="38">
        <f>Policy_Sched!$I90*(L90+I90)</f>
        <v>0</v>
      </c>
      <c r="Q90" s="42">
        <f t="shared" si="45"/>
        <v>0</v>
      </c>
      <c r="R90" s="38">
        <f t="shared" si="46"/>
        <v>0</v>
      </c>
      <c r="S90" s="38">
        <f t="shared" si="47"/>
        <v>0</v>
      </c>
      <c r="T90" s="38">
        <f>Policy_Sched!$J90*J90</f>
        <v>0</v>
      </c>
      <c r="U90" s="42">
        <f t="shared" si="48"/>
        <v>0</v>
      </c>
      <c r="V90" s="42">
        <f t="shared" si="49"/>
        <v>0</v>
      </c>
      <c r="W90" s="38">
        <f>IF($A90&gt;LastT,0,N90+W91/(1+Policy_Sched!$K90))</f>
        <v>0</v>
      </c>
      <c r="X90" s="38">
        <f>IF($A90&gt;LastT,0,(-Q90+X91)/(1+Policy_Sched!$K90))</f>
        <v>0</v>
      </c>
      <c r="Y90" s="38">
        <f>IF($A90&gt;LastT,0,-V90+Y91/(1+Policy_Sched!$K90))</f>
        <v>0</v>
      </c>
      <c r="Z90" s="42">
        <f t="shared" si="50"/>
        <v>0</v>
      </c>
      <c r="AA90" s="38">
        <f>IF($A90&gt;LastT,0,N90-V90-Q90/(1+Policy_Sched!$K90)+Z91/(1+Policy_Sched!$K90))</f>
        <v>0</v>
      </c>
    </row>
    <row r="91" spans="1:27" x14ac:dyDescent="0.2">
      <c r="A91" s="30">
        <f t="shared" si="51"/>
        <v>84</v>
      </c>
      <c r="B91" s="31">
        <f t="shared" si="52"/>
        <v>0</v>
      </c>
      <c r="C91" s="31">
        <f>IF($A91&gt;LastT,0,IF(AND($D$3&lt;&gt;0,$A91&gt;=T0,Policy_Sched!$B91&lt;LastAge),1+$D$3*$E$3,1))</f>
        <v>0</v>
      </c>
      <c r="D91" s="36">
        <f>IF($A91&gt;LastT,0,IF($C$3="up",MIN(Policy_Sched!$E91*(1+IF($A91&gt;=T0,$E$3,0)),$F$3),IF($C$3="down",MAX(Policy_Sched!$E91*(1-IF($A91&gt;=T0,$E$3,0)),Policy_Sched!$E91-$F$3),Policy_Sched!$E91)))</f>
        <v>0</v>
      </c>
      <c r="E91" s="37">
        <f t="shared" si="53"/>
        <v>0</v>
      </c>
      <c r="F91" s="37">
        <f t="shared" si="36"/>
        <v>0</v>
      </c>
      <c r="G91" s="37">
        <f t="shared" si="37"/>
        <v>0</v>
      </c>
      <c r="H91" s="37">
        <f t="shared" si="38"/>
        <v>0</v>
      </c>
      <c r="I91" s="37">
        <f t="shared" si="39"/>
        <v>0</v>
      </c>
      <c r="J91" s="37">
        <f t="shared" si="40"/>
        <v>0</v>
      </c>
      <c r="K91" s="37">
        <f>IF($A91&gt;LastT,0,J91*Policy_Sched!$C91*Policy_Sched!$D91*C91)</f>
        <v>0</v>
      </c>
      <c r="L91" s="41">
        <f t="shared" si="41"/>
        <v>0</v>
      </c>
      <c r="M91" s="38">
        <f t="shared" si="42"/>
        <v>0</v>
      </c>
      <c r="N91" s="38">
        <f t="shared" si="43"/>
        <v>0</v>
      </c>
      <c r="O91" s="38">
        <f t="shared" si="44"/>
        <v>0</v>
      </c>
      <c r="P91" s="38">
        <f>Policy_Sched!$I91*(L91+I91)</f>
        <v>0</v>
      </c>
      <c r="Q91" s="42">
        <f t="shared" si="45"/>
        <v>0</v>
      </c>
      <c r="R91" s="38">
        <f t="shared" si="46"/>
        <v>0</v>
      </c>
      <c r="S91" s="38">
        <f t="shared" si="47"/>
        <v>0</v>
      </c>
      <c r="T91" s="38">
        <f>Policy_Sched!$J91*J91</f>
        <v>0</v>
      </c>
      <c r="U91" s="42">
        <f t="shared" si="48"/>
        <v>0</v>
      </c>
      <c r="V91" s="42">
        <f t="shared" si="49"/>
        <v>0</v>
      </c>
      <c r="W91" s="38">
        <f>IF($A91&gt;LastT,0,N91+W92/(1+Policy_Sched!$K91))</f>
        <v>0</v>
      </c>
      <c r="X91" s="38">
        <f>IF($A91&gt;LastT,0,(-Q91+X92)/(1+Policy_Sched!$K91))</f>
        <v>0</v>
      </c>
      <c r="Y91" s="38">
        <f>IF($A91&gt;LastT,0,-V91+Y92/(1+Policy_Sched!$K91))</f>
        <v>0</v>
      </c>
      <c r="Z91" s="42">
        <f t="shared" si="50"/>
        <v>0</v>
      </c>
      <c r="AA91" s="38">
        <f>IF($A91&gt;LastT,0,N91-V91-Q91/(1+Policy_Sched!$K91)+Z92/(1+Policy_Sched!$K91))</f>
        <v>0</v>
      </c>
    </row>
    <row r="92" spans="1:27" x14ac:dyDescent="0.2">
      <c r="A92" s="30">
        <f t="shared" si="51"/>
        <v>85</v>
      </c>
      <c r="B92" s="31">
        <f t="shared" si="52"/>
        <v>0</v>
      </c>
      <c r="C92" s="31">
        <f>IF($A92&gt;LastT,0,IF(AND($D$3&lt;&gt;0,$A92&gt;=T0,Policy_Sched!$B92&lt;LastAge),1+$D$3*$E$3,1))</f>
        <v>0</v>
      </c>
      <c r="D92" s="36">
        <f>IF($A92&gt;LastT,0,IF($C$3="up",MIN(Policy_Sched!$E92*(1+IF($A92&gt;=T0,$E$3,0)),$F$3),IF($C$3="down",MAX(Policy_Sched!$E92*(1-IF($A92&gt;=T0,$E$3,0)),Policy_Sched!$E92-$F$3),Policy_Sched!$E92)))</f>
        <v>0</v>
      </c>
      <c r="E92" s="37">
        <f t="shared" si="53"/>
        <v>0</v>
      </c>
      <c r="F92" s="37">
        <f t="shared" si="36"/>
        <v>0</v>
      </c>
      <c r="G92" s="37">
        <f t="shared" si="37"/>
        <v>0</v>
      </c>
      <c r="H92" s="37">
        <f t="shared" si="38"/>
        <v>0</v>
      </c>
      <c r="I92" s="37">
        <f t="shared" si="39"/>
        <v>0</v>
      </c>
      <c r="J92" s="37">
        <f t="shared" si="40"/>
        <v>0</v>
      </c>
      <c r="K92" s="37">
        <f>IF($A92&gt;LastT,0,J92*Policy_Sched!$C92*Policy_Sched!$D92*C92)</f>
        <v>0</v>
      </c>
      <c r="L92" s="41">
        <f t="shared" si="41"/>
        <v>0</v>
      </c>
      <c r="M92" s="38">
        <f t="shared" si="42"/>
        <v>0</v>
      </c>
      <c r="N92" s="38">
        <f t="shared" si="43"/>
        <v>0</v>
      </c>
      <c r="O92" s="38">
        <f t="shared" si="44"/>
        <v>0</v>
      </c>
      <c r="P92" s="38">
        <f>Policy_Sched!$I92*(L92+I92)</f>
        <v>0</v>
      </c>
      <c r="Q92" s="42">
        <f t="shared" si="45"/>
        <v>0</v>
      </c>
      <c r="R92" s="38">
        <f t="shared" si="46"/>
        <v>0</v>
      </c>
      <c r="S92" s="38">
        <f t="shared" si="47"/>
        <v>0</v>
      </c>
      <c r="T92" s="38">
        <f>Policy_Sched!$J92*J92</f>
        <v>0</v>
      </c>
      <c r="U92" s="42">
        <f t="shared" si="48"/>
        <v>0</v>
      </c>
      <c r="V92" s="42">
        <f t="shared" si="49"/>
        <v>0</v>
      </c>
      <c r="W92" s="38">
        <f>IF($A92&gt;LastT,0,N92+W93/(1+Policy_Sched!$K92))</f>
        <v>0</v>
      </c>
      <c r="X92" s="38">
        <f>IF($A92&gt;LastT,0,(-Q92+X93)/(1+Policy_Sched!$K92))</f>
        <v>0</v>
      </c>
      <c r="Y92" s="38">
        <f>IF($A92&gt;LastT,0,-V92+Y93/(1+Policy_Sched!$K92))</f>
        <v>0</v>
      </c>
      <c r="Z92" s="42">
        <f t="shared" si="50"/>
        <v>0</v>
      </c>
      <c r="AA92" s="38">
        <f>IF($A92&gt;LastT,0,N92-V92-Q92/(1+Policy_Sched!$K92)+Z93/(1+Policy_Sched!$K92))</f>
        <v>0</v>
      </c>
    </row>
    <row r="93" spans="1:27" x14ac:dyDescent="0.2">
      <c r="A93" s="30">
        <f t="shared" si="51"/>
        <v>86</v>
      </c>
      <c r="B93" s="31">
        <f t="shared" si="52"/>
        <v>0</v>
      </c>
      <c r="C93" s="31">
        <f>IF($A93&gt;LastT,0,IF(AND($D$3&lt;&gt;0,$A93&gt;=T0,Policy_Sched!$B93&lt;LastAge),1+$D$3*$E$3,1))</f>
        <v>0</v>
      </c>
      <c r="D93" s="36">
        <f>IF($A93&gt;LastT,0,IF($C$3="up",MIN(Policy_Sched!$E93*(1+IF($A93&gt;=T0,$E$3,0)),$F$3),IF($C$3="down",MAX(Policy_Sched!$E93*(1-IF($A93&gt;=T0,$E$3,0)),Policy_Sched!$E93-$F$3),Policy_Sched!$E93)))</f>
        <v>0</v>
      </c>
      <c r="E93" s="37">
        <f t="shared" si="53"/>
        <v>0</v>
      </c>
      <c r="F93" s="37">
        <f t="shared" si="36"/>
        <v>0</v>
      </c>
      <c r="G93" s="37">
        <f t="shared" si="37"/>
        <v>0</v>
      </c>
      <c r="H93" s="37">
        <f t="shared" si="38"/>
        <v>0</v>
      </c>
      <c r="I93" s="37">
        <f t="shared" si="39"/>
        <v>0</v>
      </c>
      <c r="J93" s="37">
        <f t="shared" si="40"/>
        <v>0</v>
      </c>
      <c r="K93" s="37">
        <f>IF($A93&gt;LastT,0,J93*Policy_Sched!$C93*Policy_Sched!$D93*C93)</f>
        <v>0</v>
      </c>
      <c r="L93" s="41">
        <f t="shared" si="41"/>
        <v>0</v>
      </c>
      <c r="M93" s="38">
        <f t="shared" si="42"/>
        <v>0</v>
      </c>
      <c r="N93" s="38">
        <f t="shared" si="43"/>
        <v>0</v>
      </c>
      <c r="O93" s="38">
        <f t="shared" si="44"/>
        <v>0</v>
      </c>
      <c r="P93" s="38">
        <f>Policy_Sched!$I93*(L93+I93)</f>
        <v>0</v>
      </c>
      <c r="Q93" s="42">
        <f t="shared" si="45"/>
        <v>0</v>
      </c>
      <c r="R93" s="38">
        <f t="shared" si="46"/>
        <v>0</v>
      </c>
      <c r="S93" s="38">
        <f t="shared" si="47"/>
        <v>0</v>
      </c>
      <c r="T93" s="38">
        <f>Policy_Sched!$J93*J93</f>
        <v>0</v>
      </c>
      <c r="U93" s="42">
        <f t="shared" si="48"/>
        <v>0</v>
      </c>
      <c r="V93" s="42">
        <f t="shared" si="49"/>
        <v>0</v>
      </c>
      <c r="W93" s="38">
        <f>IF($A93&gt;LastT,0,N93+W94/(1+Policy_Sched!$K93))</f>
        <v>0</v>
      </c>
      <c r="X93" s="38">
        <f>IF($A93&gt;LastT,0,(-Q93+X94)/(1+Policy_Sched!$K93))</f>
        <v>0</v>
      </c>
      <c r="Y93" s="38">
        <f>IF($A93&gt;LastT,0,-V93+Y94/(1+Policy_Sched!$K93))</f>
        <v>0</v>
      </c>
      <c r="Z93" s="42">
        <f t="shared" si="50"/>
        <v>0</v>
      </c>
      <c r="AA93" s="38">
        <f>IF($A93&gt;LastT,0,N93-V93-Q93/(1+Policy_Sched!$K93)+Z94/(1+Policy_Sched!$K93))</f>
        <v>0</v>
      </c>
    </row>
    <row r="94" spans="1:27" x14ac:dyDescent="0.2">
      <c r="A94" s="30">
        <f t="shared" si="51"/>
        <v>87</v>
      </c>
      <c r="B94" s="31">
        <f t="shared" si="52"/>
        <v>0</v>
      </c>
      <c r="C94" s="31">
        <f>IF($A94&gt;LastT,0,IF(AND($D$3&lt;&gt;0,$A94&gt;=T0,Policy_Sched!$B94&lt;LastAge),1+$D$3*$E$3,1))</f>
        <v>0</v>
      </c>
      <c r="D94" s="36">
        <f>IF($A94&gt;LastT,0,IF($C$3="up",MIN(Policy_Sched!$E94*(1+IF($A94&gt;=T0,$E$3,0)),$F$3),IF($C$3="down",MAX(Policy_Sched!$E94*(1-IF($A94&gt;=T0,$E$3,0)),Policy_Sched!$E94-$F$3),Policy_Sched!$E94)))</f>
        <v>0</v>
      </c>
      <c r="E94" s="37">
        <f t="shared" si="53"/>
        <v>0</v>
      </c>
      <c r="F94" s="37">
        <f t="shared" si="36"/>
        <v>0</v>
      </c>
      <c r="G94" s="37">
        <f t="shared" si="37"/>
        <v>0</v>
      </c>
      <c r="H94" s="37">
        <f t="shared" si="38"/>
        <v>0</v>
      </c>
      <c r="I94" s="37">
        <f t="shared" si="39"/>
        <v>0</v>
      </c>
      <c r="J94" s="37">
        <f t="shared" si="40"/>
        <v>0</v>
      </c>
      <c r="K94" s="37">
        <f>IF($A94&gt;LastT,0,J94*Policy_Sched!$C94*Policy_Sched!$D94*C94)</f>
        <v>0</v>
      </c>
      <c r="L94" s="41">
        <f t="shared" si="41"/>
        <v>0</v>
      </c>
      <c r="M94" s="38">
        <f t="shared" si="42"/>
        <v>0</v>
      </c>
      <c r="N94" s="38">
        <f t="shared" si="43"/>
        <v>0</v>
      </c>
      <c r="O94" s="38">
        <f t="shared" si="44"/>
        <v>0</v>
      </c>
      <c r="P94" s="38">
        <f>Policy_Sched!$I94*(L94+I94)</f>
        <v>0</v>
      </c>
      <c r="Q94" s="42">
        <f t="shared" si="45"/>
        <v>0</v>
      </c>
      <c r="R94" s="38">
        <f t="shared" si="46"/>
        <v>0</v>
      </c>
      <c r="S94" s="38">
        <f t="shared" si="47"/>
        <v>0</v>
      </c>
      <c r="T94" s="38">
        <f>Policy_Sched!$J94*J94</f>
        <v>0</v>
      </c>
      <c r="U94" s="42">
        <f t="shared" si="48"/>
        <v>0</v>
      </c>
      <c r="V94" s="42">
        <f t="shared" si="49"/>
        <v>0</v>
      </c>
      <c r="W94" s="38">
        <f>IF($A94&gt;LastT,0,N94+W95/(1+Policy_Sched!$K94))</f>
        <v>0</v>
      </c>
      <c r="X94" s="38">
        <f>IF($A94&gt;LastT,0,(-Q94+X95)/(1+Policy_Sched!$K94))</f>
        <v>0</v>
      </c>
      <c r="Y94" s="38">
        <f>IF($A94&gt;LastT,0,-V94+Y95/(1+Policy_Sched!$K94))</f>
        <v>0</v>
      </c>
      <c r="Z94" s="42">
        <f t="shared" si="50"/>
        <v>0</v>
      </c>
      <c r="AA94" s="38">
        <f>IF($A94&gt;LastT,0,N94-V94-Q94/(1+Policy_Sched!$K94)+Z95/(1+Policy_Sched!$K94))</f>
        <v>0</v>
      </c>
    </row>
    <row r="95" spans="1:27" x14ac:dyDescent="0.2">
      <c r="A95" s="30">
        <f t="shared" si="51"/>
        <v>88</v>
      </c>
      <c r="B95" s="31">
        <f t="shared" si="52"/>
        <v>0</v>
      </c>
      <c r="C95" s="31">
        <f>IF($A95&gt;LastT,0,IF(AND($D$3&lt;&gt;0,$A95&gt;=T0,Policy_Sched!$B95&lt;LastAge),1+$D$3*$E$3,1))</f>
        <v>0</v>
      </c>
      <c r="D95" s="36">
        <f>IF($A95&gt;LastT,0,IF($C$3="up",MIN(Policy_Sched!$E95*(1+IF($A95&gt;=T0,$E$3,0)),$F$3),IF($C$3="down",MAX(Policy_Sched!$E95*(1-IF($A95&gt;=T0,$E$3,0)),Policy_Sched!$E95-$F$3),Policy_Sched!$E95)))</f>
        <v>0</v>
      </c>
      <c r="E95" s="37">
        <f t="shared" si="53"/>
        <v>0</v>
      </c>
      <c r="F95" s="37">
        <f t="shared" si="36"/>
        <v>0</v>
      </c>
      <c r="G95" s="37">
        <f t="shared" si="37"/>
        <v>0</v>
      </c>
      <c r="H95" s="37">
        <f t="shared" si="38"/>
        <v>0</v>
      </c>
      <c r="I95" s="37">
        <f t="shared" si="39"/>
        <v>0</v>
      </c>
      <c r="J95" s="37">
        <f t="shared" si="40"/>
        <v>0</v>
      </c>
      <c r="K95" s="37">
        <f>IF($A95&gt;LastT,0,J95*Policy_Sched!$C95*Policy_Sched!$D95*C95)</f>
        <v>0</v>
      </c>
      <c r="L95" s="41">
        <f t="shared" si="41"/>
        <v>0</v>
      </c>
      <c r="M95" s="38">
        <f t="shared" si="42"/>
        <v>0</v>
      </c>
      <c r="N95" s="38">
        <f t="shared" si="43"/>
        <v>0</v>
      </c>
      <c r="O95" s="38">
        <f t="shared" si="44"/>
        <v>0</v>
      </c>
      <c r="P95" s="38">
        <f>Policy_Sched!$I95*(L95+I95)</f>
        <v>0</v>
      </c>
      <c r="Q95" s="42">
        <f t="shared" si="45"/>
        <v>0</v>
      </c>
      <c r="R95" s="38">
        <f t="shared" si="46"/>
        <v>0</v>
      </c>
      <c r="S95" s="38">
        <f t="shared" si="47"/>
        <v>0</v>
      </c>
      <c r="T95" s="38">
        <f>Policy_Sched!$J95*J95</f>
        <v>0</v>
      </c>
      <c r="U95" s="42">
        <f t="shared" si="48"/>
        <v>0</v>
      </c>
      <c r="V95" s="42">
        <f t="shared" si="49"/>
        <v>0</v>
      </c>
      <c r="W95" s="38">
        <f>IF($A95&gt;LastT,0,N95+W96/(1+Policy_Sched!$K95))</f>
        <v>0</v>
      </c>
      <c r="X95" s="38">
        <f>IF($A95&gt;LastT,0,(-Q95+X96)/(1+Policy_Sched!$K95))</f>
        <v>0</v>
      </c>
      <c r="Y95" s="38">
        <f>IF($A95&gt;LastT,0,-V95+Y96/(1+Policy_Sched!$K95))</f>
        <v>0</v>
      </c>
      <c r="Z95" s="42">
        <f t="shared" si="50"/>
        <v>0</v>
      </c>
      <c r="AA95" s="38">
        <f>IF($A95&gt;LastT,0,N95-V95-Q95/(1+Policy_Sched!$K95)+Z96/(1+Policy_Sched!$K95))</f>
        <v>0</v>
      </c>
    </row>
    <row r="96" spans="1:27" x14ac:dyDescent="0.2">
      <c r="A96" s="30">
        <f t="shared" si="51"/>
        <v>89</v>
      </c>
      <c r="B96" s="31">
        <f t="shared" si="52"/>
        <v>0</v>
      </c>
      <c r="C96" s="31">
        <f>IF($A96&gt;LastT,0,IF(AND($D$3&lt;&gt;0,$A96&gt;=T0,Policy_Sched!$B96&lt;LastAge),1+$D$3*$E$3,1))</f>
        <v>0</v>
      </c>
      <c r="D96" s="36">
        <f>IF($A96&gt;LastT,0,IF($C$3="up",MIN(Policy_Sched!$E96*(1+IF($A96&gt;=T0,$E$3,0)),$F$3),IF($C$3="down",MAX(Policy_Sched!$E96*(1-IF($A96&gt;=T0,$E$3,0)),Policy_Sched!$E96-$F$3),Policy_Sched!$E96)))</f>
        <v>0</v>
      </c>
      <c r="E96" s="37">
        <f t="shared" si="53"/>
        <v>0</v>
      </c>
      <c r="F96" s="37">
        <f t="shared" si="36"/>
        <v>0</v>
      </c>
      <c r="G96" s="37">
        <f t="shared" si="37"/>
        <v>0</v>
      </c>
      <c r="H96" s="37">
        <f t="shared" si="38"/>
        <v>0</v>
      </c>
      <c r="I96" s="37">
        <f t="shared" si="39"/>
        <v>0</v>
      </c>
      <c r="J96" s="37">
        <f t="shared" si="40"/>
        <v>0</v>
      </c>
      <c r="K96" s="37">
        <f>IF($A96&gt;LastT,0,J96*Policy_Sched!$C96*Policy_Sched!$D96*C96)</f>
        <v>0</v>
      </c>
      <c r="L96" s="41">
        <f t="shared" si="41"/>
        <v>0</v>
      </c>
      <c r="M96" s="38">
        <f t="shared" si="42"/>
        <v>0</v>
      </c>
      <c r="N96" s="38">
        <f t="shared" si="43"/>
        <v>0</v>
      </c>
      <c r="O96" s="38">
        <f t="shared" si="44"/>
        <v>0</v>
      </c>
      <c r="P96" s="38">
        <f>Policy_Sched!$I96*(L96+I96)</f>
        <v>0</v>
      </c>
      <c r="Q96" s="42">
        <f t="shared" si="45"/>
        <v>0</v>
      </c>
      <c r="R96" s="38">
        <f t="shared" si="46"/>
        <v>0</v>
      </c>
      <c r="S96" s="38">
        <f t="shared" si="47"/>
        <v>0</v>
      </c>
      <c r="T96" s="38">
        <f>Policy_Sched!$J96*J96</f>
        <v>0</v>
      </c>
      <c r="U96" s="42">
        <f t="shared" si="48"/>
        <v>0</v>
      </c>
      <c r="V96" s="42">
        <f t="shared" si="49"/>
        <v>0</v>
      </c>
      <c r="W96" s="38">
        <f>IF($A96&gt;LastT,0,N96+W97/(1+Policy_Sched!$K96))</f>
        <v>0</v>
      </c>
      <c r="X96" s="38">
        <f>IF($A96&gt;LastT,0,(-Q96+X97)/(1+Policy_Sched!$K96))</f>
        <v>0</v>
      </c>
      <c r="Y96" s="38">
        <f>IF($A96&gt;LastT,0,-V96+Y97/(1+Policy_Sched!$K96))</f>
        <v>0</v>
      </c>
      <c r="Z96" s="42">
        <f t="shared" si="50"/>
        <v>0</v>
      </c>
      <c r="AA96" s="38">
        <f>IF($A96&gt;LastT,0,N96-V96-Q96/(1+Policy_Sched!$K96)+Z97/(1+Policy_Sched!$K96))</f>
        <v>0</v>
      </c>
    </row>
    <row r="97" spans="1:27" x14ac:dyDescent="0.2">
      <c r="A97" s="30">
        <f t="shared" si="51"/>
        <v>90</v>
      </c>
      <c r="B97" s="31">
        <f t="shared" si="52"/>
        <v>0</v>
      </c>
      <c r="C97" s="31">
        <f>IF($A97&gt;LastT,0,IF(AND($D$3&lt;&gt;0,$A97&gt;=T0,Policy_Sched!$B97&lt;LastAge),1+$D$3*$E$3,1))</f>
        <v>0</v>
      </c>
      <c r="D97" s="36">
        <f>IF($A97&gt;LastT,0,IF($C$3="up",MIN(Policy_Sched!$E97*(1+IF($A97&gt;=T0,$E$3,0)),$F$3),IF($C$3="down",MAX(Policy_Sched!$E97*(1-IF($A97&gt;=T0,$E$3,0)),Policy_Sched!$E97-$F$3),Policy_Sched!$E97)))</f>
        <v>0</v>
      </c>
      <c r="E97" s="37">
        <f t="shared" si="53"/>
        <v>0</v>
      </c>
      <c r="F97" s="37">
        <f t="shared" si="36"/>
        <v>0</v>
      </c>
      <c r="G97" s="37">
        <f t="shared" si="37"/>
        <v>0</v>
      </c>
      <c r="H97" s="37">
        <f t="shared" si="38"/>
        <v>0</v>
      </c>
      <c r="I97" s="37">
        <f t="shared" si="39"/>
        <v>0</v>
      </c>
      <c r="J97" s="37">
        <f t="shared" si="40"/>
        <v>0</v>
      </c>
      <c r="K97" s="37">
        <f>IF($A97&gt;LastT,0,J97*Policy_Sched!$C97*Policy_Sched!$D97*C97)</f>
        <v>0</v>
      </c>
      <c r="L97" s="41">
        <f t="shared" si="41"/>
        <v>0</v>
      </c>
      <c r="M97" s="38">
        <f t="shared" si="42"/>
        <v>0</v>
      </c>
      <c r="N97" s="38">
        <f t="shared" si="43"/>
        <v>0</v>
      </c>
      <c r="O97" s="38">
        <f t="shared" si="44"/>
        <v>0</v>
      </c>
      <c r="P97" s="38">
        <f>Policy_Sched!$I97*(L97+I97)</f>
        <v>0</v>
      </c>
      <c r="Q97" s="42">
        <f t="shared" si="45"/>
        <v>0</v>
      </c>
      <c r="R97" s="38">
        <f t="shared" si="46"/>
        <v>0</v>
      </c>
      <c r="S97" s="38">
        <f t="shared" si="47"/>
        <v>0</v>
      </c>
      <c r="T97" s="38">
        <f>Policy_Sched!$J97*J97</f>
        <v>0</v>
      </c>
      <c r="U97" s="42">
        <f t="shared" si="48"/>
        <v>0</v>
      </c>
      <c r="V97" s="42">
        <f t="shared" si="49"/>
        <v>0</v>
      </c>
      <c r="W97" s="38">
        <f>IF($A97&gt;LastT,0,N97+W98/(1+Policy_Sched!$K97))</f>
        <v>0</v>
      </c>
      <c r="X97" s="38">
        <f>IF($A97&gt;LastT,0,(-Q97+X98)/(1+Policy_Sched!$K97))</f>
        <v>0</v>
      </c>
      <c r="Y97" s="38">
        <f>IF($A97&gt;LastT,0,-V97+Y98/(1+Policy_Sched!$K97))</f>
        <v>0</v>
      </c>
      <c r="Z97" s="42">
        <f t="shared" si="50"/>
        <v>0</v>
      </c>
      <c r="AA97" s="38">
        <f>IF($A97&gt;LastT,0,N97-V97-Q97/(1+Policy_Sched!$K97)+Z98/(1+Policy_Sched!$K97))</f>
        <v>0</v>
      </c>
    </row>
    <row r="98" spans="1:27" x14ac:dyDescent="0.2">
      <c r="A98" s="30">
        <f t="shared" si="51"/>
        <v>91</v>
      </c>
      <c r="B98" s="31">
        <f t="shared" si="52"/>
        <v>0</v>
      </c>
      <c r="C98" s="31">
        <f>IF($A98&gt;LastT,0,IF(AND($D$3&lt;&gt;0,$A98&gt;=T0,Policy_Sched!$B98&lt;LastAge),1+$D$3*$E$3,1))</f>
        <v>0</v>
      </c>
      <c r="D98" s="36">
        <f>IF($A98&gt;LastT,0,IF($C$3="up",MIN(Policy_Sched!$E98*(1+IF($A98&gt;=T0,$E$3,0)),$F$3),IF($C$3="down",MAX(Policy_Sched!$E98*(1-IF($A98&gt;=T0,$E$3,0)),Policy_Sched!$E98-$F$3),Policy_Sched!$E98)))</f>
        <v>0</v>
      </c>
      <c r="E98" s="37">
        <f t="shared" si="53"/>
        <v>0</v>
      </c>
      <c r="F98" s="37">
        <f t="shared" si="36"/>
        <v>0</v>
      </c>
      <c r="G98" s="37">
        <f t="shared" si="37"/>
        <v>0</v>
      </c>
      <c r="H98" s="37">
        <f t="shared" si="38"/>
        <v>0</v>
      </c>
      <c r="I98" s="37">
        <f t="shared" si="39"/>
        <v>0</v>
      </c>
      <c r="J98" s="37">
        <f t="shared" si="40"/>
        <v>0</v>
      </c>
      <c r="K98" s="37">
        <f>IF($A98&gt;LastT,0,J98*Policy_Sched!$C98*Policy_Sched!$D98*C98)</f>
        <v>0</v>
      </c>
      <c r="L98" s="41">
        <f t="shared" si="41"/>
        <v>0</v>
      </c>
      <c r="M98" s="38">
        <f t="shared" si="42"/>
        <v>0</v>
      </c>
      <c r="N98" s="38">
        <f t="shared" si="43"/>
        <v>0</v>
      </c>
      <c r="O98" s="38">
        <f t="shared" si="44"/>
        <v>0</v>
      </c>
      <c r="P98" s="38">
        <f>Policy_Sched!$I98*(L98+I98)</f>
        <v>0</v>
      </c>
      <c r="Q98" s="42">
        <f t="shared" si="45"/>
        <v>0</v>
      </c>
      <c r="R98" s="38">
        <f t="shared" si="46"/>
        <v>0</v>
      </c>
      <c r="S98" s="38">
        <f t="shared" si="47"/>
        <v>0</v>
      </c>
      <c r="T98" s="38">
        <f>Policy_Sched!$J98*J98</f>
        <v>0</v>
      </c>
      <c r="U98" s="42">
        <f t="shared" si="48"/>
        <v>0</v>
      </c>
      <c r="V98" s="42">
        <f t="shared" si="49"/>
        <v>0</v>
      </c>
      <c r="W98" s="38">
        <f>IF($A98&gt;LastT,0,N98+W99/(1+Policy_Sched!$K98))</f>
        <v>0</v>
      </c>
      <c r="X98" s="38">
        <f>IF($A98&gt;LastT,0,(-Q98+X99)/(1+Policy_Sched!$K98))</f>
        <v>0</v>
      </c>
      <c r="Y98" s="38">
        <f>IF($A98&gt;LastT,0,-V98+Y99/(1+Policy_Sched!$K98))</f>
        <v>0</v>
      </c>
      <c r="Z98" s="42">
        <f t="shared" si="50"/>
        <v>0</v>
      </c>
      <c r="AA98" s="38">
        <f>IF($A98&gt;LastT,0,N98-V98-Q98/(1+Policy_Sched!$K98)+Z99/(1+Policy_Sched!$K98))</f>
        <v>0</v>
      </c>
    </row>
    <row r="99" spans="1:27" x14ac:dyDescent="0.2">
      <c r="A99" s="30">
        <f t="shared" si="51"/>
        <v>92</v>
      </c>
      <c r="B99" s="31">
        <f t="shared" si="52"/>
        <v>0</v>
      </c>
      <c r="C99" s="31">
        <f>IF($A99&gt;LastT,0,IF(AND($D$3&lt;&gt;0,$A99&gt;=T0,Policy_Sched!$B99&lt;LastAge),1+$D$3*$E$3,1))</f>
        <v>0</v>
      </c>
      <c r="D99" s="36">
        <f>IF($A99&gt;LastT,0,IF($C$3="up",MIN(Policy_Sched!$E99*(1+IF($A99&gt;=T0,$E$3,0)),$F$3),IF($C$3="down",MAX(Policy_Sched!$E99*(1-IF($A99&gt;=T0,$E$3,0)),Policy_Sched!$E99-$F$3),Policy_Sched!$E99)))</f>
        <v>0</v>
      </c>
      <c r="E99" s="37">
        <f t="shared" si="53"/>
        <v>0</v>
      </c>
      <c r="F99" s="37">
        <f t="shared" si="36"/>
        <v>0</v>
      </c>
      <c r="G99" s="37">
        <f t="shared" si="37"/>
        <v>0</v>
      </c>
      <c r="H99" s="37">
        <f t="shared" si="38"/>
        <v>0</v>
      </c>
      <c r="I99" s="37">
        <f t="shared" si="39"/>
        <v>0</v>
      </c>
      <c r="J99" s="37">
        <f t="shared" si="40"/>
        <v>0</v>
      </c>
      <c r="K99" s="37">
        <f>IF($A99&gt;LastT,0,J99*Policy_Sched!$C99*Policy_Sched!$D99*C99)</f>
        <v>0</v>
      </c>
      <c r="L99" s="41">
        <f t="shared" si="41"/>
        <v>0</v>
      </c>
      <c r="M99" s="38">
        <f t="shared" si="42"/>
        <v>0</v>
      </c>
      <c r="N99" s="38">
        <f t="shared" si="43"/>
        <v>0</v>
      </c>
      <c r="O99" s="38">
        <f t="shared" si="44"/>
        <v>0</v>
      </c>
      <c r="P99" s="38">
        <f>Policy_Sched!$I99*(L99+I99)</f>
        <v>0</v>
      </c>
      <c r="Q99" s="42">
        <f t="shared" si="45"/>
        <v>0</v>
      </c>
      <c r="R99" s="38">
        <f t="shared" si="46"/>
        <v>0</v>
      </c>
      <c r="S99" s="38">
        <f t="shared" si="47"/>
        <v>0</v>
      </c>
      <c r="T99" s="38">
        <f>Policy_Sched!$J99*J99</f>
        <v>0</v>
      </c>
      <c r="U99" s="42">
        <f t="shared" si="48"/>
        <v>0</v>
      </c>
      <c r="V99" s="42">
        <f t="shared" si="49"/>
        <v>0</v>
      </c>
      <c r="W99" s="38">
        <f>IF($A99&gt;LastT,0,N99+W100/(1+Policy_Sched!$K99))</f>
        <v>0</v>
      </c>
      <c r="X99" s="38">
        <f>IF($A99&gt;LastT,0,(-Q99+X100)/(1+Policy_Sched!$K99))</f>
        <v>0</v>
      </c>
      <c r="Y99" s="38">
        <f>IF($A99&gt;LastT,0,-V99+Y100/(1+Policy_Sched!$K99))</f>
        <v>0</v>
      </c>
      <c r="Z99" s="42">
        <f t="shared" si="50"/>
        <v>0</v>
      </c>
      <c r="AA99" s="38">
        <f>IF($A99&gt;LastT,0,N99-V99-Q99/(1+Policy_Sched!$K99)+Z100/(1+Policy_Sched!$K99))</f>
        <v>0</v>
      </c>
    </row>
    <row r="100" spans="1:27" x14ac:dyDescent="0.2">
      <c r="A100" s="30">
        <f t="shared" si="51"/>
        <v>93</v>
      </c>
      <c r="B100" s="31">
        <f t="shared" si="52"/>
        <v>0</v>
      </c>
      <c r="C100" s="31">
        <f>IF($A100&gt;LastT,0,IF(AND($D$3&lt;&gt;0,$A100&gt;=T0,Policy_Sched!$B100&lt;LastAge),1+$D$3*$E$3,1))</f>
        <v>0</v>
      </c>
      <c r="D100" s="36">
        <f>IF($A100&gt;LastT,0,IF($C$3="up",MIN(Policy_Sched!$E100*(1+IF($A100&gt;=T0,$E$3,0)),$F$3),IF($C$3="down",MAX(Policy_Sched!$E100*(1-IF($A100&gt;=T0,$E$3,0)),Policy_Sched!$E100-$F$3),Policy_Sched!$E100)))</f>
        <v>0</v>
      </c>
      <c r="E100" s="37">
        <f t="shared" si="53"/>
        <v>0</v>
      </c>
      <c r="F100" s="37">
        <f t="shared" si="36"/>
        <v>0</v>
      </c>
      <c r="G100" s="37">
        <f t="shared" si="37"/>
        <v>0</v>
      </c>
      <c r="H100" s="37">
        <f t="shared" si="38"/>
        <v>0</v>
      </c>
      <c r="I100" s="37">
        <f t="shared" si="39"/>
        <v>0</v>
      </c>
      <c r="J100" s="37">
        <f t="shared" si="40"/>
        <v>0</v>
      </c>
      <c r="K100" s="37">
        <f>IF($A100&gt;LastT,0,J100*Policy_Sched!$C100*Policy_Sched!$D100*C100)</f>
        <v>0</v>
      </c>
      <c r="L100" s="41">
        <f t="shared" si="41"/>
        <v>0</v>
      </c>
      <c r="M100" s="38">
        <f t="shared" si="42"/>
        <v>0</v>
      </c>
      <c r="N100" s="38">
        <f t="shared" si="43"/>
        <v>0</v>
      </c>
      <c r="O100" s="38">
        <f t="shared" si="44"/>
        <v>0</v>
      </c>
      <c r="P100" s="38">
        <f>Policy_Sched!$I100*(L100+I100)</f>
        <v>0</v>
      </c>
      <c r="Q100" s="42">
        <f t="shared" si="45"/>
        <v>0</v>
      </c>
      <c r="R100" s="38">
        <f t="shared" si="46"/>
        <v>0</v>
      </c>
      <c r="S100" s="38">
        <f t="shared" si="47"/>
        <v>0</v>
      </c>
      <c r="T100" s="38">
        <f>Policy_Sched!$J100*J100</f>
        <v>0</v>
      </c>
      <c r="U100" s="42">
        <f t="shared" si="48"/>
        <v>0</v>
      </c>
      <c r="V100" s="42">
        <f t="shared" si="49"/>
        <v>0</v>
      </c>
      <c r="W100" s="38">
        <f>IF($A100&gt;LastT,0,N100+W101/(1+Policy_Sched!$K100))</f>
        <v>0</v>
      </c>
      <c r="X100" s="38">
        <f>IF($A100&gt;LastT,0,(-Q100+X101)/(1+Policy_Sched!$K100))</f>
        <v>0</v>
      </c>
      <c r="Y100" s="38">
        <f>IF($A100&gt;LastT,0,-V100+Y101/(1+Policy_Sched!$K100))</f>
        <v>0</v>
      </c>
      <c r="Z100" s="42">
        <f t="shared" si="50"/>
        <v>0</v>
      </c>
      <c r="AA100" s="38">
        <f>IF($A100&gt;LastT,0,N100-V100-Q100/(1+Policy_Sched!$K100)+Z101/(1+Policy_Sched!$K100))</f>
        <v>0</v>
      </c>
    </row>
    <row r="101" spans="1:27" x14ac:dyDescent="0.2">
      <c r="A101" s="30">
        <f t="shared" si="51"/>
        <v>94</v>
      </c>
      <c r="B101" s="31">
        <f t="shared" si="52"/>
        <v>0</v>
      </c>
      <c r="C101" s="31">
        <f>IF($A101&gt;LastT,0,IF(AND($D$3&lt;&gt;0,$A101&gt;=T0,Policy_Sched!$B101&lt;LastAge),1+$D$3*$E$3,1))</f>
        <v>0</v>
      </c>
      <c r="D101" s="36">
        <f>IF($A101&gt;LastT,0,IF($C$3="up",MIN(Policy_Sched!$E101*(1+IF($A101&gt;=T0,$E$3,0)),$F$3),IF($C$3="down",MAX(Policy_Sched!$E101*(1-IF($A101&gt;=T0,$E$3,0)),Policy_Sched!$E101-$F$3),Policy_Sched!$E101)))</f>
        <v>0</v>
      </c>
      <c r="E101" s="37">
        <f t="shared" si="53"/>
        <v>0</v>
      </c>
      <c r="F101" s="37">
        <f t="shared" si="36"/>
        <v>0</v>
      </c>
      <c r="G101" s="37">
        <f t="shared" si="37"/>
        <v>0</v>
      </c>
      <c r="H101" s="37">
        <f t="shared" si="38"/>
        <v>0</v>
      </c>
      <c r="I101" s="37">
        <f t="shared" si="39"/>
        <v>0</v>
      </c>
      <c r="J101" s="37">
        <f t="shared" si="40"/>
        <v>0</v>
      </c>
      <c r="K101" s="37">
        <f>IF($A101&gt;LastT,0,J101*Policy_Sched!$C101*Policy_Sched!$D101*C101)</f>
        <v>0</v>
      </c>
      <c r="L101" s="41">
        <f t="shared" si="41"/>
        <v>0</v>
      </c>
      <c r="M101" s="38">
        <f t="shared" si="42"/>
        <v>0</v>
      </c>
      <c r="N101" s="38">
        <f t="shared" si="43"/>
        <v>0</v>
      </c>
      <c r="O101" s="38">
        <f t="shared" si="44"/>
        <v>0</v>
      </c>
      <c r="P101" s="38">
        <f>Policy_Sched!$I101*(L101+I101)</f>
        <v>0</v>
      </c>
      <c r="Q101" s="42">
        <f t="shared" si="45"/>
        <v>0</v>
      </c>
      <c r="R101" s="38">
        <f t="shared" si="46"/>
        <v>0</v>
      </c>
      <c r="S101" s="38">
        <f t="shared" si="47"/>
        <v>0</v>
      </c>
      <c r="T101" s="38">
        <f>Policy_Sched!$J101*J101</f>
        <v>0</v>
      </c>
      <c r="U101" s="42">
        <f t="shared" si="48"/>
        <v>0</v>
      </c>
      <c r="V101" s="42">
        <f t="shared" si="49"/>
        <v>0</v>
      </c>
      <c r="W101" s="38">
        <f>IF($A101&gt;LastT,0,N101+W102/(1+Policy_Sched!$K101))</f>
        <v>0</v>
      </c>
      <c r="X101" s="38">
        <f>IF($A101&gt;LastT,0,(-Q101+X102)/(1+Policy_Sched!$K101))</f>
        <v>0</v>
      </c>
      <c r="Y101" s="38">
        <f>IF($A101&gt;LastT,0,-V101+Y102/(1+Policy_Sched!$K101))</f>
        <v>0</v>
      </c>
      <c r="Z101" s="42">
        <f t="shared" si="50"/>
        <v>0</v>
      </c>
      <c r="AA101" s="38">
        <f>IF($A101&gt;LastT,0,N101-V101-Q101/(1+Policy_Sched!$K101)+Z102/(1+Policy_Sched!$K101))</f>
        <v>0</v>
      </c>
    </row>
    <row r="102" spans="1:27" x14ac:dyDescent="0.2">
      <c r="A102" s="30">
        <f t="shared" si="51"/>
        <v>95</v>
      </c>
      <c r="B102" s="31">
        <f t="shared" si="52"/>
        <v>0</v>
      </c>
      <c r="C102" s="31">
        <f>IF($A102&gt;LastT,0,IF(AND($D$3&lt;&gt;0,$A102&gt;=T0,Policy_Sched!$B102&lt;LastAge),1+$D$3*$E$3,1))</f>
        <v>0</v>
      </c>
      <c r="D102" s="36">
        <f>IF($A102&gt;LastT,0,IF($C$3="up",MIN(Policy_Sched!$E102*(1+IF($A102&gt;=T0,$E$3,0)),$F$3),IF($C$3="down",MAX(Policy_Sched!$E102*(1-IF($A102&gt;=T0,$E$3,0)),Policy_Sched!$E102-$F$3),Policy_Sched!$E102)))</f>
        <v>0</v>
      </c>
      <c r="E102" s="37">
        <f t="shared" si="53"/>
        <v>0</v>
      </c>
      <c r="F102" s="37">
        <f t="shared" si="36"/>
        <v>0</v>
      </c>
      <c r="G102" s="37">
        <f t="shared" si="37"/>
        <v>0</v>
      </c>
      <c r="H102" s="37">
        <f t="shared" si="38"/>
        <v>0</v>
      </c>
      <c r="I102" s="37">
        <f t="shared" si="39"/>
        <v>0</v>
      </c>
      <c r="J102" s="37">
        <f t="shared" si="40"/>
        <v>0</v>
      </c>
      <c r="K102" s="37">
        <f>IF($A102&gt;LastT,0,J102*Policy_Sched!$C102*Policy_Sched!$D102*C102)</f>
        <v>0</v>
      </c>
      <c r="L102" s="41">
        <f t="shared" si="41"/>
        <v>0</v>
      </c>
      <c r="M102" s="38">
        <f t="shared" si="42"/>
        <v>0</v>
      </c>
      <c r="N102" s="38">
        <f t="shared" si="43"/>
        <v>0</v>
      </c>
      <c r="O102" s="38">
        <f t="shared" si="44"/>
        <v>0</v>
      </c>
      <c r="P102" s="38">
        <f>Policy_Sched!$I102*(L102+I102)</f>
        <v>0</v>
      </c>
      <c r="Q102" s="42">
        <f t="shared" si="45"/>
        <v>0</v>
      </c>
      <c r="R102" s="38">
        <f t="shared" si="46"/>
        <v>0</v>
      </c>
      <c r="S102" s="38">
        <f t="shared" si="47"/>
        <v>0</v>
      </c>
      <c r="T102" s="38">
        <f>Policy_Sched!$J102*J102</f>
        <v>0</v>
      </c>
      <c r="U102" s="42">
        <f t="shared" si="48"/>
        <v>0</v>
      </c>
      <c r="V102" s="42">
        <f t="shared" si="49"/>
        <v>0</v>
      </c>
      <c r="W102" s="38">
        <f>IF($A102&gt;LastT,0,N102+W103/(1+Policy_Sched!$K102))</f>
        <v>0</v>
      </c>
      <c r="X102" s="38">
        <f>IF($A102&gt;LastT,0,(-Q102+X103)/(1+Policy_Sched!$K102))</f>
        <v>0</v>
      </c>
      <c r="Y102" s="38">
        <f>IF($A102&gt;LastT,0,-V102+Y103/(1+Policy_Sched!$K102))</f>
        <v>0</v>
      </c>
      <c r="Z102" s="42">
        <f t="shared" si="50"/>
        <v>0</v>
      </c>
      <c r="AA102" s="38">
        <f>IF($A102&gt;LastT,0,N102-V102-Q102/(1+Policy_Sched!$K102)+Z103/(1+Policy_Sched!$K102))</f>
        <v>0</v>
      </c>
    </row>
    <row r="103" spans="1:27" x14ac:dyDescent="0.2">
      <c r="A103" s="30">
        <f t="shared" si="51"/>
        <v>96</v>
      </c>
      <c r="B103" s="31">
        <f t="shared" si="52"/>
        <v>0</v>
      </c>
      <c r="C103" s="31">
        <f>IF($A103&gt;LastT,0,IF(AND($D$3&lt;&gt;0,$A103&gt;=T0,Policy_Sched!$B103&lt;LastAge),1+$D$3*$E$3,1))</f>
        <v>0</v>
      </c>
      <c r="D103" s="36">
        <f>IF($A103&gt;LastT,0,IF($C$3="up",MIN(Policy_Sched!$E103*(1+IF($A103&gt;=T0,$E$3,0)),$F$3),IF($C$3="down",MAX(Policy_Sched!$E103*(1-IF($A103&gt;=T0,$E$3,0)),Policy_Sched!$E103-$F$3),Policy_Sched!$E103)))</f>
        <v>0</v>
      </c>
      <c r="E103" s="37">
        <f t="shared" si="53"/>
        <v>0</v>
      </c>
      <c r="F103" s="37">
        <f t="shared" ref="F103:F110" si="54">IF($A103&gt;LastT,0,IF($A103=PolicyTerm,E103,0))</f>
        <v>0</v>
      </c>
      <c r="G103" s="37">
        <f t="shared" ref="G103:G110" si="55">IF($A103&gt;LastT,0,E103-F103)</f>
        <v>0</v>
      </c>
      <c r="H103" s="37">
        <f t="shared" ref="H103:H110" si="56">IF($A103=0,PolicyCount,0)</f>
        <v>0</v>
      </c>
      <c r="I103" s="37">
        <f t="shared" ref="I103:I110" si="57">IF($A103&gt;LastT,0,IF(AND($C$3="mass",$A103=T0),(G103+H103)*$E$3,0))</f>
        <v>0</v>
      </c>
      <c r="J103" s="37">
        <f t="shared" ref="J103:J110" si="58">IF($A103&gt;LastT,0,G103+H103-I103)</f>
        <v>0</v>
      </c>
      <c r="K103" s="37">
        <f>IF($A103&gt;LastT,0,J103*Policy_Sched!$C103*Policy_Sched!$D103*C103)</f>
        <v>0</v>
      </c>
      <c r="L103" s="41">
        <f t="shared" ref="L103:L110" si="59">J103*D103</f>
        <v>0</v>
      </c>
      <c r="M103" s="38">
        <f t="shared" ref="M103:M110" si="60">IF($A103&gt;LastT,0,(SizeAnnPrem*ExpsMaintAnnPrem+(SumAssured*ExpsMaintSA+ExpsMaintPol)*B103)*(1+IF($B$3="exps",$E$3,0)))</f>
        <v>0</v>
      </c>
      <c r="N103" s="38">
        <f t="shared" ref="N103:N110" si="61">SizePremium*J103</f>
        <v>0</v>
      </c>
      <c r="O103" s="38">
        <f t="shared" ref="O103:O110" si="62">SumAssured*K103</f>
        <v>0</v>
      </c>
      <c r="P103" s="38">
        <f>Policy_Sched!$I103*(L103+I103)</f>
        <v>0</v>
      </c>
      <c r="Q103" s="42">
        <f t="shared" ref="Q103:Q110" si="63">O103+P103</f>
        <v>0</v>
      </c>
      <c r="R103" s="38">
        <f t="shared" ref="R103:R110" si="64">IF($A103=0,SizeExpsAcq0*H103,0)</f>
        <v>0</v>
      </c>
      <c r="S103" s="38">
        <f t="shared" ref="S103:S110" si="65">IF($A103=0,SizeExpsCommInit0*J103,0)</f>
        <v>0</v>
      </c>
      <c r="T103" s="38">
        <f>Policy_Sched!$J103*J103</f>
        <v>0</v>
      </c>
      <c r="U103" s="42">
        <f t="shared" ref="U103:U110" si="66">M103*J103</f>
        <v>0</v>
      </c>
      <c r="V103" s="42">
        <f t="shared" ref="V103:V110" si="67">S103+T103+R103+U103</f>
        <v>0</v>
      </c>
      <c r="W103" s="38">
        <f>IF($A103&gt;LastT,0,N103+W104/(1+Policy_Sched!$K103))</f>
        <v>0</v>
      </c>
      <c r="X103" s="38">
        <f>IF($A103&gt;LastT,0,(-Q103+X104)/(1+Policy_Sched!$K103))</f>
        <v>0</v>
      </c>
      <c r="Y103" s="38">
        <f>IF($A103&gt;LastT,0,-V103+Y104/(1+Policy_Sched!$K103))</f>
        <v>0</v>
      </c>
      <c r="Z103" s="42">
        <f t="shared" ref="Z103:Z110" si="68">W103+Y103+X103</f>
        <v>0</v>
      </c>
      <c r="AA103" s="38">
        <f>IF($A103&gt;LastT,0,N103-V103-Q103/(1+Policy_Sched!$K103)+Z104/(1+Policy_Sched!$K103))</f>
        <v>0</v>
      </c>
    </row>
    <row r="104" spans="1:27" x14ac:dyDescent="0.2">
      <c r="A104" s="30">
        <f t="shared" ref="A104:A110" si="69">A103+1</f>
        <v>97</v>
      </c>
      <c r="B104" s="31">
        <f t="shared" ref="B104:B110" si="70">IF($A104&gt;LastT,0,IF($B$3="exps",B103*(1+InflRate+IF($A104&gt;=T0,$G$3,0)),B103/(1+InflRate)))</f>
        <v>0</v>
      </c>
      <c r="C104" s="31">
        <f>IF($A104&gt;LastT,0,IF(AND($D$3&lt;&gt;0,$A104&gt;=T0,Policy_Sched!$B104&lt;LastAge),1+$D$3*$E$3,1))</f>
        <v>0</v>
      </c>
      <c r="D104" s="36">
        <f>IF($A104&gt;LastT,0,IF($C$3="up",MIN(Policy_Sched!$E104*(1+IF($A104&gt;=T0,$E$3,0)),$F$3),IF($C$3="down",MAX(Policy_Sched!$E104*(1-IF($A104&gt;=T0,$E$3,0)),Policy_Sched!$E104-$F$3),Policy_Sched!$E104)))</f>
        <v>0</v>
      </c>
      <c r="E104" s="37">
        <f t="shared" ref="E104:E110" si="71">IF($A104&gt;LastT,0,J103-K103-L103)</f>
        <v>0</v>
      </c>
      <c r="F104" s="37">
        <f t="shared" si="54"/>
        <v>0</v>
      </c>
      <c r="G104" s="37">
        <f t="shared" si="55"/>
        <v>0</v>
      </c>
      <c r="H104" s="37">
        <f t="shared" si="56"/>
        <v>0</v>
      </c>
      <c r="I104" s="37">
        <f t="shared" si="57"/>
        <v>0</v>
      </c>
      <c r="J104" s="37">
        <f t="shared" si="58"/>
        <v>0</v>
      </c>
      <c r="K104" s="37">
        <f>IF($A104&gt;LastT,0,J104*Policy_Sched!$C104*Policy_Sched!$D104*C104)</f>
        <v>0</v>
      </c>
      <c r="L104" s="41">
        <f t="shared" si="59"/>
        <v>0</v>
      </c>
      <c r="M104" s="38">
        <f t="shared" si="60"/>
        <v>0</v>
      </c>
      <c r="N104" s="38">
        <f t="shared" si="61"/>
        <v>0</v>
      </c>
      <c r="O104" s="38">
        <f t="shared" si="62"/>
        <v>0</v>
      </c>
      <c r="P104" s="38">
        <f>Policy_Sched!$I104*(L104+I104)</f>
        <v>0</v>
      </c>
      <c r="Q104" s="42">
        <f t="shared" si="63"/>
        <v>0</v>
      </c>
      <c r="R104" s="38">
        <f t="shared" si="64"/>
        <v>0</v>
      </c>
      <c r="S104" s="38">
        <f t="shared" si="65"/>
        <v>0</v>
      </c>
      <c r="T104" s="38">
        <f>Policy_Sched!$J104*J104</f>
        <v>0</v>
      </c>
      <c r="U104" s="42">
        <f t="shared" si="66"/>
        <v>0</v>
      </c>
      <c r="V104" s="42">
        <f t="shared" si="67"/>
        <v>0</v>
      </c>
      <c r="W104" s="38">
        <f>IF($A104&gt;LastT,0,N104+W105/(1+Policy_Sched!$K104))</f>
        <v>0</v>
      </c>
      <c r="X104" s="38">
        <f>IF($A104&gt;LastT,0,(-Q104+X105)/(1+Policy_Sched!$K104))</f>
        <v>0</v>
      </c>
      <c r="Y104" s="38">
        <f>IF($A104&gt;LastT,0,-V104+Y105/(1+Policy_Sched!$K104))</f>
        <v>0</v>
      </c>
      <c r="Z104" s="42">
        <f t="shared" si="68"/>
        <v>0</v>
      </c>
      <c r="AA104" s="38">
        <f>IF($A104&gt;LastT,0,N104-V104-Q104/(1+Policy_Sched!$K104)+Z105/(1+Policy_Sched!$K104))</f>
        <v>0</v>
      </c>
    </row>
    <row r="105" spans="1:27" x14ac:dyDescent="0.2">
      <c r="A105" s="30">
        <f t="shared" si="69"/>
        <v>98</v>
      </c>
      <c r="B105" s="31">
        <f t="shared" si="70"/>
        <v>0</v>
      </c>
      <c r="C105" s="31">
        <f>IF($A105&gt;LastT,0,IF(AND($D$3&lt;&gt;0,$A105&gt;=T0,Policy_Sched!$B105&lt;LastAge),1+$D$3*$E$3,1))</f>
        <v>0</v>
      </c>
      <c r="D105" s="36">
        <f>IF($A105&gt;LastT,0,IF($C$3="up",MIN(Policy_Sched!$E105*(1+IF($A105&gt;=T0,$E$3,0)),$F$3),IF($C$3="down",MAX(Policy_Sched!$E105*(1-IF($A105&gt;=T0,$E$3,0)),Policy_Sched!$E105-$F$3),Policy_Sched!$E105)))</f>
        <v>0</v>
      </c>
      <c r="E105" s="37">
        <f t="shared" si="71"/>
        <v>0</v>
      </c>
      <c r="F105" s="37">
        <f t="shared" si="54"/>
        <v>0</v>
      </c>
      <c r="G105" s="37">
        <f t="shared" si="55"/>
        <v>0</v>
      </c>
      <c r="H105" s="37">
        <f t="shared" si="56"/>
        <v>0</v>
      </c>
      <c r="I105" s="37">
        <f t="shared" si="57"/>
        <v>0</v>
      </c>
      <c r="J105" s="37">
        <f t="shared" si="58"/>
        <v>0</v>
      </c>
      <c r="K105" s="37">
        <f>IF($A105&gt;LastT,0,J105*Policy_Sched!$C105*Policy_Sched!$D105*C105)</f>
        <v>0</v>
      </c>
      <c r="L105" s="41">
        <f t="shared" si="59"/>
        <v>0</v>
      </c>
      <c r="M105" s="38">
        <f t="shared" si="60"/>
        <v>0</v>
      </c>
      <c r="N105" s="38">
        <f t="shared" si="61"/>
        <v>0</v>
      </c>
      <c r="O105" s="38">
        <f t="shared" si="62"/>
        <v>0</v>
      </c>
      <c r="P105" s="38">
        <f>Policy_Sched!$I105*(L105+I105)</f>
        <v>0</v>
      </c>
      <c r="Q105" s="42">
        <f t="shared" si="63"/>
        <v>0</v>
      </c>
      <c r="R105" s="38">
        <f t="shared" si="64"/>
        <v>0</v>
      </c>
      <c r="S105" s="38">
        <f t="shared" si="65"/>
        <v>0</v>
      </c>
      <c r="T105" s="38">
        <f>Policy_Sched!$J105*J105</f>
        <v>0</v>
      </c>
      <c r="U105" s="42">
        <f t="shared" si="66"/>
        <v>0</v>
      </c>
      <c r="V105" s="42">
        <f t="shared" si="67"/>
        <v>0</v>
      </c>
      <c r="W105" s="38">
        <f>IF($A105&gt;LastT,0,N105+W106/(1+Policy_Sched!$K105))</f>
        <v>0</v>
      </c>
      <c r="X105" s="38">
        <f>IF($A105&gt;LastT,0,(-Q105+X106)/(1+Policy_Sched!$K105))</f>
        <v>0</v>
      </c>
      <c r="Y105" s="38">
        <f>IF($A105&gt;LastT,0,-V105+Y106/(1+Policy_Sched!$K105))</f>
        <v>0</v>
      </c>
      <c r="Z105" s="42">
        <f t="shared" si="68"/>
        <v>0</v>
      </c>
      <c r="AA105" s="38">
        <f>IF($A105&gt;LastT,0,N105-V105-Q105/(1+Policy_Sched!$K105)+Z106/(1+Policy_Sched!$K105))</f>
        <v>0</v>
      </c>
    </row>
    <row r="106" spans="1:27" x14ac:dyDescent="0.2">
      <c r="A106" s="30">
        <f t="shared" si="69"/>
        <v>99</v>
      </c>
      <c r="B106" s="31">
        <f t="shared" si="70"/>
        <v>0</v>
      </c>
      <c r="C106" s="31">
        <f>IF($A106&gt;LastT,0,IF(AND($D$3&lt;&gt;0,$A106&gt;=T0,Policy_Sched!$B106&lt;LastAge),1+$D$3*$E$3,1))</f>
        <v>0</v>
      </c>
      <c r="D106" s="36">
        <f>IF($A106&gt;LastT,0,IF($C$3="up",MIN(Policy_Sched!$E106*(1+IF($A106&gt;=T0,$E$3,0)),$F$3),IF($C$3="down",MAX(Policy_Sched!$E106*(1-IF($A106&gt;=T0,$E$3,0)),Policy_Sched!$E106-$F$3),Policy_Sched!$E106)))</f>
        <v>0</v>
      </c>
      <c r="E106" s="37">
        <f t="shared" si="71"/>
        <v>0</v>
      </c>
      <c r="F106" s="37">
        <f t="shared" si="54"/>
        <v>0</v>
      </c>
      <c r="G106" s="37">
        <f t="shared" si="55"/>
        <v>0</v>
      </c>
      <c r="H106" s="37">
        <f t="shared" si="56"/>
        <v>0</v>
      </c>
      <c r="I106" s="37">
        <f t="shared" si="57"/>
        <v>0</v>
      </c>
      <c r="J106" s="37">
        <f t="shared" si="58"/>
        <v>0</v>
      </c>
      <c r="K106" s="37">
        <f>IF($A106&gt;LastT,0,J106*Policy_Sched!$C106*Policy_Sched!$D106*C106)</f>
        <v>0</v>
      </c>
      <c r="L106" s="41">
        <f t="shared" si="59"/>
        <v>0</v>
      </c>
      <c r="M106" s="38">
        <f t="shared" si="60"/>
        <v>0</v>
      </c>
      <c r="N106" s="38">
        <f t="shared" si="61"/>
        <v>0</v>
      </c>
      <c r="O106" s="38">
        <f t="shared" si="62"/>
        <v>0</v>
      </c>
      <c r="P106" s="38">
        <f>Policy_Sched!$I106*(L106+I106)</f>
        <v>0</v>
      </c>
      <c r="Q106" s="42">
        <f t="shared" si="63"/>
        <v>0</v>
      </c>
      <c r="R106" s="38">
        <f t="shared" si="64"/>
        <v>0</v>
      </c>
      <c r="S106" s="38">
        <f t="shared" si="65"/>
        <v>0</v>
      </c>
      <c r="T106" s="38">
        <f>Policy_Sched!$J106*J106</f>
        <v>0</v>
      </c>
      <c r="U106" s="42">
        <f t="shared" si="66"/>
        <v>0</v>
      </c>
      <c r="V106" s="42">
        <f t="shared" si="67"/>
        <v>0</v>
      </c>
      <c r="W106" s="38">
        <f>IF($A106&gt;LastT,0,N106+W107/(1+Policy_Sched!$K106))</f>
        <v>0</v>
      </c>
      <c r="X106" s="38">
        <f>IF($A106&gt;LastT,0,(-Q106+X107)/(1+Policy_Sched!$K106))</f>
        <v>0</v>
      </c>
      <c r="Y106" s="38">
        <f>IF($A106&gt;LastT,0,-V106+Y107/(1+Policy_Sched!$K106))</f>
        <v>0</v>
      </c>
      <c r="Z106" s="42">
        <f t="shared" si="68"/>
        <v>0</v>
      </c>
      <c r="AA106" s="38">
        <f>IF($A106&gt;LastT,0,N106-V106-Q106/(1+Policy_Sched!$K106)+Z107/(1+Policy_Sched!$K106))</f>
        <v>0</v>
      </c>
    </row>
    <row r="107" spans="1:27" x14ac:dyDescent="0.2">
      <c r="A107" s="30">
        <f t="shared" si="69"/>
        <v>100</v>
      </c>
      <c r="B107" s="31">
        <f t="shared" si="70"/>
        <v>0</v>
      </c>
      <c r="C107" s="31">
        <f>IF($A107&gt;LastT,0,IF(AND($D$3&lt;&gt;0,$A107&gt;=T0,Policy_Sched!$B107&lt;LastAge),1+$D$3*$E$3,1))</f>
        <v>0</v>
      </c>
      <c r="D107" s="36">
        <f>IF($A107&gt;LastT,0,IF($C$3="up",MIN(Policy_Sched!$E107*(1+IF($A107&gt;=T0,$E$3,0)),$F$3),IF($C$3="down",MAX(Policy_Sched!$E107*(1-IF($A107&gt;=T0,$E$3,0)),Policy_Sched!$E107-$F$3),Policy_Sched!$E107)))</f>
        <v>0</v>
      </c>
      <c r="E107" s="37">
        <f t="shared" si="71"/>
        <v>0</v>
      </c>
      <c r="F107" s="37">
        <f t="shared" si="54"/>
        <v>0</v>
      </c>
      <c r="G107" s="37">
        <f t="shared" si="55"/>
        <v>0</v>
      </c>
      <c r="H107" s="37">
        <f t="shared" si="56"/>
        <v>0</v>
      </c>
      <c r="I107" s="37">
        <f t="shared" si="57"/>
        <v>0</v>
      </c>
      <c r="J107" s="37">
        <f t="shared" si="58"/>
        <v>0</v>
      </c>
      <c r="K107" s="37">
        <f>IF($A107&gt;LastT,0,J107*Policy_Sched!$C107*Policy_Sched!$D107*C107)</f>
        <v>0</v>
      </c>
      <c r="L107" s="41">
        <f t="shared" si="59"/>
        <v>0</v>
      </c>
      <c r="M107" s="38">
        <f t="shared" si="60"/>
        <v>0</v>
      </c>
      <c r="N107" s="38">
        <f t="shared" si="61"/>
        <v>0</v>
      </c>
      <c r="O107" s="38">
        <f t="shared" si="62"/>
        <v>0</v>
      </c>
      <c r="P107" s="38">
        <f>Policy_Sched!$I107*(L107+I107)</f>
        <v>0</v>
      </c>
      <c r="Q107" s="42">
        <f t="shared" si="63"/>
        <v>0</v>
      </c>
      <c r="R107" s="38">
        <f t="shared" si="64"/>
        <v>0</v>
      </c>
      <c r="S107" s="38">
        <f t="shared" si="65"/>
        <v>0</v>
      </c>
      <c r="T107" s="38">
        <f>Policy_Sched!$J107*J107</f>
        <v>0</v>
      </c>
      <c r="U107" s="42">
        <f t="shared" si="66"/>
        <v>0</v>
      </c>
      <c r="V107" s="42">
        <f t="shared" si="67"/>
        <v>0</v>
      </c>
      <c r="W107" s="38">
        <f>IF($A107&gt;LastT,0,N107+W108/(1+Policy_Sched!$K107))</f>
        <v>0</v>
      </c>
      <c r="X107" s="38">
        <f>IF($A107&gt;LastT,0,(-Q107+X108)/(1+Policy_Sched!$K107))</f>
        <v>0</v>
      </c>
      <c r="Y107" s="38">
        <f>IF($A107&gt;LastT,0,-V107+Y108/(1+Policy_Sched!$K107))</f>
        <v>0</v>
      </c>
      <c r="Z107" s="42">
        <f t="shared" si="68"/>
        <v>0</v>
      </c>
      <c r="AA107" s="38">
        <f>IF($A107&gt;LastT,0,N107-V107-Q107/(1+Policy_Sched!$K107)+Z108/(1+Policy_Sched!$K107))</f>
        <v>0</v>
      </c>
    </row>
    <row r="108" spans="1:27" x14ac:dyDescent="0.2">
      <c r="A108" s="30">
        <f t="shared" si="69"/>
        <v>101</v>
      </c>
      <c r="B108" s="31">
        <f t="shared" si="70"/>
        <v>0</v>
      </c>
      <c r="C108" s="31">
        <f>IF($A108&gt;LastT,0,IF(AND($D$3&lt;&gt;0,$A108&gt;=T0,Policy_Sched!$B108&lt;LastAge),1+$D$3*$E$3,1))</f>
        <v>0</v>
      </c>
      <c r="D108" s="36">
        <f>IF($A108&gt;LastT,0,IF($C$3="up",MIN(Policy_Sched!$E108*(1+IF($A108&gt;=T0,$E$3,0)),$F$3),IF($C$3="down",MAX(Policy_Sched!$E108*(1-IF($A108&gt;=T0,$E$3,0)),Policy_Sched!$E108-$F$3),Policy_Sched!$E108)))</f>
        <v>0</v>
      </c>
      <c r="E108" s="37">
        <f t="shared" si="71"/>
        <v>0</v>
      </c>
      <c r="F108" s="37">
        <f t="shared" si="54"/>
        <v>0</v>
      </c>
      <c r="G108" s="37">
        <f t="shared" si="55"/>
        <v>0</v>
      </c>
      <c r="H108" s="37">
        <f t="shared" si="56"/>
        <v>0</v>
      </c>
      <c r="I108" s="37">
        <f t="shared" si="57"/>
        <v>0</v>
      </c>
      <c r="J108" s="37">
        <f t="shared" si="58"/>
        <v>0</v>
      </c>
      <c r="K108" s="37">
        <f>IF($A108&gt;LastT,0,J108*Policy_Sched!$C108*Policy_Sched!$D108*C108)</f>
        <v>0</v>
      </c>
      <c r="L108" s="41">
        <f t="shared" si="59"/>
        <v>0</v>
      </c>
      <c r="M108" s="38">
        <f t="shared" si="60"/>
        <v>0</v>
      </c>
      <c r="N108" s="38">
        <f t="shared" si="61"/>
        <v>0</v>
      </c>
      <c r="O108" s="38">
        <f t="shared" si="62"/>
        <v>0</v>
      </c>
      <c r="P108" s="38">
        <f>Policy_Sched!$I108*(L108+I108)</f>
        <v>0</v>
      </c>
      <c r="Q108" s="42">
        <f t="shared" si="63"/>
        <v>0</v>
      </c>
      <c r="R108" s="38">
        <f t="shared" si="64"/>
        <v>0</v>
      </c>
      <c r="S108" s="38">
        <f t="shared" si="65"/>
        <v>0</v>
      </c>
      <c r="T108" s="38">
        <f>Policy_Sched!$J108*J108</f>
        <v>0</v>
      </c>
      <c r="U108" s="42">
        <f t="shared" si="66"/>
        <v>0</v>
      </c>
      <c r="V108" s="42">
        <f t="shared" si="67"/>
        <v>0</v>
      </c>
      <c r="W108" s="38">
        <f>IF($A108&gt;LastT,0,N108+W109/(1+Policy_Sched!$K108))</f>
        <v>0</v>
      </c>
      <c r="X108" s="38">
        <f>IF($A108&gt;LastT,0,(-Q108+X109)/(1+Policy_Sched!$K108))</f>
        <v>0</v>
      </c>
      <c r="Y108" s="38">
        <f>IF($A108&gt;LastT,0,-V108+Y109/(1+Policy_Sched!$K108))</f>
        <v>0</v>
      </c>
      <c r="Z108" s="42">
        <f t="shared" si="68"/>
        <v>0</v>
      </c>
      <c r="AA108" s="38">
        <f>IF($A108&gt;LastT,0,N108-V108-Q108/(1+Policy_Sched!$K108)+Z109/(1+Policy_Sched!$K108))</f>
        <v>0</v>
      </c>
    </row>
    <row r="109" spans="1:27" x14ac:dyDescent="0.2">
      <c r="A109" s="30">
        <f t="shared" si="69"/>
        <v>102</v>
      </c>
      <c r="B109" s="31">
        <f t="shared" si="70"/>
        <v>0</v>
      </c>
      <c r="C109" s="31">
        <f>IF($A109&gt;LastT,0,IF(AND($D$3&lt;&gt;0,$A109&gt;=T0,Policy_Sched!$B109&lt;LastAge),1+$D$3*$E$3,1))</f>
        <v>0</v>
      </c>
      <c r="D109" s="36">
        <f>IF($A109&gt;LastT,0,IF($C$3="up",MIN(Policy_Sched!$E109*(1+IF($A109&gt;=T0,$E$3,0)),$F$3),IF($C$3="down",MAX(Policy_Sched!$E109*(1-IF($A109&gt;=T0,$E$3,0)),Policy_Sched!$E109-$F$3),Policy_Sched!$E109)))</f>
        <v>0</v>
      </c>
      <c r="E109" s="37">
        <f t="shared" si="71"/>
        <v>0</v>
      </c>
      <c r="F109" s="37">
        <f t="shared" si="54"/>
        <v>0</v>
      </c>
      <c r="G109" s="37">
        <f t="shared" si="55"/>
        <v>0</v>
      </c>
      <c r="H109" s="37">
        <f t="shared" si="56"/>
        <v>0</v>
      </c>
      <c r="I109" s="37">
        <f t="shared" si="57"/>
        <v>0</v>
      </c>
      <c r="J109" s="37">
        <f t="shared" si="58"/>
        <v>0</v>
      </c>
      <c r="K109" s="37">
        <f>IF($A109&gt;LastT,0,J109*Policy_Sched!$C109*Policy_Sched!$D109*C109)</f>
        <v>0</v>
      </c>
      <c r="L109" s="41">
        <f t="shared" si="59"/>
        <v>0</v>
      </c>
      <c r="M109" s="38">
        <f t="shared" si="60"/>
        <v>0</v>
      </c>
      <c r="N109" s="38">
        <f t="shared" si="61"/>
        <v>0</v>
      </c>
      <c r="O109" s="38">
        <f t="shared" si="62"/>
        <v>0</v>
      </c>
      <c r="P109" s="38">
        <f>Policy_Sched!$I109*(L109+I109)</f>
        <v>0</v>
      </c>
      <c r="Q109" s="42">
        <f t="shared" si="63"/>
        <v>0</v>
      </c>
      <c r="R109" s="38">
        <f t="shared" si="64"/>
        <v>0</v>
      </c>
      <c r="S109" s="38">
        <f t="shared" si="65"/>
        <v>0</v>
      </c>
      <c r="T109" s="38">
        <f>Policy_Sched!$J109*J109</f>
        <v>0</v>
      </c>
      <c r="U109" s="42">
        <f t="shared" si="66"/>
        <v>0</v>
      </c>
      <c r="V109" s="42">
        <f t="shared" si="67"/>
        <v>0</v>
      </c>
      <c r="W109" s="38">
        <f>IF($A109&gt;LastT,0,N109+W110/(1+Policy_Sched!$K109))</f>
        <v>0</v>
      </c>
      <c r="X109" s="38">
        <f>IF($A109&gt;LastT,0,(-Q109+X110)/(1+Policy_Sched!$K109))</f>
        <v>0</v>
      </c>
      <c r="Y109" s="38">
        <f>IF($A109&gt;LastT,0,-V109+Y110/(1+Policy_Sched!$K109))</f>
        <v>0</v>
      </c>
      <c r="Z109" s="42">
        <f t="shared" si="68"/>
        <v>0</v>
      </c>
      <c r="AA109" s="38">
        <f>IF($A109&gt;LastT,0,N109-V109-Q109/(1+Policy_Sched!$K109)+Z110/(1+Policy_Sched!$K109))</f>
        <v>0</v>
      </c>
    </row>
    <row r="110" spans="1:27" x14ac:dyDescent="0.2">
      <c r="A110" s="30">
        <f t="shared" si="69"/>
        <v>103</v>
      </c>
      <c r="B110" s="31">
        <f t="shared" si="70"/>
        <v>0</v>
      </c>
      <c r="C110" s="31">
        <f>IF($A110&gt;LastT,0,IF(AND($D$3&lt;&gt;0,$A110&gt;=T0,Policy_Sched!$B110&lt;LastAge),1+$D$3*$E$3,1))</f>
        <v>0</v>
      </c>
      <c r="D110" s="36">
        <f>IF($A110&gt;LastT,0,IF($C$3="up",MIN(Policy_Sched!$E110*(1+IF($A110&gt;=T0,$E$3,0)),$F$3),IF($C$3="down",MAX(Policy_Sched!$E110*(1-IF($A110&gt;=T0,$E$3,0)),Policy_Sched!$E110-$F$3),Policy_Sched!$E110)))</f>
        <v>0</v>
      </c>
      <c r="E110" s="37">
        <f t="shared" si="71"/>
        <v>0</v>
      </c>
      <c r="F110" s="37">
        <f t="shared" si="54"/>
        <v>0</v>
      </c>
      <c r="G110" s="37">
        <f t="shared" si="55"/>
        <v>0</v>
      </c>
      <c r="H110" s="37">
        <f t="shared" si="56"/>
        <v>0</v>
      </c>
      <c r="I110" s="37">
        <f t="shared" si="57"/>
        <v>0</v>
      </c>
      <c r="J110" s="37">
        <f t="shared" si="58"/>
        <v>0</v>
      </c>
      <c r="K110" s="37">
        <f>IF($A110&gt;LastT,0,J110*Policy_Sched!$C110*Policy_Sched!$D110*C110)</f>
        <v>0</v>
      </c>
      <c r="L110" s="41">
        <f t="shared" si="59"/>
        <v>0</v>
      </c>
      <c r="M110" s="38">
        <f t="shared" si="60"/>
        <v>0</v>
      </c>
      <c r="N110" s="38">
        <f t="shared" si="61"/>
        <v>0</v>
      </c>
      <c r="O110" s="38">
        <f t="shared" si="62"/>
        <v>0</v>
      </c>
      <c r="P110" s="38">
        <f>Policy_Sched!$I110*(L110+I110)</f>
        <v>0</v>
      </c>
      <c r="Q110" s="42">
        <f t="shared" si="63"/>
        <v>0</v>
      </c>
      <c r="R110" s="38">
        <f t="shared" si="64"/>
        <v>0</v>
      </c>
      <c r="S110" s="38">
        <f t="shared" si="65"/>
        <v>0</v>
      </c>
      <c r="T110" s="38">
        <f>Policy_Sched!$J110*J110</f>
        <v>0</v>
      </c>
      <c r="U110" s="42">
        <f t="shared" si="66"/>
        <v>0</v>
      </c>
      <c r="V110" s="42">
        <f t="shared" si="67"/>
        <v>0</v>
      </c>
      <c r="W110" s="38">
        <f>IF($A110&gt;LastT,0,N110+W111/(1+Policy_Sched!$K110))</f>
        <v>0</v>
      </c>
      <c r="X110" s="38">
        <f>IF($A110&gt;LastT,0,(-Q110+X111)/(1+Policy_Sched!$K110))</f>
        <v>0</v>
      </c>
      <c r="Y110" s="38">
        <f>IF($A110&gt;LastT,0,-V110+Y111/(1+Policy_Sched!$K110))</f>
        <v>0</v>
      </c>
      <c r="Z110" s="42">
        <f t="shared" si="68"/>
        <v>0</v>
      </c>
      <c r="AA110" s="38">
        <f>IF($A110&gt;LastT,0,N110-V110-Q110/(1+Policy_Sched!$K110)+Z111/(1+Policy_Sched!$K110))</f>
        <v>0</v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2:H51"/>
  <sheetViews>
    <sheetView showGridLines="0" workbookViewId="0"/>
  </sheetViews>
  <sheetFormatPr baseColWidth="10" defaultColWidth="8.83203125" defaultRowHeight="15" x14ac:dyDescent="0.2"/>
  <cols>
    <col min="2" max="8" width="8" customWidth="1"/>
  </cols>
  <sheetData>
    <row r="2" spans="2:4" x14ac:dyDescent="0.2">
      <c r="B2" s="3" t="s">
        <v>406</v>
      </c>
    </row>
    <row r="3" spans="2:4" x14ac:dyDescent="0.2">
      <c r="B3" s="10" t="s">
        <v>407</v>
      </c>
      <c r="C3" s="10" t="s">
        <v>408</v>
      </c>
      <c r="D3" s="10" t="s">
        <v>198</v>
      </c>
    </row>
    <row r="4" spans="2:4" x14ac:dyDescent="0.2">
      <c r="B4" s="14" t="s">
        <v>409</v>
      </c>
    </row>
    <row r="5" spans="2:4" x14ac:dyDescent="0.2">
      <c r="B5" s="5" t="s">
        <v>410</v>
      </c>
      <c r="C5" s="21">
        <f>INDEX(PVNCF_Base,T0+1)</f>
        <v>8954.0183031624656</v>
      </c>
      <c r="D5" s="12" t="s">
        <v>411</v>
      </c>
    </row>
    <row r="6" spans="2:4" x14ac:dyDescent="0.2">
      <c r="B6" s="5" t="s">
        <v>412</v>
      </c>
      <c r="C6" s="21">
        <f>INDEX(PVNCF_Mort,T0+1)</f>
        <v>8007.6242798070725</v>
      </c>
      <c r="D6" s="12" t="s">
        <v>413</v>
      </c>
    </row>
    <row r="7" spans="2:4" x14ac:dyDescent="0.2">
      <c r="B7" s="5" t="s">
        <v>414</v>
      </c>
      <c r="C7" s="21">
        <f>INDEX(PVNCF_Longev,T0+1)</f>
        <v>10534.47398715859</v>
      </c>
      <c r="D7" s="12" t="s">
        <v>415</v>
      </c>
    </row>
    <row r="8" spans="2:4" x14ac:dyDescent="0.2">
      <c r="B8" s="5" t="s">
        <v>416</v>
      </c>
      <c r="C8" s="21">
        <f>INDEX(PVNCF_Exps,T0+1)</f>
        <v>7615.4648226674826</v>
      </c>
      <c r="D8" s="12" t="s">
        <v>417</v>
      </c>
    </row>
    <row r="9" spans="2:4" x14ac:dyDescent="0.2">
      <c r="B9" s="5" t="s">
        <v>418</v>
      </c>
      <c r="C9" s="21">
        <f>INDEX(PVNCF_LapseUp,T0+1)</f>
        <v>6306.6205288270448</v>
      </c>
      <c r="D9" s="12" t="s">
        <v>419</v>
      </c>
    </row>
    <row r="10" spans="2:4" x14ac:dyDescent="0.2">
      <c r="B10" s="5" t="s">
        <v>420</v>
      </c>
      <c r="C10" s="21">
        <f>INDEX(PVNCF_LapseDown,T0+1)</f>
        <v>12680.796421661102</v>
      </c>
      <c r="D10" s="12" t="s">
        <v>421</v>
      </c>
    </row>
    <row r="11" spans="2:4" x14ac:dyDescent="0.2">
      <c r="B11" s="5" t="s">
        <v>349</v>
      </c>
      <c r="C11" s="21">
        <f>INDEX(PVNCF_LapseMass,T0+1)</f>
        <v>3941.2728724144345</v>
      </c>
      <c r="D11" s="12" t="s">
        <v>422</v>
      </c>
    </row>
    <row r="13" spans="2:4" x14ac:dyDescent="0.2">
      <c r="B13" s="3" t="s">
        <v>423</v>
      </c>
    </row>
    <row r="14" spans="2:4" x14ac:dyDescent="0.2">
      <c r="B14" s="10" t="s">
        <v>335</v>
      </c>
      <c r="C14" s="10" t="s">
        <v>424</v>
      </c>
      <c r="D14" s="10" t="s">
        <v>198</v>
      </c>
    </row>
    <row r="15" spans="2:4" x14ac:dyDescent="0.2">
      <c r="B15" s="5" t="s">
        <v>425</v>
      </c>
      <c r="C15" s="29">
        <f>MAX(NAV_Base-NAV_LapseUp,0)</f>
        <v>2647.3977743354208</v>
      </c>
      <c r="D15" s="12" t="s">
        <v>426</v>
      </c>
    </row>
    <row r="16" spans="2:4" x14ac:dyDescent="0.2">
      <c r="B16" s="5" t="s">
        <v>427</v>
      </c>
      <c r="C16" s="29">
        <f>MAX(NAV_Base-NAV_LapseDown,0)</f>
        <v>0</v>
      </c>
      <c r="D16" s="12" t="s">
        <v>426</v>
      </c>
    </row>
    <row r="17" spans="1:8" x14ac:dyDescent="0.2">
      <c r="B17" s="5" t="s">
        <v>428</v>
      </c>
      <c r="C17" s="29">
        <f>MAX(NAV_Base-NAV_LapseMass,0)</f>
        <v>5012.7454307480311</v>
      </c>
      <c r="D17" s="12" t="s">
        <v>429</v>
      </c>
    </row>
    <row r="19" spans="1:8" x14ac:dyDescent="0.2">
      <c r="B19" s="3" t="s">
        <v>430</v>
      </c>
    </row>
    <row r="20" spans="1:8" x14ac:dyDescent="0.2">
      <c r="B20" s="10" t="s">
        <v>334</v>
      </c>
      <c r="C20" s="10" t="s">
        <v>431</v>
      </c>
      <c r="D20" s="10" t="s">
        <v>198</v>
      </c>
    </row>
    <row r="21" spans="1:8" x14ac:dyDescent="0.2">
      <c r="B21" s="5" t="s">
        <v>394</v>
      </c>
      <c r="C21" s="29">
        <f>MAX(NAV_Base-NAV_Mort,0)</f>
        <v>946.39402335539307</v>
      </c>
      <c r="D21" s="12" t="s">
        <v>432</v>
      </c>
    </row>
    <row r="22" spans="1:8" x14ac:dyDescent="0.2">
      <c r="B22" s="5" t="s">
        <v>396</v>
      </c>
      <c r="C22" s="29">
        <f>MAX(NAV_Base-NAV_Longev,0)</f>
        <v>0</v>
      </c>
      <c r="D22" s="12" t="s">
        <v>433</v>
      </c>
    </row>
    <row r="23" spans="1:8" x14ac:dyDescent="0.2">
      <c r="B23" s="5" t="s">
        <v>434</v>
      </c>
      <c r="C23" s="43">
        <v>0</v>
      </c>
      <c r="D23" s="12" t="s">
        <v>435</v>
      </c>
    </row>
    <row r="24" spans="1:8" x14ac:dyDescent="0.2">
      <c r="B24" s="5" t="s">
        <v>400</v>
      </c>
      <c r="C24" s="29">
        <f>MAX(LapseUp_Risk,LapseDown_Risk,LapseMass_Risk)</f>
        <v>5012.7454307480311</v>
      </c>
      <c r="D24" s="12" t="s">
        <v>436</v>
      </c>
    </row>
    <row r="25" spans="1:8" x14ac:dyDescent="0.2">
      <c r="B25" s="5" t="s">
        <v>398</v>
      </c>
      <c r="C25" s="29">
        <f>MAX(NAV_Base-NAV_Exps,0)</f>
        <v>1338.553480494983</v>
      </c>
      <c r="D25" s="12" t="s">
        <v>437</v>
      </c>
    </row>
    <row r="26" spans="1:8" x14ac:dyDescent="0.2">
      <c r="B26" s="5" t="s">
        <v>438</v>
      </c>
      <c r="C26" s="43">
        <v>0</v>
      </c>
      <c r="D26" s="12" t="s">
        <v>439</v>
      </c>
    </row>
    <row r="27" spans="1:8" x14ac:dyDescent="0.2">
      <c r="B27" s="5" t="s">
        <v>440</v>
      </c>
      <c r="C27" s="43">
        <v>0</v>
      </c>
      <c r="D27" s="12" t="s">
        <v>441</v>
      </c>
    </row>
    <row r="29" spans="1:8" x14ac:dyDescent="0.2">
      <c r="B29" s="3" t="s">
        <v>442</v>
      </c>
    </row>
    <row r="30" spans="1:8" x14ac:dyDescent="0.2">
      <c r="B30" s="14" t="s">
        <v>443</v>
      </c>
    </row>
    <row r="31" spans="1:8" x14ac:dyDescent="0.2">
      <c r="A31" s="10"/>
      <c r="B31" s="10" t="s">
        <v>394</v>
      </c>
      <c r="C31" s="10" t="s">
        <v>396</v>
      </c>
      <c r="D31" s="10" t="s">
        <v>434</v>
      </c>
      <c r="E31" s="10" t="s">
        <v>400</v>
      </c>
      <c r="F31" s="10" t="s">
        <v>398</v>
      </c>
      <c r="G31" s="10" t="s">
        <v>438</v>
      </c>
      <c r="H31" s="10" t="s">
        <v>440</v>
      </c>
    </row>
    <row r="32" spans="1:8" x14ac:dyDescent="0.2">
      <c r="A32" s="10" t="s">
        <v>394</v>
      </c>
      <c r="B32" s="44">
        <v>1</v>
      </c>
      <c r="C32" s="44">
        <v>-0.25</v>
      </c>
      <c r="D32" s="44">
        <v>0.25</v>
      </c>
      <c r="E32" s="44">
        <v>0</v>
      </c>
      <c r="F32" s="44">
        <v>0.25</v>
      </c>
      <c r="G32" s="44">
        <v>0</v>
      </c>
      <c r="H32" s="44">
        <v>0.25</v>
      </c>
    </row>
    <row r="33" spans="1:8" x14ac:dyDescent="0.2">
      <c r="A33" s="10" t="s">
        <v>396</v>
      </c>
      <c r="B33" s="44">
        <v>-0.25</v>
      </c>
      <c r="C33" s="44">
        <v>1</v>
      </c>
      <c r="D33" s="44">
        <v>0</v>
      </c>
      <c r="E33" s="44">
        <v>0.25</v>
      </c>
      <c r="F33" s="44">
        <v>0.25</v>
      </c>
      <c r="G33" s="44">
        <v>0.25</v>
      </c>
      <c r="H33" s="44">
        <v>0</v>
      </c>
    </row>
    <row r="34" spans="1:8" x14ac:dyDescent="0.2">
      <c r="A34" s="10" t="s">
        <v>434</v>
      </c>
      <c r="B34" s="44">
        <v>0.25</v>
      </c>
      <c r="C34" s="44">
        <v>0</v>
      </c>
      <c r="D34" s="44">
        <v>1</v>
      </c>
      <c r="E34" s="44">
        <v>0</v>
      </c>
      <c r="F34" s="44">
        <v>0.5</v>
      </c>
      <c r="G34" s="44">
        <v>0</v>
      </c>
      <c r="H34" s="44">
        <v>0.25</v>
      </c>
    </row>
    <row r="35" spans="1:8" x14ac:dyDescent="0.2">
      <c r="A35" s="10" t="s">
        <v>400</v>
      </c>
      <c r="B35" s="44">
        <v>0</v>
      </c>
      <c r="C35" s="44">
        <v>0.25</v>
      </c>
      <c r="D35" s="44">
        <v>0</v>
      </c>
      <c r="E35" s="44">
        <v>1</v>
      </c>
      <c r="F35" s="44">
        <v>0.5</v>
      </c>
      <c r="G35" s="44">
        <v>0</v>
      </c>
      <c r="H35" s="44">
        <v>0.25</v>
      </c>
    </row>
    <row r="36" spans="1:8" x14ac:dyDescent="0.2">
      <c r="A36" s="10" t="s">
        <v>398</v>
      </c>
      <c r="B36" s="44">
        <v>0.25</v>
      </c>
      <c r="C36" s="44">
        <v>0.25</v>
      </c>
      <c r="D36" s="44">
        <v>0.5</v>
      </c>
      <c r="E36" s="44">
        <v>0.5</v>
      </c>
      <c r="F36" s="44">
        <v>1</v>
      </c>
      <c r="G36" s="44">
        <v>0.5</v>
      </c>
      <c r="H36" s="44">
        <v>0.25</v>
      </c>
    </row>
    <row r="37" spans="1:8" x14ac:dyDescent="0.2">
      <c r="A37" s="10" t="s">
        <v>438</v>
      </c>
      <c r="B37" s="44">
        <v>0</v>
      </c>
      <c r="C37" s="44">
        <v>0.25</v>
      </c>
      <c r="D37" s="44">
        <v>0</v>
      </c>
      <c r="E37" s="44">
        <v>0</v>
      </c>
      <c r="F37" s="44">
        <v>0.5</v>
      </c>
      <c r="G37" s="44">
        <v>1</v>
      </c>
      <c r="H37" s="44">
        <v>0</v>
      </c>
    </row>
    <row r="38" spans="1:8" x14ac:dyDescent="0.2">
      <c r="A38" s="10" t="s">
        <v>440</v>
      </c>
      <c r="B38" s="44">
        <v>0.25</v>
      </c>
      <c r="C38" s="44">
        <v>0</v>
      </c>
      <c r="D38" s="44">
        <v>0.25</v>
      </c>
      <c r="E38" s="44">
        <v>0.25</v>
      </c>
      <c r="F38" s="44">
        <v>0.25</v>
      </c>
      <c r="G38" s="44">
        <v>0</v>
      </c>
      <c r="H38" s="44">
        <v>1</v>
      </c>
    </row>
    <row r="40" spans="1:8" x14ac:dyDescent="0.2">
      <c r="B40" s="3" t="s">
        <v>444</v>
      </c>
    </row>
    <row r="41" spans="1:8" x14ac:dyDescent="0.2">
      <c r="B41" s="14" t="s">
        <v>445</v>
      </c>
    </row>
    <row r="42" spans="1:8" x14ac:dyDescent="0.2">
      <c r="B42" s="10" t="s">
        <v>394</v>
      </c>
      <c r="C42" s="10" t="s">
        <v>396</v>
      </c>
      <c r="D42" s="10" t="s">
        <v>434</v>
      </c>
      <c r="E42" s="10" t="s">
        <v>400</v>
      </c>
      <c r="F42" s="10" t="s">
        <v>398</v>
      </c>
      <c r="G42" s="10" t="s">
        <v>438</v>
      </c>
      <c r="H42" s="10" t="s">
        <v>440</v>
      </c>
    </row>
    <row r="43" spans="1:8" x14ac:dyDescent="0.2">
      <c r="A43" s="10" t="s">
        <v>394</v>
      </c>
      <c r="B43" s="45">
        <f>INDEX(LifeVec,1)*INDEX(LifeVec,1)*INDEX(CorrGrid,1,1)</f>
        <v>895661.64744280826</v>
      </c>
      <c r="C43" s="45">
        <f>INDEX(LifeVec,1)*INDEX(LifeVec,2)*INDEX(CorrGrid,1,2)</f>
        <v>0</v>
      </c>
      <c r="D43" s="45">
        <f>INDEX(LifeVec,1)*INDEX(LifeVec,3)*INDEX(CorrGrid,1,3)</f>
        <v>0</v>
      </c>
      <c r="E43" s="45">
        <f>INDEX(LifeVec,1)*INDEX(LifeVec,4)*INDEX(CorrGrid,1,4)</f>
        <v>0</v>
      </c>
      <c r="F43" s="45">
        <f>INDEX(LifeVec,1)*INDEX(LifeVec,5)*INDEX(CorrGrid,1,5)</f>
        <v>316699.75347050291</v>
      </c>
      <c r="G43" s="45">
        <f>INDEX(LifeVec,1)*INDEX(LifeVec,6)*INDEX(CorrGrid,1,6)</f>
        <v>0</v>
      </c>
      <c r="H43" s="45">
        <f>INDEX(LifeVec,1)*INDEX(LifeVec,7)*INDEX(CorrGrid,1,7)</f>
        <v>0</v>
      </c>
    </row>
    <row r="44" spans="1:8" x14ac:dyDescent="0.2">
      <c r="A44" s="10" t="s">
        <v>396</v>
      </c>
      <c r="B44" s="45">
        <f>INDEX(LifeVec,2)*INDEX(LifeVec,1)*INDEX(CorrGrid,2,1)</f>
        <v>0</v>
      </c>
      <c r="C44" s="45">
        <f>INDEX(LifeVec,2)*INDEX(LifeVec,2)*INDEX(CorrGrid,2,2)</f>
        <v>0</v>
      </c>
      <c r="D44" s="45">
        <f>INDEX(LifeVec,2)*INDEX(LifeVec,3)*INDEX(CorrGrid,2,3)</f>
        <v>0</v>
      </c>
      <c r="E44" s="45">
        <f>INDEX(LifeVec,2)*INDEX(LifeVec,4)*INDEX(CorrGrid,2,4)</f>
        <v>0</v>
      </c>
      <c r="F44" s="45">
        <f>INDEX(LifeVec,2)*INDEX(LifeVec,5)*INDEX(CorrGrid,2,5)</f>
        <v>0</v>
      </c>
      <c r="G44" s="45">
        <f>INDEX(LifeVec,2)*INDEX(LifeVec,6)*INDEX(CorrGrid,2,6)</f>
        <v>0</v>
      </c>
      <c r="H44" s="45">
        <f>INDEX(LifeVec,2)*INDEX(LifeVec,7)*INDEX(CorrGrid,2,7)</f>
        <v>0</v>
      </c>
    </row>
    <row r="45" spans="1:8" x14ac:dyDescent="0.2">
      <c r="A45" s="10" t="s">
        <v>434</v>
      </c>
      <c r="B45" s="45">
        <f>INDEX(LifeVec,3)*INDEX(LifeVec,1)*INDEX(CorrGrid,3,1)</f>
        <v>0</v>
      </c>
      <c r="C45" s="45">
        <f>INDEX(LifeVec,3)*INDEX(LifeVec,2)*INDEX(CorrGrid,3,2)</f>
        <v>0</v>
      </c>
      <c r="D45" s="45">
        <f>INDEX(LifeVec,3)*INDEX(LifeVec,3)*INDEX(CorrGrid,3,3)</f>
        <v>0</v>
      </c>
      <c r="E45" s="45">
        <f>INDEX(LifeVec,3)*INDEX(LifeVec,4)*INDEX(CorrGrid,3,4)</f>
        <v>0</v>
      </c>
      <c r="F45" s="45">
        <f>INDEX(LifeVec,3)*INDEX(LifeVec,5)*INDEX(CorrGrid,3,5)</f>
        <v>0</v>
      </c>
      <c r="G45" s="45">
        <f>INDEX(LifeVec,3)*INDEX(LifeVec,6)*INDEX(CorrGrid,3,6)</f>
        <v>0</v>
      </c>
      <c r="H45" s="45">
        <f>INDEX(LifeVec,3)*INDEX(LifeVec,7)*INDEX(CorrGrid,3,7)</f>
        <v>0</v>
      </c>
    </row>
    <row r="46" spans="1:8" x14ac:dyDescent="0.2">
      <c r="A46" s="10" t="s">
        <v>400</v>
      </c>
      <c r="B46" s="45">
        <f>INDEX(LifeVec,4)*INDEX(LifeVec,1)*INDEX(CorrGrid,4,1)</f>
        <v>0</v>
      </c>
      <c r="C46" s="45">
        <f>INDEX(LifeVec,4)*INDEX(LifeVec,2)*INDEX(CorrGrid,4,2)</f>
        <v>0</v>
      </c>
      <c r="D46" s="45">
        <f>INDEX(LifeVec,4)*INDEX(LifeVec,3)*INDEX(CorrGrid,4,3)</f>
        <v>0</v>
      </c>
      <c r="E46" s="45">
        <f>INDEX(LifeVec,4)*INDEX(LifeVec,4)*INDEX(CorrGrid,4,4)</f>
        <v>25127616.753485266</v>
      </c>
      <c r="F46" s="45">
        <f>INDEX(LifeVec,4)*INDEX(LifeVec,5)*INDEX(CorrGrid,4,5)</f>
        <v>3354913.92158155</v>
      </c>
      <c r="G46" s="45">
        <f>INDEX(LifeVec,4)*INDEX(LifeVec,6)*INDEX(CorrGrid,4,6)</f>
        <v>0</v>
      </c>
      <c r="H46" s="45">
        <f>INDEX(LifeVec,4)*INDEX(LifeVec,7)*INDEX(CorrGrid,4,7)</f>
        <v>0</v>
      </c>
    </row>
    <row r="47" spans="1:8" x14ac:dyDescent="0.2">
      <c r="A47" s="10" t="s">
        <v>398</v>
      </c>
      <c r="B47" s="45">
        <f>INDEX(LifeVec,5)*INDEX(LifeVec,1)*INDEX(CorrGrid,5,1)</f>
        <v>316699.75347050291</v>
      </c>
      <c r="C47" s="45">
        <f>INDEX(LifeVec,5)*INDEX(LifeVec,2)*INDEX(CorrGrid,5,2)</f>
        <v>0</v>
      </c>
      <c r="D47" s="45">
        <f>INDEX(LifeVec,5)*INDEX(LifeVec,3)*INDEX(CorrGrid,5,3)</f>
        <v>0</v>
      </c>
      <c r="E47" s="45">
        <f>INDEX(LifeVec,5)*INDEX(LifeVec,4)*INDEX(CorrGrid,5,4)</f>
        <v>3354913.92158155</v>
      </c>
      <c r="F47" s="45">
        <f>INDEX(LifeVec,5)*INDEX(LifeVec,5)*INDEX(CorrGrid,5,5)</f>
        <v>1791725.4201452327</v>
      </c>
      <c r="G47" s="45">
        <f>INDEX(LifeVec,5)*INDEX(LifeVec,6)*INDEX(CorrGrid,5,6)</f>
        <v>0</v>
      </c>
      <c r="H47" s="45">
        <f>INDEX(LifeVec,5)*INDEX(LifeVec,7)*INDEX(CorrGrid,5,7)</f>
        <v>0</v>
      </c>
    </row>
    <row r="48" spans="1:8" x14ac:dyDescent="0.2">
      <c r="A48" s="10" t="s">
        <v>438</v>
      </c>
      <c r="B48" s="45">
        <f>INDEX(LifeVec,6)*INDEX(LifeVec,1)*INDEX(CorrGrid,6,1)</f>
        <v>0</v>
      </c>
      <c r="C48" s="45">
        <f>INDEX(LifeVec,6)*INDEX(LifeVec,2)*INDEX(CorrGrid,6,2)</f>
        <v>0</v>
      </c>
      <c r="D48" s="45">
        <f>INDEX(LifeVec,6)*INDEX(LifeVec,3)*INDEX(CorrGrid,6,3)</f>
        <v>0</v>
      </c>
      <c r="E48" s="45">
        <f>INDEX(LifeVec,6)*INDEX(LifeVec,4)*INDEX(CorrGrid,6,4)</f>
        <v>0</v>
      </c>
      <c r="F48" s="45">
        <f>INDEX(LifeVec,6)*INDEX(LifeVec,5)*INDEX(CorrGrid,6,5)</f>
        <v>0</v>
      </c>
      <c r="G48" s="45">
        <f>INDEX(LifeVec,6)*INDEX(LifeVec,6)*INDEX(CorrGrid,6,6)</f>
        <v>0</v>
      </c>
      <c r="H48" s="45">
        <f>INDEX(LifeVec,6)*INDEX(LifeVec,7)*INDEX(CorrGrid,6,7)</f>
        <v>0</v>
      </c>
    </row>
    <row r="49" spans="1:8" x14ac:dyDescent="0.2">
      <c r="A49" s="10" t="s">
        <v>440</v>
      </c>
      <c r="B49" s="45">
        <f>INDEX(LifeVec,7)*INDEX(LifeVec,1)*INDEX(CorrGrid,7,1)</f>
        <v>0</v>
      </c>
      <c r="C49" s="45">
        <f>INDEX(LifeVec,7)*INDEX(LifeVec,2)*INDEX(CorrGrid,7,2)</f>
        <v>0</v>
      </c>
      <c r="D49" s="45">
        <f>INDEX(LifeVec,7)*INDEX(LifeVec,3)*INDEX(CorrGrid,7,3)</f>
        <v>0</v>
      </c>
      <c r="E49" s="45">
        <f>INDEX(LifeVec,7)*INDEX(LifeVec,4)*INDEX(CorrGrid,7,4)</f>
        <v>0</v>
      </c>
      <c r="F49" s="45">
        <f>INDEX(LifeVec,7)*INDEX(LifeVec,5)*INDEX(CorrGrid,7,5)</f>
        <v>0</v>
      </c>
      <c r="G49" s="45">
        <f>INDEX(LifeVec,7)*INDEX(LifeVec,6)*INDEX(CorrGrid,7,6)</f>
        <v>0</v>
      </c>
      <c r="H49" s="45">
        <f>INDEX(LifeVec,7)*INDEX(LifeVec,7)*INDEX(CorrGrid,7,7)</f>
        <v>0</v>
      </c>
    </row>
    <row r="51" spans="1:8" x14ac:dyDescent="0.2">
      <c r="B51" s="3" t="s">
        <v>446</v>
      </c>
      <c r="C51" s="46">
        <f>SQRT(SUM(ProdGrid))</f>
        <v>5929.4376774848906</v>
      </c>
      <c r="D51" s="12" t="s">
        <v>447</v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B2:D18"/>
  <sheetViews>
    <sheetView showGridLines="0" workbookViewId="0"/>
  </sheetViews>
  <sheetFormatPr baseColWidth="10" defaultColWidth="8.83203125" defaultRowHeight="15" x14ac:dyDescent="0.2"/>
  <cols>
    <col min="2" max="2" width="32" customWidth="1"/>
    <col min="3" max="3" width="16" customWidth="1"/>
    <col min="4" max="4" width="56" customWidth="1"/>
  </cols>
  <sheetData>
    <row r="2" spans="2:4" x14ac:dyDescent="0.2">
      <c r="B2" s="3" t="s">
        <v>448</v>
      </c>
    </row>
    <row r="3" spans="2:4" x14ac:dyDescent="0.2">
      <c r="B3" s="10" t="s">
        <v>63</v>
      </c>
      <c r="C3" s="10" t="s">
        <v>64</v>
      </c>
      <c r="D3" s="10"/>
    </row>
    <row r="4" spans="2:4" x14ac:dyDescent="0.2">
      <c r="B4" s="5" t="s">
        <v>66</v>
      </c>
      <c r="C4" s="20">
        <f>PolicyID</f>
        <v>1</v>
      </c>
      <c r="D4" s="12" t="s">
        <v>449</v>
      </c>
    </row>
    <row r="5" spans="2:4" x14ac:dyDescent="0.2">
      <c r="B5" s="5" t="s">
        <v>407</v>
      </c>
      <c r="C5" s="20">
        <f>ScenID</f>
        <v>1</v>
      </c>
      <c r="D5" s="12"/>
    </row>
    <row r="6" spans="2:4" x14ac:dyDescent="0.2">
      <c r="B6" s="5" t="s">
        <v>450</v>
      </c>
      <c r="C6" s="20">
        <f>T0</f>
        <v>0</v>
      </c>
      <c r="D6" s="12"/>
    </row>
    <row r="7" spans="2:4" x14ac:dyDescent="0.2">
      <c r="B7" s="5" t="s">
        <v>451</v>
      </c>
      <c r="C7" s="19" t="str">
        <f>Product&amp;" / "&amp;Sex&amp;" / "&amp;IssueAge&amp;" / "&amp;PolicyTerm&amp;"y"</f>
        <v>TERM / M / 30 / 15y</v>
      </c>
      <c r="D7" s="12"/>
    </row>
    <row r="9" spans="2:4" x14ac:dyDescent="0.2">
      <c r="B9" s="3" t="s">
        <v>452</v>
      </c>
    </row>
    <row r="10" spans="2:4" x14ac:dyDescent="0.2">
      <c r="B10" s="10" t="s">
        <v>63</v>
      </c>
      <c r="C10" s="10" t="s">
        <v>64</v>
      </c>
      <c r="D10" s="10"/>
    </row>
    <row r="11" spans="2:4" x14ac:dyDescent="0.2">
      <c r="B11" s="5" t="s">
        <v>446</v>
      </c>
      <c r="C11" s="21">
        <f>SCR_Life</f>
        <v>5929.4376774848906</v>
      </c>
      <c r="D11" s="12"/>
    </row>
    <row r="12" spans="2:4" x14ac:dyDescent="0.2">
      <c r="B12" s="5" t="s">
        <v>453</v>
      </c>
      <c r="C12" s="21">
        <f>Life_Mort</f>
        <v>946.39402335539307</v>
      </c>
      <c r="D12" s="12"/>
    </row>
    <row r="13" spans="2:4" x14ac:dyDescent="0.2">
      <c r="B13" s="5" t="s">
        <v>454</v>
      </c>
      <c r="C13" s="21">
        <f>Life_Longev</f>
        <v>0</v>
      </c>
      <c r="D13" s="12"/>
    </row>
    <row r="14" spans="2:4" x14ac:dyDescent="0.2">
      <c r="B14" s="5" t="s">
        <v>455</v>
      </c>
      <c r="C14" s="21">
        <f>Life_Lapse</f>
        <v>5012.7454307480311</v>
      </c>
      <c r="D14" s="12"/>
    </row>
    <row r="15" spans="2:4" x14ac:dyDescent="0.2">
      <c r="B15" s="5" t="s">
        <v>456</v>
      </c>
      <c r="C15" s="21">
        <f>Life_Exps</f>
        <v>1338.553480494983</v>
      </c>
      <c r="D15" s="12"/>
    </row>
    <row r="16" spans="2:4" x14ac:dyDescent="0.2">
      <c r="B16" s="5" t="s">
        <v>457</v>
      </c>
      <c r="C16" s="21">
        <f>SUM(LifeVec)</f>
        <v>7297.6929345984072</v>
      </c>
      <c r="D16" s="12"/>
    </row>
    <row r="17" spans="2:4" x14ac:dyDescent="0.2">
      <c r="B17" s="5" t="s">
        <v>458</v>
      </c>
      <c r="C17" s="21">
        <f>SUM(LifeVec)-SCR_Life</f>
        <v>1368.2552571135166</v>
      </c>
      <c r="D17" s="12"/>
    </row>
    <row r="18" spans="2:4" x14ac:dyDescent="0.2">
      <c r="B18" s="5" t="s">
        <v>459</v>
      </c>
      <c r="C18" s="21">
        <f>NAV_Base</f>
        <v>8954.0183031624656</v>
      </c>
      <c r="D18" s="12" t="s">
        <v>460</v>
      </c>
    </row>
  </sheetData>
  <pageMargins left="0.75" right="0.75" top="1" bottom="1" header="0.5" footer="0.5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B2:D27"/>
  <sheetViews>
    <sheetView showGridLines="0" workbookViewId="0"/>
  </sheetViews>
  <sheetFormatPr baseColWidth="10" defaultColWidth="8.83203125" defaultRowHeight="15" x14ac:dyDescent="0.2"/>
  <cols>
    <col min="2" max="2" width="48" customWidth="1"/>
    <col min="3" max="3" width="10" customWidth="1"/>
    <col min="4" max="4" width="78" customWidth="1"/>
  </cols>
  <sheetData>
    <row r="2" spans="2:4" x14ac:dyDescent="0.2">
      <c r="B2" s="3" t="s">
        <v>461</v>
      </c>
    </row>
    <row r="3" spans="2:4" x14ac:dyDescent="0.2">
      <c r="B3" s="10" t="s">
        <v>462</v>
      </c>
      <c r="C3" s="10" t="s">
        <v>463</v>
      </c>
      <c r="D3" s="10" t="s">
        <v>464</v>
      </c>
    </row>
    <row r="4" spans="2:4" x14ac:dyDescent="0.2">
      <c r="B4" s="5" t="s">
        <v>465</v>
      </c>
      <c r="C4" s="47" t="b">
        <f>ABS(INDEX(PVNCF_Base,T0+1)-INDEX(PVCHK_Base,T0+1))&lt;=0.000001*MAX(1,ABS(INDEX(PVNCF_Base,T0+1)))</f>
        <v>1</v>
      </c>
      <c r="D4" s="48" t="s">
        <v>466</v>
      </c>
    </row>
    <row r="5" spans="2:4" x14ac:dyDescent="0.2">
      <c r="B5" s="5" t="s">
        <v>467</v>
      </c>
      <c r="C5" s="47" t="b">
        <f>ABS(INDEX(PVNCF_Mort,T0+1)-INDEX(PVCHK_Mort,T0+1))&lt;=0.000001*MAX(1,ABS(INDEX(PVNCF_Mort,T0+1)))</f>
        <v>1</v>
      </c>
      <c r="D5" s="48" t="s">
        <v>466</v>
      </c>
    </row>
    <row r="6" spans="2:4" x14ac:dyDescent="0.2">
      <c r="B6" s="5" t="s">
        <v>468</v>
      </c>
      <c r="C6" s="47" t="b">
        <f>ABS(INDEX(PVNCF_Longev,T0+1)-INDEX(PVCHK_Longev,T0+1))&lt;=0.000001*MAX(1,ABS(INDEX(PVNCF_Longev,T0+1)))</f>
        <v>1</v>
      </c>
      <c r="D6" s="48" t="s">
        <v>466</v>
      </c>
    </row>
    <row r="7" spans="2:4" x14ac:dyDescent="0.2">
      <c r="B7" s="5" t="s">
        <v>469</v>
      </c>
      <c r="C7" s="47" t="b">
        <f>ABS(INDEX(PVNCF_Exps,T0+1)-INDEX(PVCHK_Exps,T0+1))&lt;=0.000001*MAX(1,ABS(INDEX(PVNCF_Exps,T0+1)))</f>
        <v>1</v>
      </c>
      <c r="D7" s="48" t="s">
        <v>466</v>
      </c>
    </row>
    <row r="8" spans="2:4" x14ac:dyDescent="0.2">
      <c r="B8" s="5" t="s">
        <v>470</v>
      </c>
      <c r="C8" s="47" t="b">
        <f>ABS(INDEX(PVNCF_LapseUp,T0+1)-INDEX(PVCHK_LapseUp,T0+1))&lt;=0.000001*MAX(1,ABS(INDEX(PVNCF_LapseUp,T0+1)))</f>
        <v>1</v>
      </c>
      <c r="D8" s="48" t="s">
        <v>466</v>
      </c>
    </row>
    <row r="9" spans="2:4" x14ac:dyDescent="0.2">
      <c r="B9" s="5" t="s">
        <v>471</v>
      </c>
      <c r="C9" s="47" t="b">
        <f>ABS(INDEX(PVNCF_LapseDown,T0+1)-INDEX(PVCHK_LapseDown,T0+1))&lt;=0.000001*MAX(1,ABS(INDEX(PVNCF_LapseDown,T0+1)))</f>
        <v>1</v>
      </c>
      <c r="D9" s="48" t="s">
        <v>466</v>
      </c>
    </row>
    <row r="10" spans="2:4" x14ac:dyDescent="0.2">
      <c r="B10" s="5" t="s">
        <v>472</v>
      </c>
      <c r="C10" s="47" t="b">
        <f>ABS(INDEX(PVNCF_LapseMass,T0+1)-INDEX(PVCHK_LapseMass,T0+1))&lt;=0.000001*MAX(1,ABS(INDEX(PVNCF_LapseMass,T0+1)))</f>
        <v>1</v>
      </c>
      <c r="D10" s="48" t="s">
        <v>466</v>
      </c>
    </row>
    <row r="11" spans="2:4" x14ac:dyDescent="0.2">
      <c r="B11" s="5" t="s">
        <v>473</v>
      </c>
      <c r="C11" s="47" t="b">
        <f>MIN(Beg1_Base)&gt;=-0.000000001</f>
        <v>1</v>
      </c>
      <c r="D11" s="48" t="s">
        <v>474</v>
      </c>
    </row>
    <row r="12" spans="2:4" x14ac:dyDescent="0.2">
      <c r="B12" s="5" t="s">
        <v>475</v>
      </c>
      <c r="C12" s="47" t="b">
        <f>MIN(Beg1_Mort)&gt;=-0.000000001</f>
        <v>1</v>
      </c>
      <c r="D12" s="48" t="s">
        <v>474</v>
      </c>
    </row>
    <row r="13" spans="2:4" x14ac:dyDescent="0.2">
      <c r="B13" s="5" t="s">
        <v>476</v>
      </c>
      <c r="C13" s="47" t="b">
        <f>MIN(Beg1_Longev)&gt;=-0.000000001</f>
        <v>1</v>
      </c>
      <c r="D13" s="48" t="s">
        <v>474</v>
      </c>
    </row>
    <row r="14" spans="2:4" x14ac:dyDescent="0.2">
      <c r="B14" s="5" t="s">
        <v>477</v>
      </c>
      <c r="C14" s="47" t="b">
        <f>MIN(Beg1_Exps)&gt;=-0.000000001</f>
        <v>1</v>
      </c>
      <c r="D14" s="48" t="s">
        <v>474</v>
      </c>
    </row>
    <row r="15" spans="2:4" x14ac:dyDescent="0.2">
      <c r="B15" s="5" t="s">
        <v>478</v>
      </c>
      <c r="C15" s="47" t="b">
        <f>MIN(Beg1_LapseUp)&gt;=-0.000000001</f>
        <v>1</v>
      </c>
      <c r="D15" s="48" t="s">
        <v>474</v>
      </c>
    </row>
    <row r="16" spans="2:4" x14ac:dyDescent="0.2">
      <c r="B16" s="5" t="s">
        <v>479</v>
      </c>
      <c r="C16" s="47" t="b">
        <f>MIN(Beg1_LapseDown)&gt;=-0.000000001</f>
        <v>1</v>
      </c>
      <c r="D16" s="48" t="s">
        <v>474</v>
      </c>
    </row>
    <row r="17" spans="2:4" x14ac:dyDescent="0.2">
      <c r="B17" s="5" t="s">
        <v>480</v>
      </c>
      <c r="C17" s="47" t="b">
        <f>MIN(Beg1_LapseMass)&gt;=-0.000000001</f>
        <v>1</v>
      </c>
      <c r="D17" s="48" t="s">
        <v>474</v>
      </c>
    </row>
    <row r="18" spans="2:4" x14ac:dyDescent="0.2">
      <c r="B18" s="5" t="s">
        <v>481</v>
      </c>
      <c r="C18" s="47" t="b">
        <f>ABS(PolicyCount-SUM(Proj_Base!K7:K110)-SUM(Proj_Base!L7:L110)-SUM(Proj_Base!F7:F110)-SUM(Proj_Base!I7:I110)-(INDEX(Beg1_Base,LastT+1)-INDEX(Proj_Base!K7:K110,LastT+1)-INDEX(Proj_Base!L7:L110,LastT+1)))&lt;=0.000001</f>
        <v>1</v>
      </c>
      <c r="D18" s="48" t="s">
        <v>482</v>
      </c>
    </row>
    <row r="19" spans="2:4" x14ac:dyDescent="0.2">
      <c r="B19" s="5" t="s">
        <v>483</v>
      </c>
      <c r="C19" s="47" t="b">
        <f>ABS(PolicyCount-SUM(Proj_LapseMass!K7:K110)-SUM(Proj_LapseMass!L7:L110)-SUM(Proj_LapseMass!F7:F110)-SUM(Proj_LapseMass!I7:I110)-(INDEX(Beg1_LapseMass,LastT+1)-INDEX(Proj_LapseMass!K7:K110,LastT+1)-INDEX(Proj_LapseMass!L7:L110,LastT+1)))&lt;=0.000001</f>
        <v>1</v>
      </c>
      <c r="D19" s="48" t="s">
        <v>484</v>
      </c>
    </row>
    <row r="20" spans="2:4" x14ac:dyDescent="0.2">
      <c r="B20" s="5" t="s">
        <v>485</v>
      </c>
      <c r="C20" s="47" t="b">
        <f>ABS(INDEX(Policy_Sched!F7:F110,1))&lt;=0.00000001</f>
        <v>1</v>
      </c>
      <c r="D20" s="48" t="s">
        <v>486</v>
      </c>
    </row>
    <row r="21" spans="2:4" x14ac:dyDescent="0.2">
      <c r="B21" s="5" t="s">
        <v>487</v>
      </c>
      <c r="C21" s="47" t="b">
        <f>AND(INDEX(Comm_lx,1)=100000,MIN(Comm_lx)&gt;=0)</f>
        <v>1</v>
      </c>
      <c r="D21" s="48" t="s">
        <v>488</v>
      </c>
    </row>
    <row r="22" spans="2:4" x14ac:dyDescent="0.2">
      <c r="B22" s="5" t="s">
        <v>489</v>
      </c>
      <c r="C22" s="47" t="b">
        <f>MIN(LifeVec)&gt;=0</f>
        <v>1</v>
      </c>
      <c r="D22" s="48" t="s">
        <v>490</v>
      </c>
    </row>
    <row r="23" spans="2:4" x14ac:dyDescent="0.2">
      <c r="B23" s="5" t="s">
        <v>491</v>
      </c>
      <c r="C23" s="47" t="b">
        <f>SCR_Life&lt;=SUM(LifeVec)+0.000001</f>
        <v>1</v>
      </c>
      <c r="D23" s="48" t="s">
        <v>492</v>
      </c>
    </row>
    <row r="24" spans="2:4" x14ac:dyDescent="0.2">
      <c r="B24" s="5" t="s">
        <v>493</v>
      </c>
      <c r="C24" s="47" t="b">
        <f t="array" ref="C24">SUMPRODUCT(--(ABS(ProdGrid-TRANSPOSE(ProdGrid))&gt;0.000001*(1+ABS(ProdGrid))))=0</f>
        <v>1</v>
      </c>
      <c r="D24" s="48" t="s">
        <v>494</v>
      </c>
    </row>
    <row r="25" spans="2:4" x14ac:dyDescent="0.2">
      <c r="B25" s="5" t="s">
        <v>495</v>
      </c>
      <c r="C25" s="47" t="b">
        <f>AND(Proj_Mort!$E$3&gt;0,Proj_Longev!$E$3&gt;0,Proj_Exps!$E$3&gt;0,Proj_Exps!$G$3&gt;0,Proj_LapseUp!$E$3&gt;0,Proj_LapseUp!$F$3&gt;0,Proj_LapseDown!$E$3&gt;0,Proj_LapseDown!$F$3&gt;0,Proj_LapseMass!$E$3&gt;0)</f>
        <v>1</v>
      </c>
      <c r="D25" s="48" t="s">
        <v>496</v>
      </c>
    </row>
    <row r="27" spans="2:4" x14ac:dyDescent="0.2">
      <c r="B27" s="3" t="s">
        <v>497</v>
      </c>
      <c r="C27" s="49" t="b">
        <f>AND(C4:C25)</f>
        <v>1</v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J302"/>
  <sheetViews>
    <sheetView workbookViewId="0">
      <pane ySplit="2" topLeftCell="A3" activePane="bottomLeft" state="frozen"/>
      <selection pane="bottomLeft"/>
    </sheetView>
  </sheetViews>
  <sheetFormatPr baseColWidth="10" defaultColWidth="8.83203125" defaultRowHeight="15" x14ac:dyDescent="0.2"/>
  <cols>
    <col min="1" max="10" width="13" customWidth="1"/>
  </cols>
  <sheetData>
    <row r="1" spans="1:10" x14ac:dyDescent="0.2">
      <c r="A1" s="3" t="s">
        <v>498</v>
      </c>
    </row>
    <row r="2" spans="1:10" x14ac:dyDescent="0.2">
      <c r="A2" s="10" t="s">
        <v>80</v>
      </c>
      <c r="B2" s="10" t="s">
        <v>499</v>
      </c>
      <c r="C2" s="10" t="s">
        <v>500</v>
      </c>
      <c r="D2" s="10" t="s">
        <v>501</v>
      </c>
      <c r="E2" s="10" t="s">
        <v>502</v>
      </c>
      <c r="F2" s="10" t="s">
        <v>503</v>
      </c>
      <c r="G2" s="10" t="s">
        <v>504</v>
      </c>
      <c r="H2" s="10" t="s">
        <v>505</v>
      </c>
      <c r="I2" s="10" t="s">
        <v>506</v>
      </c>
      <c r="J2" s="10" t="s">
        <v>507</v>
      </c>
    </row>
    <row r="3" spans="1:10" x14ac:dyDescent="0.2">
      <c r="A3" s="7">
        <v>1</v>
      </c>
      <c r="B3" s="50">
        <v>5929.4376774848806</v>
      </c>
      <c r="C3" s="50">
        <v>946.39402335539125</v>
      </c>
      <c r="D3" s="50">
        <v>0</v>
      </c>
      <c r="E3" s="50">
        <v>5012.745430748023</v>
      </c>
      <c r="F3" s="50">
        <v>1338.5534804949809</v>
      </c>
      <c r="G3" s="50">
        <v>2647.3977743354112</v>
      </c>
      <c r="H3" s="50">
        <v>0</v>
      </c>
      <c r="I3" s="50">
        <v>5012.745430748023</v>
      </c>
      <c r="J3" s="50">
        <v>8954.0183031624583</v>
      </c>
    </row>
    <row r="4" spans="1:10" x14ac:dyDescent="0.2">
      <c r="A4" s="7">
        <v>2</v>
      </c>
      <c r="B4" s="50">
        <v>5230.1516019137398</v>
      </c>
      <c r="C4" s="50">
        <v>499.4305414574319</v>
      </c>
      <c r="D4" s="50">
        <v>0</v>
      </c>
      <c r="E4" s="50">
        <v>4374.728917218551</v>
      </c>
      <c r="F4" s="50">
        <v>1336.499987244943</v>
      </c>
      <c r="G4" s="50">
        <v>2296.765568834137</v>
      </c>
      <c r="H4" s="50">
        <v>0</v>
      </c>
      <c r="I4" s="50">
        <v>4374.728917218551</v>
      </c>
      <c r="J4" s="50">
        <v>7511.0920851388528</v>
      </c>
    </row>
    <row r="5" spans="1:10" x14ac:dyDescent="0.2">
      <c r="A5" s="7">
        <v>3</v>
      </c>
      <c r="B5" s="50">
        <v>6042.2992949154523</v>
      </c>
      <c r="C5" s="50">
        <v>1016.294625483129</v>
      </c>
      <c r="D5" s="50">
        <v>0</v>
      </c>
      <c r="E5" s="50">
        <v>5114.2298322688566</v>
      </c>
      <c r="F5" s="50">
        <v>1338.987377555826</v>
      </c>
      <c r="G5" s="50">
        <v>2705.8132688143169</v>
      </c>
      <c r="H5" s="50">
        <v>0</v>
      </c>
      <c r="I5" s="50">
        <v>5114.2298322688566</v>
      </c>
      <c r="J5" s="50">
        <v>9173.9065895479944</v>
      </c>
    </row>
    <row r="6" spans="1:10" x14ac:dyDescent="0.2">
      <c r="A6" s="7">
        <v>4</v>
      </c>
      <c r="B6" s="50">
        <v>5292.4422953418671</v>
      </c>
      <c r="C6" s="50">
        <v>539.33883952102133</v>
      </c>
      <c r="D6" s="50">
        <v>0</v>
      </c>
      <c r="E6" s="50">
        <v>4432.4711413171326</v>
      </c>
      <c r="F6" s="50">
        <v>1336.719045213302</v>
      </c>
      <c r="G6" s="50">
        <v>2329.424162507029</v>
      </c>
      <c r="H6" s="50">
        <v>0</v>
      </c>
      <c r="I6" s="50">
        <v>4432.4711413171326</v>
      </c>
      <c r="J6" s="50">
        <v>7638.0706495724817</v>
      </c>
    </row>
    <row r="7" spans="1:10" x14ac:dyDescent="0.2">
      <c r="A7" s="7">
        <v>5</v>
      </c>
      <c r="B7" s="50">
        <v>6167.9972794492678</v>
      </c>
      <c r="C7" s="50">
        <v>1094.375684626059</v>
      </c>
      <c r="D7" s="50">
        <v>0</v>
      </c>
      <c r="E7" s="50">
        <v>5226.6869818532987</v>
      </c>
      <c r="F7" s="50">
        <v>1339.489342895977</v>
      </c>
      <c r="G7" s="50">
        <v>2771.9605578674218</v>
      </c>
      <c r="H7" s="50">
        <v>0</v>
      </c>
      <c r="I7" s="50">
        <v>5226.6869818532987</v>
      </c>
      <c r="J7" s="50">
        <v>9418.540503747563</v>
      </c>
    </row>
    <row r="8" spans="1:10" x14ac:dyDescent="0.2">
      <c r="A8" s="7">
        <v>6</v>
      </c>
      <c r="B8" s="50">
        <v>5360.1318433611332</v>
      </c>
      <c r="C8" s="50">
        <v>582.27781273860182</v>
      </c>
      <c r="D8" s="50">
        <v>0</v>
      </c>
      <c r="E8" s="50">
        <v>4495.0651556341418</v>
      </c>
      <c r="F8" s="50">
        <v>1336.950583157326</v>
      </c>
      <c r="G8" s="50">
        <v>2364.7281167761871</v>
      </c>
      <c r="H8" s="50">
        <v>0</v>
      </c>
      <c r="I8" s="50">
        <v>4495.0651556341418</v>
      </c>
      <c r="J8" s="50">
        <v>7774.7925635684642</v>
      </c>
    </row>
    <row r="9" spans="1:10" x14ac:dyDescent="0.2">
      <c r="A9" s="7">
        <v>7</v>
      </c>
      <c r="B9" s="50">
        <v>6313.1580701379962</v>
      </c>
      <c r="C9" s="50">
        <v>1181.086984178231</v>
      </c>
      <c r="D9" s="50">
        <v>0</v>
      </c>
      <c r="E9" s="50">
        <v>5356.8061812599944</v>
      </c>
      <c r="F9" s="50">
        <v>1340.0669178860301</v>
      </c>
      <c r="G9" s="50">
        <v>2846.837970593424</v>
      </c>
      <c r="H9" s="50">
        <v>0</v>
      </c>
      <c r="I9" s="50">
        <v>5356.8061812599944</v>
      </c>
      <c r="J9" s="50">
        <v>9688.9538277488828</v>
      </c>
    </row>
    <row r="10" spans="1:10" x14ac:dyDescent="0.2">
      <c r="A10" s="7">
        <v>8</v>
      </c>
      <c r="B10" s="50">
        <v>5435.1148168323889</v>
      </c>
      <c r="C10" s="50">
        <v>629.33479513854036</v>
      </c>
      <c r="D10" s="50">
        <v>0</v>
      </c>
      <c r="E10" s="50">
        <v>4564.2302510494537</v>
      </c>
      <c r="F10" s="50">
        <v>1337.2062525553849</v>
      </c>
      <c r="G10" s="50">
        <v>2403.5538093618902</v>
      </c>
      <c r="H10" s="50">
        <v>0</v>
      </c>
      <c r="I10" s="50">
        <v>4564.2302510494537</v>
      </c>
      <c r="J10" s="50">
        <v>7924.5038877223933</v>
      </c>
    </row>
    <row r="11" spans="1:10" x14ac:dyDescent="0.2">
      <c r="A11" s="7">
        <v>9</v>
      </c>
      <c r="B11" s="50">
        <v>6482.6829724957133</v>
      </c>
      <c r="C11" s="50">
        <v>1280.1328213002539</v>
      </c>
      <c r="D11" s="50">
        <v>0</v>
      </c>
      <c r="E11" s="50">
        <v>5508.6521545764317</v>
      </c>
      <c r="F11" s="50">
        <v>1340.714320418338</v>
      </c>
      <c r="G11" s="50">
        <v>2932.1909970807942</v>
      </c>
      <c r="H11" s="50">
        <v>0</v>
      </c>
      <c r="I11" s="50">
        <v>5508.6521545764317</v>
      </c>
      <c r="J11" s="50">
        <v>9998.3791489429968</v>
      </c>
    </row>
    <row r="12" spans="1:10" x14ac:dyDescent="0.2">
      <c r="A12" s="7">
        <v>10</v>
      </c>
      <c r="B12" s="50">
        <v>5519.5088782697594</v>
      </c>
      <c r="C12" s="50">
        <v>681.70853652901587</v>
      </c>
      <c r="D12" s="50">
        <v>0</v>
      </c>
      <c r="E12" s="50">
        <v>4641.8720322463068</v>
      </c>
      <c r="F12" s="50">
        <v>1337.49648561821</v>
      </c>
      <c r="G12" s="50">
        <v>2446.827768036565</v>
      </c>
      <c r="H12" s="50">
        <v>0</v>
      </c>
      <c r="I12" s="50">
        <v>4641.8720322463068</v>
      </c>
      <c r="J12" s="50">
        <v>8090.8856908310372</v>
      </c>
    </row>
    <row r="13" spans="1:10" x14ac:dyDescent="0.2">
      <c r="A13" s="7">
        <v>11</v>
      </c>
      <c r="B13" s="50">
        <v>6678.7285460598296</v>
      </c>
      <c r="C13" s="50">
        <v>1394.700781860884</v>
      </c>
      <c r="D13" s="50">
        <v>0</v>
      </c>
      <c r="E13" s="50">
        <v>5683.4328923542944</v>
      </c>
      <c r="F13" s="50">
        <v>1341.4307408212121</v>
      </c>
      <c r="G13" s="50">
        <v>3029.4825571405781</v>
      </c>
      <c r="H13" s="50">
        <v>0</v>
      </c>
      <c r="I13" s="50">
        <v>5683.4328923542944</v>
      </c>
      <c r="J13" s="50">
        <v>10358.037789234681</v>
      </c>
    </row>
    <row r="14" spans="1:10" x14ac:dyDescent="0.2">
      <c r="A14" s="7">
        <v>12</v>
      </c>
      <c r="B14" s="50">
        <v>5613.3254135647512</v>
      </c>
      <c r="C14" s="50">
        <v>740.46420531499098</v>
      </c>
      <c r="D14" s="50">
        <v>0</v>
      </c>
      <c r="E14" s="50">
        <v>4727.7061642570898</v>
      </c>
      <c r="F14" s="50">
        <v>1337.825564874825</v>
      </c>
      <c r="G14" s="50">
        <v>2495.2568996015139</v>
      </c>
      <c r="H14" s="50">
        <v>0</v>
      </c>
      <c r="I14" s="50">
        <v>4727.7061642570898</v>
      </c>
      <c r="J14" s="50">
        <v>8277.4385425691744</v>
      </c>
    </row>
    <row r="15" spans="1:10" x14ac:dyDescent="0.2">
      <c r="A15" s="7">
        <v>13</v>
      </c>
      <c r="B15" s="50">
        <v>6903.1775657372355</v>
      </c>
      <c r="C15" s="50">
        <v>1526.7512560477239</v>
      </c>
      <c r="D15" s="50">
        <v>0</v>
      </c>
      <c r="E15" s="50">
        <v>5882.2852428507686</v>
      </c>
      <c r="F15" s="50">
        <v>1342.2326435213331</v>
      </c>
      <c r="G15" s="50">
        <v>3140.1548603236329</v>
      </c>
      <c r="H15" s="50">
        <v>0</v>
      </c>
      <c r="I15" s="50">
        <v>5882.2852428507686</v>
      </c>
      <c r="J15" s="50">
        <v>10773.979158375319</v>
      </c>
    </row>
    <row r="16" spans="1:10" x14ac:dyDescent="0.2">
      <c r="A16" s="7">
        <v>14</v>
      </c>
      <c r="B16" s="50">
        <v>5719.4664533747109</v>
      </c>
      <c r="C16" s="50">
        <v>806.13395816225147</v>
      </c>
      <c r="D16" s="50">
        <v>0</v>
      </c>
      <c r="E16" s="50">
        <v>4824.5239784067962</v>
      </c>
      <c r="F16" s="50">
        <v>1338.2090429205309</v>
      </c>
      <c r="G16" s="50">
        <v>2549.7680454459241</v>
      </c>
      <c r="H16" s="50">
        <v>0</v>
      </c>
      <c r="I16" s="50">
        <v>4824.5239784067962</v>
      </c>
      <c r="J16" s="50">
        <v>8485.192285069139</v>
      </c>
    </row>
    <row r="17" spans="1:10" x14ac:dyDescent="0.2">
      <c r="A17" s="7">
        <v>15</v>
      </c>
      <c r="B17" s="50">
        <v>7154.898410335747</v>
      </c>
      <c r="C17" s="50">
        <v>1676.5333555764989</v>
      </c>
      <c r="D17" s="50">
        <v>0</v>
      </c>
      <c r="E17" s="50">
        <v>6103.6089031960892</v>
      </c>
      <c r="F17" s="50">
        <v>1343.122312181717</v>
      </c>
      <c r="G17" s="50">
        <v>3264.6463355732449</v>
      </c>
      <c r="H17" s="50">
        <v>0</v>
      </c>
      <c r="I17" s="50">
        <v>6103.6089031960892</v>
      </c>
      <c r="J17" s="50">
        <v>11246.84595927487</v>
      </c>
    </row>
    <row r="18" spans="1:10" x14ac:dyDescent="0.2">
      <c r="A18" s="7">
        <v>16</v>
      </c>
      <c r="B18" s="50">
        <v>5838.4632894381366</v>
      </c>
      <c r="C18" s="50">
        <v>878.92312556420165</v>
      </c>
      <c r="D18" s="50">
        <v>0</v>
      </c>
      <c r="E18" s="50">
        <v>4932.7316566686613</v>
      </c>
      <c r="F18" s="50">
        <v>1338.629607241714</v>
      </c>
      <c r="G18" s="50">
        <v>2610.1903642352272</v>
      </c>
      <c r="H18" s="50">
        <v>0</v>
      </c>
      <c r="I18" s="50">
        <v>4932.7316566686613</v>
      </c>
      <c r="J18" s="50">
        <v>8715.6262059561523</v>
      </c>
    </row>
    <row r="19" spans="1:10" x14ac:dyDescent="0.2">
      <c r="A19" s="7">
        <v>17</v>
      </c>
      <c r="B19" s="50">
        <v>7434.0187628804106</v>
      </c>
      <c r="C19" s="50">
        <v>1842.9127137315411</v>
      </c>
      <c r="D19" s="50">
        <v>0</v>
      </c>
      <c r="E19" s="50">
        <v>6347.5535004483991</v>
      </c>
      <c r="F19" s="50">
        <v>1344.0991258749241</v>
      </c>
      <c r="G19" s="50">
        <v>3402.9099133452441</v>
      </c>
      <c r="H19" s="50">
        <v>0</v>
      </c>
      <c r="I19" s="50">
        <v>6347.5535004483991</v>
      </c>
      <c r="J19" s="50">
        <v>11772.48948471718</v>
      </c>
    </row>
    <row r="20" spans="1:10" x14ac:dyDescent="0.2">
      <c r="A20" s="7">
        <v>18</v>
      </c>
      <c r="B20" s="50">
        <v>5969.4193085855204</v>
      </c>
      <c r="C20" s="50">
        <v>959.31750625582754</v>
      </c>
      <c r="D20" s="50">
        <v>0</v>
      </c>
      <c r="E20" s="50">
        <v>5051.1734896245816</v>
      </c>
      <c r="F20" s="50">
        <v>1339.075260754576</v>
      </c>
      <c r="G20" s="50">
        <v>2676.476821227147</v>
      </c>
      <c r="H20" s="50">
        <v>0</v>
      </c>
      <c r="I20" s="50">
        <v>5051.1734896245816</v>
      </c>
      <c r="J20" s="50">
        <v>8970.9999601564086</v>
      </c>
    </row>
    <row r="21" spans="1:10" x14ac:dyDescent="0.2">
      <c r="A21" s="7">
        <v>19</v>
      </c>
      <c r="B21" s="50">
        <v>7744.380810748602</v>
      </c>
      <c r="C21" s="50">
        <v>2025.7887222282411</v>
      </c>
      <c r="D21" s="50">
        <v>0</v>
      </c>
      <c r="E21" s="50">
        <v>6617.962829033464</v>
      </c>
      <c r="F21" s="50">
        <v>1345.160281442357</v>
      </c>
      <c r="G21" s="50">
        <v>3555.3365134915221</v>
      </c>
      <c r="H21" s="50">
        <v>0</v>
      </c>
      <c r="I21" s="50">
        <v>6617.962829033464</v>
      </c>
      <c r="J21" s="50">
        <v>12350.495872449501</v>
      </c>
    </row>
    <row r="22" spans="1:10" x14ac:dyDescent="0.2">
      <c r="A22" s="7">
        <v>20</v>
      </c>
      <c r="B22" s="50">
        <v>6113.7484134625438</v>
      </c>
      <c r="C22" s="50">
        <v>1046.9570375282731</v>
      </c>
      <c r="D22" s="50">
        <v>0</v>
      </c>
      <c r="E22" s="50">
        <v>5181.2805132740104</v>
      </c>
      <c r="F22" s="50">
        <v>1339.5414959822281</v>
      </c>
      <c r="G22" s="50">
        <v>2748.4218854880019</v>
      </c>
      <c r="H22" s="50">
        <v>0</v>
      </c>
      <c r="I22" s="50">
        <v>5181.2805132740104</v>
      </c>
      <c r="J22" s="50">
        <v>9250.2326914280929</v>
      </c>
    </row>
    <row r="23" spans="1:10" x14ac:dyDescent="0.2">
      <c r="A23" s="7">
        <v>21</v>
      </c>
      <c r="B23" s="50">
        <v>8089.8261142106358</v>
      </c>
      <c r="C23" s="50">
        <v>2227.1179229397089</v>
      </c>
      <c r="D23" s="50">
        <v>0</v>
      </c>
      <c r="E23" s="50">
        <v>6918.0772220556828</v>
      </c>
      <c r="F23" s="50">
        <v>1346.292948796588</v>
      </c>
      <c r="G23" s="50">
        <v>3722.7120107598971</v>
      </c>
      <c r="H23" s="50">
        <v>0</v>
      </c>
      <c r="I23" s="50">
        <v>6918.0772220556828</v>
      </c>
      <c r="J23" s="50">
        <v>12988.220383912911</v>
      </c>
    </row>
    <row r="24" spans="1:10" x14ac:dyDescent="0.2">
      <c r="A24" s="7">
        <v>22</v>
      </c>
      <c r="B24" s="50">
        <v>6269.7227065908583</v>
      </c>
      <c r="C24" s="50">
        <v>1141.841141230705</v>
      </c>
      <c r="D24" s="50">
        <v>0</v>
      </c>
      <c r="E24" s="50">
        <v>5321.1456978227297</v>
      </c>
      <c r="F24" s="50">
        <v>1340.0071497952231</v>
      </c>
      <c r="G24" s="50">
        <v>2825.3380418468992</v>
      </c>
      <c r="H24" s="50">
        <v>0</v>
      </c>
      <c r="I24" s="50">
        <v>5321.1456978227297</v>
      </c>
      <c r="J24" s="50">
        <v>9554.364405929824</v>
      </c>
    </row>
    <row r="25" spans="1:10" x14ac:dyDescent="0.2">
      <c r="A25" s="7">
        <v>23</v>
      </c>
      <c r="B25" s="50">
        <v>8473.1923581287829</v>
      </c>
      <c r="C25" s="50">
        <v>2449.3192926778252</v>
      </c>
      <c r="D25" s="50">
        <v>0</v>
      </c>
      <c r="E25" s="50">
        <v>7249.8798929227742</v>
      </c>
      <c r="F25" s="50">
        <v>1347.488092549906</v>
      </c>
      <c r="G25" s="50">
        <v>3905.8773927092479</v>
      </c>
      <c r="H25" s="50">
        <v>0</v>
      </c>
      <c r="I25" s="50">
        <v>7249.8798929227742</v>
      </c>
      <c r="J25" s="50">
        <v>13694.51972359026</v>
      </c>
    </row>
    <row r="26" spans="1:10" x14ac:dyDescent="0.2">
      <c r="A26" s="7">
        <v>24</v>
      </c>
      <c r="B26" s="50">
        <v>6435.8902001114402</v>
      </c>
      <c r="C26" s="50">
        <v>1243.076810962182</v>
      </c>
      <c r="D26" s="50">
        <v>0</v>
      </c>
      <c r="E26" s="50">
        <v>5469.3690122218068</v>
      </c>
      <c r="F26" s="50">
        <v>1340.4593786188741</v>
      </c>
      <c r="G26" s="50">
        <v>2906.2956738741241</v>
      </c>
      <c r="H26" s="50">
        <v>0</v>
      </c>
      <c r="I26" s="50">
        <v>5469.3690122218068</v>
      </c>
      <c r="J26" s="50">
        <v>9880.9138656352206</v>
      </c>
    </row>
    <row r="27" spans="1:10" x14ac:dyDescent="0.2">
      <c r="A27" s="7">
        <v>25</v>
      </c>
      <c r="B27" s="50">
        <v>8896.1466933405936</v>
      </c>
      <c r="C27" s="50">
        <v>2694.1649453555219</v>
      </c>
      <c r="D27" s="50">
        <v>0</v>
      </c>
      <c r="E27" s="50">
        <v>7614.2777862507246</v>
      </c>
      <c r="F27" s="50">
        <v>1348.7426080833391</v>
      </c>
      <c r="G27" s="50">
        <v>4105.4003773903532</v>
      </c>
      <c r="H27" s="50">
        <v>0</v>
      </c>
      <c r="I27" s="50">
        <v>7614.2777862507246</v>
      </c>
      <c r="J27" s="50">
        <v>14475.715444341409</v>
      </c>
    </row>
    <row r="28" spans="1:10" x14ac:dyDescent="0.2">
      <c r="A28" s="7">
        <v>26</v>
      </c>
      <c r="B28" s="50">
        <v>6610.460543012161</v>
      </c>
      <c r="C28" s="50">
        <v>1350.6919670666939</v>
      </c>
      <c r="D28" s="50">
        <v>0</v>
      </c>
      <c r="E28" s="50">
        <v>5623.9670237832124</v>
      </c>
      <c r="F28" s="50">
        <v>1340.905911814647</v>
      </c>
      <c r="G28" s="50">
        <v>2991.2876260646681</v>
      </c>
      <c r="H28" s="50">
        <v>0</v>
      </c>
      <c r="I28" s="50">
        <v>5623.9670237832124</v>
      </c>
      <c r="J28" s="50">
        <v>10229.67434028609</v>
      </c>
    </row>
    <row r="29" spans="1:10" x14ac:dyDescent="0.2">
      <c r="A29" s="7">
        <v>27</v>
      </c>
      <c r="B29" s="50">
        <v>9359.9013787173662</v>
      </c>
      <c r="C29" s="50">
        <v>2963.1865921784629</v>
      </c>
      <c r="D29" s="50">
        <v>0</v>
      </c>
      <c r="E29" s="50">
        <v>8011.7377524826315</v>
      </c>
      <c r="F29" s="50">
        <v>1350.068915078984</v>
      </c>
      <c r="G29" s="50">
        <v>4322.1255462808949</v>
      </c>
      <c r="H29" s="50">
        <v>0</v>
      </c>
      <c r="I29" s="50">
        <v>8011.7377524826315</v>
      </c>
      <c r="J29" s="50">
        <v>15336.56030978301</v>
      </c>
    </row>
    <row r="30" spans="1:10" x14ac:dyDescent="0.2">
      <c r="A30" s="7">
        <v>28</v>
      </c>
      <c r="B30" s="50">
        <v>6794.2268818878374</v>
      </c>
      <c r="C30" s="50">
        <v>1464.0622992332369</v>
      </c>
      <c r="D30" s="50">
        <v>0</v>
      </c>
      <c r="E30" s="50">
        <v>5785.8383682782996</v>
      </c>
      <c r="F30" s="50">
        <v>1341.3663883434269</v>
      </c>
      <c r="G30" s="50">
        <v>3080.551711299016</v>
      </c>
      <c r="H30" s="50">
        <v>0</v>
      </c>
      <c r="I30" s="50">
        <v>5785.8383682782996</v>
      </c>
      <c r="J30" s="50">
        <v>10597.51044094473</v>
      </c>
    </row>
    <row r="31" spans="1:10" x14ac:dyDescent="0.2">
      <c r="A31" s="7">
        <v>29</v>
      </c>
      <c r="B31" s="50">
        <v>9862.6003623264824</v>
      </c>
      <c r="C31" s="50">
        <v>3255.243372767291</v>
      </c>
      <c r="D31" s="50">
        <v>0</v>
      </c>
      <c r="E31" s="50">
        <v>8440.4611114547843</v>
      </c>
      <c r="F31" s="50">
        <v>1351.447268604134</v>
      </c>
      <c r="G31" s="50">
        <v>4554.9024730224628</v>
      </c>
      <c r="H31" s="50">
        <v>0</v>
      </c>
      <c r="I31" s="50">
        <v>8440.4611114547843</v>
      </c>
      <c r="J31" s="50">
        <v>16273.84647522902</v>
      </c>
    </row>
    <row r="32" spans="1:10" x14ac:dyDescent="0.2">
      <c r="A32" s="7">
        <v>30</v>
      </c>
      <c r="B32" s="50">
        <v>6990.9414350783718</v>
      </c>
      <c r="C32" s="50">
        <v>1583.144931632291</v>
      </c>
      <c r="D32" s="50">
        <v>0</v>
      </c>
      <c r="E32" s="50">
        <v>5958.8820812881413</v>
      </c>
      <c r="F32" s="50">
        <v>1341.8478544881109</v>
      </c>
      <c r="G32" s="50">
        <v>3174.3202533699018</v>
      </c>
      <c r="H32" s="50">
        <v>0</v>
      </c>
      <c r="I32" s="50">
        <v>5958.8820812881413</v>
      </c>
      <c r="J32" s="50">
        <v>10983.90918750643</v>
      </c>
    </row>
    <row r="33" spans="1:10" x14ac:dyDescent="0.2">
      <c r="A33" s="7">
        <v>31</v>
      </c>
      <c r="B33" s="50">
        <v>10404.85117264361</v>
      </c>
      <c r="C33" s="50">
        <v>3569.578972427018</v>
      </c>
      <c r="D33" s="50">
        <v>0</v>
      </c>
      <c r="E33" s="50">
        <v>8901.2352487785829</v>
      </c>
      <c r="F33" s="50">
        <v>1352.8689105425151</v>
      </c>
      <c r="G33" s="50">
        <v>4802.959083542497</v>
      </c>
      <c r="H33" s="50">
        <v>0</v>
      </c>
      <c r="I33" s="50">
        <v>8901.2352487785829</v>
      </c>
      <c r="J33" s="50">
        <v>17285.227704011439</v>
      </c>
    </row>
    <row r="34" spans="1:10" x14ac:dyDescent="0.2">
      <c r="A34" s="7">
        <v>32</v>
      </c>
      <c r="B34" s="50">
        <v>7202.4342873611076</v>
      </c>
      <c r="C34" s="50">
        <v>1709.9536597630411</v>
      </c>
      <c r="D34" s="50">
        <v>0</v>
      </c>
      <c r="E34" s="50">
        <v>6144.3982761236048</v>
      </c>
      <c r="F34" s="50">
        <v>1342.347240163243</v>
      </c>
      <c r="G34" s="50">
        <v>3273.2214938821339</v>
      </c>
      <c r="H34" s="50">
        <v>0</v>
      </c>
      <c r="I34" s="50">
        <v>6144.3982761236048</v>
      </c>
      <c r="J34" s="50">
        <v>11396.13928437054</v>
      </c>
    </row>
    <row r="35" spans="1:10" x14ac:dyDescent="0.2">
      <c r="A35" s="7">
        <v>33</v>
      </c>
      <c r="B35" s="50">
        <v>10987.64595961667</v>
      </c>
      <c r="C35" s="50">
        <v>3908.645249733017</v>
      </c>
      <c r="D35" s="50">
        <v>0</v>
      </c>
      <c r="E35" s="50">
        <v>9393.9771817788933</v>
      </c>
      <c r="F35" s="50">
        <v>1354.36529401553</v>
      </c>
      <c r="G35" s="50">
        <v>5067.8810142087059</v>
      </c>
      <c r="H35" s="50">
        <v>0</v>
      </c>
      <c r="I35" s="50">
        <v>9393.9771817788933</v>
      </c>
      <c r="J35" s="50">
        <v>18377.834471047761</v>
      </c>
    </row>
    <row r="36" spans="1:10" x14ac:dyDescent="0.2">
      <c r="A36" s="7">
        <v>34</v>
      </c>
      <c r="B36" s="50">
        <v>7432.5212221173961</v>
      </c>
      <c r="C36" s="50">
        <v>1846.556473041144</v>
      </c>
      <c r="D36" s="50">
        <v>0</v>
      </c>
      <c r="E36" s="50">
        <v>6345.6985306809329</v>
      </c>
      <c r="F36" s="50">
        <v>1342.882094607394</v>
      </c>
      <c r="G36" s="50">
        <v>3378.4088604383801</v>
      </c>
      <c r="H36" s="50">
        <v>0</v>
      </c>
      <c r="I36" s="50">
        <v>6345.6985306809329</v>
      </c>
      <c r="J36" s="50">
        <v>11840.69320793149</v>
      </c>
    </row>
    <row r="37" spans="1:10" x14ac:dyDescent="0.2">
      <c r="A37" s="7">
        <v>35</v>
      </c>
      <c r="B37" s="50">
        <v>11615.7371469023</v>
      </c>
      <c r="C37" s="50">
        <v>4273.9539654729087</v>
      </c>
      <c r="D37" s="50">
        <v>0</v>
      </c>
      <c r="E37" s="50">
        <v>9923.0369603056315</v>
      </c>
      <c r="F37" s="50">
        <v>1355.9925226534031</v>
      </c>
      <c r="G37" s="50">
        <v>5351.8825116612352</v>
      </c>
      <c r="H37" s="50">
        <v>0</v>
      </c>
      <c r="I37" s="50">
        <v>9923.0369603056315</v>
      </c>
      <c r="J37" s="50">
        <v>19554.311345401849</v>
      </c>
    </row>
    <row r="38" spans="1:10" x14ac:dyDescent="0.2">
      <c r="A38" s="7">
        <v>36</v>
      </c>
      <c r="B38" s="50">
        <v>7680.2480413161156</v>
      </c>
      <c r="C38" s="50">
        <v>1995.4811512176459</v>
      </c>
      <c r="D38" s="50">
        <v>0</v>
      </c>
      <c r="E38" s="50">
        <v>6560.8384595034931</v>
      </c>
      <c r="F38" s="50">
        <v>1343.4727175163241</v>
      </c>
      <c r="G38" s="50">
        <v>3491.262901593806</v>
      </c>
      <c r="H38" s="50">
        <v>0</v>
      </c>
      <c r="I38" s="50">
        <v>6560.8384595034931</v>
      </c>
      <c r="J38" s="50">
        <v>12325.550632567751</v>
      </c>
    </row>
    <row r="39" spans="1:10" x14ac:dyDescent="0.2">
      <c r="A39" s="7">
        <v>37</v>
      </c>
      <c r="B39" s="50">
        <v>12296.217125505589</v>
      </c>
      <c r="C39" s="50">
        <v>4668.2564032371374</v>
      </c>
      <c r="D39" s="50">
        <v>0</v>
      </c>
      <c r="E39" s="50">
        <v>10494.834892060049</v>
      </c>
      <c r="F39" s="50">
        <v>1357.799447460457</v>
      </c>
      <c r="G39" s="50">
        <v>5657.7949286202856</v>
      </c>
      <c r="H39" s="50">
        <v>0</v>
      </c>
      <c r="I39" s="50">
        <v>10494.834892060049</v>
      </c>
      <c r="J39" s="50">
        <v>20821.89671700574</v>
      </c>
    </row>
    <row r="40" spans="1:10" x14ac:dyDescent="0.2">
      <c r="A40" s="7">
        <v>38</v>
      </c>
      <c r="B40" s="50">
        <v>7945.7782601325298</v>
      </c>
      <c r="C40" s="50">
        <v>2156.7806730844568</v>
      </c>
      <c r="D40" s="50">
        <v>0</v>
      </c>
      <c r="E40" s="50">
        <v>6789.7628813518131</v>
      </c>
      <c r="F40" s="50">
        <v>1344.158708608014</v>
      </c>
      <c r="G40" s="50">
        <v>3613.016986968069</v>
      </c>
      <c r="H40" s="50">
        <v>0</v>
      </c>
      <c r="I40" s="50">
        <v>6789.7628813518131</v>
      </c>
      <c r="J40" s="50">
        <v>12848.94887444401</v>
      </c>
    </row>
    <row r="41" spans="1:10" x14ac:dyDescent="0.2">
      <c r="A41" s="7">
        <v>39</v>
      </c>
      <c r="B41" s="50">
        <v>13037.715556967811</v>
      </c>
      <c r="C41" s="50">
        <v>5097.0344404578718</v>
      </c>
      <c r="D41" s="50">
        <v>0</v>
      </c>
      <c r="E41" s="50">
        <v>11116.248236902889</v>
      </c>
      <c r="F41" s="50">
        <v>1359.8541907587351</v>
      </c>
      <c r="G41" s="50">
        <v>5990.3318590948547</v>
      </c>
      <c r="H41" s="50">
        <v>0</v>
      </c>
      <c r="I41" s="50">
        <v>11116.248236902889</v>
      </c>
      <c r="J41" s="50">
        <v>22196.500931697999</v>
      </c>
    </row>
    <row r="42" spans="1:10" x14ac:dyDescent="0.2">
      <c r="A42" s="7">
        <v>40</v>
      </c>
      <c r="B42" s="50">
        <v>8230.2212192765201</v>
      </c>
      <c r="C42" s="50">
        <v>2329.9956026380678</v>
      </c>
      <c r="D42" s="50">
        <v>0</v>
      </c>
      <c r="E42" s="50">
        <v>7033.6222152604059</v>
      </c>
      <c r="F42" s="50">
        <v>1344.967986722688</v>
      </c>
      <c r="G42" s="50">
        <v>3744.7770643458971</v>
      </c>
      <c r="H42" s="50">
        <v>0</v>
      </c>
      <c r="I42" s="50">
        <v>7033.6222152604059</v>
      </c>
      <c r="J42" s="50">
        <v>13407.748608167611</v>
      </c>
    </row>
    <row r="43" spans="1:10" x14ac:dyDescent="0.2">
      <c r="A43" s="7">
        <v>41</v>
      </c>
      <c r="B43" s="50">
        <v>13840.65868469144</v>
      </c>
      <c r="C43" s="50">
        <v>5563.2666062058852</v>
      </c>
      <c r="D43" s="50">
        <v>0</v>
      </c>
      <c r="E43" s="50">
        <v>11786.192385549801</v>
      </c>
      <c r="F43" s="50">
        <v>1362.181815631367</v>
      </c>
      <c r="G43" s="50">
        <v>6352.3071171024494</v>
      </c>
      <c r="H43" s="50">
        <v>0</v>
      </c>
      <c r="I43" s="50">
        <v>11786.192385549801</v>
      </c>
      <c r="J43" s="50">
        <v>23687.01414332198</v>
      </c>
    </row>
    <row r="44" spans="1:10" x14ac:dyDescent="0.2">
      <c r="A44" s="7">
        <v>42</v>
      </c>
      <c r="B44" s="50">
        <v>8530.6214999906861</v>
      </c>
      <c r="C44" s="50">
        <v>2515.5065268622461</v>
      </c>
      <c r="D44" s="50">
        <v>0</v>
      </c>
      <c r="E44" s="50">
        <v>7288.9664835760923</v>
      </c>
      <c r="F44" s="50">
        <v>1345.919644298647</v>
      </c>
      <c r="G44" s="50">
        <v>3888.0585759962828</v>
      </c>
      <c r="H44" s="50">
        <v>0</v>
      </c>
      <c r="I44" s="50">
        <v>7288.9664835760923</v>
      </c>
      <c r="J44" s="50">
        <v>14002.10062228702</v>
      </c>
    </row>
    <row r="45" spans="1:10" x14ac:dyDescent="0.2">
      <c r="A45" s="7">
        <v>43</v>
      </c>
      <c r="B45" s="50">
        <v>14707.248622478999</v>
      </c>
      <c r="C45" s="50">
        <v>6065.1229515761806</v>
      </c>
      <c r="D45" s="50">
        <v>0</v>
      </c>
      <c r="E45" s="50">
        <v>12507.82370786293</v>
      </c>
      <c r="F45" s="50">
        <v>1364.7778313754529</v>
      </c>
      <c r="G45" s="50">
        <v>6744.2155438478148</v>
      </c>
      <c r="H45" s="50">
        <v>0</v>
      </c>
      <c r="I45" s="50">
        <v>12507.82370786293</v>
      </c>
      <c r="J45" s="50">
        <v>25286.62458203526</v>
      </c>
    </row>
    <row r="46" spans="1:10" x14ac:dyDescent="0.2">
      <c r="A46" s="7">
        <v>44</v>
      </c>
      <c r="B46" s="50">
        <v>8852.4535884456764</v>
      </c>
      <c r="C46" s="50">
        <v>2710.1741360952551</v>
      </c>
      <c r="D46" s="50">
        <v>0</v>
      </c>
      <c r="E46" s="50">
        <v>7562.6787713720387</v>
      </c>
      <c r="F46" s="50">
        <v>1347.012134486708</v>
      </c>
      <c r="G46" s="50">
        <v>4042.8688616931358</v>
      </c>
      <c r="H46" s="50">
        <v>0</v>
      </c>
      <c r="I46" s="50">
        <v>7562.6787713720387</v>
      </c>
      <c r="J46" s="50">
        <v>14620.58925648994</v>
      </c>
    </row>
    <row r="47" spans="1:10" x14ac:dyDescent="0.2">
      <c r="A47" s="7">
        <v>45</v>
      </c>
      <c r="B47" s="50">
        <v>15643.406014032689</v>
      </c>
      <c r="C47" s="50">
        <v>6604.6896254930834</v>
      </c>
      <c r="D47" s="50">
        <v>0</v>
      </c>
      <c r="E47" s="50">
        <v>13286.68199833612</v>
      </c>
      <c r="F47" s="50">
        <v>1367.64270893819</v>
      </c>
      <c r="G47" s="50">
        <v>7168.3543073731998</v>
      </c>
      <c r="H47" s="50">
        <v>0</v>
      </c>
      <c r="I47" s="50">
        <v>13286.68199833612</v>
      </c>
      <c r="J47" s="50">
        <v>27001.985190032628</v>
      </c>
    </row>
    <row r="48" spans="1:10" x14ac:dyDescent="0.2">
      <c r="A48" s="7">
        <v>46</v>
      </c>
      <c r="B48" s="50">
        <v>9202.5626281408568</v>
      </c>
      <c r="C48" s="50">
        <v>2918.684726202926</v>
      </c>
      <c r="D48" s="50">
        <v>0</v>
      </c>
      <c r="E48" s="50">
        <v>7860.364026103005</v>
      </c>
      <c r="F48" s="50">
        <v>1348.2536258758189</v>
      </c>
      <c r="G48" s="50">
        <v>4212.5901321920364</v>
      </c>
      <c r="H48" s="50">
        <v>0</v>
      </c>
      <c r="I48" s="50">
        <v>7860.364026103005</v>
      </c>
      <c r="J48" s="50">
        <v>15278.93253036549</v>
      </c>
    </row>
    <row r="49" spans="1:10" x14ac:dyDescent="0.2">
      <c r="A49" s="7">
        <v>47</v>
      </c>
      <c r="B49" s="50">
        <v>16657.839773294651</v>
      </c>
      <c r="C49" s="50">
        <v>7186.4661358188896</v>
      </c>
      <c r="D49" s="50">
        <v>0</v>
      </c>
      <c r="E49" s="50">
        <v>14130.25255449971</v>
      </c>
      <c r="F49" s="50">
        <v>1370.792494841327</v>
      </c>
      <c r="G49" s="50">
        <v>7628.4383361358268</v>
      </c>
      <c r="H49" s="50">
        <v>0</v>
      </c>
      <c r="I49" s="50">
        <v>14130.25255449971</v>
      </c>
      <c r="J49" s="50">
        <v>28847.500087131299</v>
      </c>
    </row>
    <row r="50" spans="1:10" x14ac:dyDescent="0.2">
      <c r="A50" s="7">
        <v>48</v>
      </c>
      <c r="B50" s="50">
        <v>9586.6275402964875</v>
      </c>
      <c r="C50" s="50">
        <v>3145.043853619773</v>
      </c>
      <c r="D50" s="50">
        <v>0</v>
      </c>
      <c r="E50" s="50">
        <v>8186.5293613737631</v>
      </c>
      <c r="F50" s="50">
        <v>1349.650407513604</v>
      </c>
      <c r="G50" s="50">
        <v>4400.2717375558277</v>
      </c>
      <c r="H50" s="50">
        <v>0</v>
      </c>
      <c r="I50" s="50">
        <v>8186.5293613737631</v>
      </c>
      <c r="J50" s="50">
        <v>15990.529273513661</v>
      </c>
    </row>
    <row r="51" spans="1:10" x14ac:dyDescent="0.2">
      <c r="A51" s="7">
        <v>49</v>
      </c>
      <c r="B51" s="50">
        <v>17763.432545046981</v>
      </c>
      <c r="C51" s="50">
        <v>7816.1830847354358</v>
      </c>
      <c r="D51" s="50">
        <v>0</v>
      </c>
      <c r="E51" s="50">
        <v>15050.080031762091</v>
      </c>
      <c r="F51" s="50">
        <v>1374.2536144475159</v>
      </c>
      <c r="G51" s="50">
        <v>8129.0024165141949</v>
      </c>
      <c r="H51" s="50">
        <v>0</v>
      </c>
      <c r="I51" s="50">
        <v>15050.080031762091</v>
      </c>
      <c r="J51" s="50">
        <v>30841.403945844209</v>
      </c>
    </row>
    <row r="52" spans="1:10" x14ac:dyDescent="0.2">
      <c r="A52" s="7">
        <v>50</v>
      </c>
      <c r="B52" s="50">
        <v>10017.68308706216</v>
      </c>
      <c r="C52" s="50">
        <v>3393.2148092609418</v>
      </c>
      <c r="D52" s="50">
        <v>0</v>
      </c>
      <c r="E52" s="50">
        <v>8553.594361014586</v>
      </c>
      <c r="F52" s="50">
        <v>1351.221395859342</v>
      </c>
      <c r="G52" s="50">
        <v>4609.3792663189997</v>
      </c>
      <c r="H52" s="50">
        <v>0</v>
      </c>
      <c r="I52" s="50">
        <v>8553.594361014586</v>
      </c>
      <c r="J52" s="50">
        <v>16768.03256609743</v>
      </c>
    </row>
    <row r="53" spans="1:10" x14ac:dyDescent="0.2">
      <c r="A53" s="7">
        <v>51</v>
      </c>
      <c r="B53" s="50">
        <v>18970.76313058686</v>
      </c>
      <c r="C53" s="50">
        <v>8500.2296449700807</v>
      </c>
      <c r="D53" s="50">
        <v>0</v>
      </c>
      <c r="E53" s="50">
        <v>16054.795634899951</v>
      </c>
      <c r="F53" s="50">
        <v>1378.018917317662</v>
      </c>
      <c r="G53" s="50">
        <v>8673.7599553623004</v>
      </c>
      <c r="H53" s="50">
        <v>0</v>
      </c>
      <c r="I53" s="50">
        <v>16054.795634899951</v>
      </c>
      <c r="J53" s="50">
        <v>33005.461366677737</v>
      </c>
    </row>
    <row r="54" spans="1:10" x14ac:dyDescent="0.2">
      <c r="A54" s="7">
        <v>52</v>
      </c>
      <c r="B54" s="50">
        <v>10506.937747545249</v>
      </c>
      <c r="C54" s="50">
        <v>3670.08542339324</v>
      </c>
      <c r="D54" s="50">
        <v>0</v>
      </c>
      <c r="E54" s="50">
        <v>8970.8342739534091</v>
      </c>
      <c r="F54" s="50">
        <v>1352.954534917561</v>
      </c>
      <c r="G54" s="50">
        <v>4843.3690163341053</v>
      </c>
      <c r="H54" s="50">
        <v>0</v>
      </c>
      <c r="I54" s="50">
        <v>8970.8342739534091</v>
      </c>
      <c r="J54" s="50">
        <v>17635.841506468689</v>
      </c>
    </row>
    <row r="55" spans="1:10" x14ac:dyDescent="0.2">
      <c r="A55" s="7">
        <v>53</v>
      </c>
      <c r="B55" s="50">
        <v>20288.348885643831</v>
      </c>
      <c r="C55" s="50">
        <v>9243.9101885310811</v>
      </c>
      <c r="D55" s="50">
        <v>0</v>
      </c>
      <c r="E55" s="50">
        <v>17151.24446954604</v>
      </c>
      <c r="F55" s="50">
        <v>1382.063262176642</v>
      </c>
      <c r="G55" s="50">
        <v>9265.1865771024313</v>
      </c>
      <c r="H55" s="50">
        <v>0</v>
      </c>
      <c r="I55" s="50">
        <v>17151.24446954604</v>
      </c>
      <c r="J55" s="50">
        <v>35358.218702962848</v>
      </c>
    </row>
    <row r="56" spans="1:10" x14ac:dyDescent="0.2">
      <c r="A56" s="7">
        <v>54</v>
      </c>
      <c r="B56" s="50">
        <v>11061.578719505609</v>
      </c>
      <c r="C56" s="50">
        <v>3983.2870884254771</v>
      </c>
      <c r="D56" s="50">
        <v>0</v>
      </c>
      <c r="E56" s="50">
        <v>9442.6903313081602</v>
      </c>
      <c r="F56" s="50">
        <v>1354.8585740885251</v>
      </c>
      <c r="G56" s="50">
        <v>5106.1566472492923</v>
      </c>
      <c r="H56" s="50">
        <v>0</v>
      </c>
      <c r="I56" s="50">
        <v>9442.6903313081602</v>
      </c>
      <c r="J56" s="50">
        <v>18620.09129408353</v>
      </c>
    </row>
    <row r="57" spans="1:10" x14ac:dyDescent="0.2">
      <c r="A57" s="7">
        <v>55</v>
      </c>
      <c r="B57" s="50">
        <v>21723.200075471079</v>
      </c>
      <c r="C57" s="50">
        <v>10053.534502203611</v>
      </c>
      <c r="D57" s="50">
        <v>0</v>
      </c>
      <c r="E57" s="50">
        <v>18343.957909102141</v>
      </c>
      <c r="F57" s="50">
        <v>1386.3921754572509</v>
      </c>
      <c r="G57" s="50">
        <v>9906.6335465627781</v>
      </c>
      <c r="H57" s="50">
        <v>0</v>
      </c>
      <c r="I57" s="50">
        <v>18343.957909102141</v>
      </c>
      <c r="J57" s="50">
        <v>37920.467258008437</v>
      </c>
    </row>
    <row r="58" spans="1:10" x14ac:dyDescent="0.2">
      <c r="A58" s="7">
        <v>56</v>
      </c>
      <c r="B58" s="50">
        <v>11687.500018794421</v>
      </c>
      <c r="C58" s="50">
        <v>4337.74407350814</v>
      </c>
      <c r="D58" s="50">
        <v>0</v>
      </c>
      <c r="E58" s="50">
        <v>9973.1594568168766</v>
      </c>
      <c r="F58" s="50">
        <v>1356.968884908769</v>
      </c>
      <c r="G58" s="50">
        <v>5401.2874748880886</v>
      </c>
      <c r="H58" s="50">
        <v>0</v>
      </c>
      <c r="I58" s="50">
        <v>9973.1594568168766</v>
      </c>
      <c r="J58" s="50">
        <v>19736.18014053566</v>
      </c>
    </row>
    <row r="59" spans="1:10" x14ac:dyDescent="0.2">
      <c r="A59" s="7">
        <v>57</v>
      </c>
      <c r="B59" s="50">
        <v>23296.631760459179</v>
      </c>
      <c r="C59" s="50">
        <v>10933.635533523629</v>
      </c>
      <c r="D59" s="50">
        <v>0</v>
      </c>
      <c r="E59" s="50">
        <v>19654.738278885659</v>
      </c>
      <c r="F59" s="50">
        <v>1391.0345164008179</v>
      </c>
      <c r="G59" s="50">
        <v>10601.362935534589</v>
      </c>
      <c r="H59" s="50">
        <v>0</v>
      </c>
      <c r="I59" s="50">
        <v>19654.738278885659</v>
      </c>
      <c r="J59" s="50">
        <v>40705.878940138573</v>
      </c>
    </row>
    <row r="60" spans="1:10" x14ac:dyDescent="0.2">
      <c r="A60" s="7">
        <v>58</v>
      </c>
      <c r="B60" s="50">
        <v>12394.418722534159</v>
      </c>
      <c r="C60" s="50">
        <v>4736.4995990926109</v>
      </c>
      <c r="D60" s="50">
        <v>0</v>
      </c>
      <c r="E60" s="50">
        <v>10571.214486677531</v>
      </c>
      <c r="F60" s="50">
        <v>1359.319223278231</v>
      </c>
      <c r="G60" s="50">
        <v>5731.7240789963798</v>
      </c>
      <c r="H60" s="50">
        <v>0</v>
      </c>
      <c r="I60" s="50">
        <v>10571.214486677531</v>
      </c>
      <c r="J60" s="50">
        <v>20992.88747785729</v>
      </c>
    </row>
    <row r="61" spans="1:10" x14ac:dyDescent="0.2">
      <c r="A61" s="7">
        <v>59</v>
      </c>
      <c r="B61" s="50">
        <v>25033.023812754091</v>
      </c>
      <c r="C61" s="50">
        <v>11898.64778056765</v>
      </c>
      <c r="D61" s="50">
        <v>0</v>
      </c>
      <c r="E61" s="50">
        <v>21103.537438161409</v>
      </c>
      <c r="F61" s="50">
        <v>1396.0187430981309</v>
      </c>
      <c r="G61" s="50">
        <v>11355.692008075581</v>
      </c>
      <c r="H61" s="50">
        <v>0</v>
      </c>
      <c r="I61" s="50">
        <v>21103.537438161409</v>
      </c>
      <c r="J61" s="50">
        <v>43762.475083779689</v>
      </c>
    </row>
    <row r="62" spans="1:10" x14ac:dyDescent="0.2">
      <c r="A62" s="7">
        <v>60</v>
      </c>
      <c r="B62" s="50">
        <v>13197.58900667176</v>
      </c>
      <c r="C62" s="50">
        <v>5186.505057910952</v>
      </c>
      <c r="D62" s="50">
        <v>0</v>
      </c>
      <c r="E62" s="50">
        <v>11250.21513679049</v>
      </c>
      <c r="F62" s="50">
        <v>1361.959757691322</v>
      </c>
      <c r="G62" s="50">
        <v>6102.4851046981776</v>
      </c>
      <c r="H62" s="50">
        <v>0</v>
      </c>
      <c r="I62" s="50">
        <v>11250.21513679049</v>
      </c>
      <c r="J62" s="50">
        <v>22411.973275137541</v>
      </c>
    </row>
    <row r="63" spans="1:10" x14ac:dyDescent="0.2">
      <c r="A63" s="7">
        <v>61</v>
      </c>
      <c r="B63" s="50">
        <v>26944.494441131141</v>
      </c>
      <c r="C63" s="50">
        <v>12962.84572732903</v>
      </c>
      <c r="D63" s="50">
        <v>0</v>
      </c>
      <c r="E63" s="50">
        <v>22696.205770226279</v>
      </c>
      <c r="F63" s="50">
        <v>1401.3751174382051</v>
      </c>
      <c r="G63" s="50">
        <v>12174.96446735441</v>
      </c>
      <c r="H63" s="50">
        <v>0</v>
      </c>
      <c r="I63" s="50">
        <v>22696.205770226279</v>
      </c>
      <c r="J63" s="50">
        <v>47137.594388669648</v>
      </c>
    </row>
    <row r="64" spans="1:10" x14ac:dyDescent="0.2">
      <c r="A64" s="7">
        <v>62</v>
      </c>
      <c r="B64" s="50">
        <v>14108.32693137213</v>
      </c>
      <c r="C64" s="50">
        <v>5697.3571147515904</v>
      </c>
      <c r="D64" s="50">
        <v>0</v>
      </c>
      <c r="E64" s="50">
        <v>12017.89747392547</v>
      </c>
      <c r="F64" s="50">
        <v>1364.945996882831</v>
      </c>
      <c r="G64" s="50">
        <v>6519.6904305730859</v>
      </c>
      <c r="H64" s="50">
        <v>0</v>
      </c>
      <c r="I64" s="50">
        <v>12017.89747392547</v>
      </c>
      <c r="J64" s="50">
        <v>24024.226946651321</v>
      </c>
    </row>
    <row r="65" spans="1:10" x14ac:dyDescent="0.2">
      <c r="A65" s="7">
        <v>63</v>
      </c>
      <c r="B65" s="50">
        <v>29033.276329481621</v>
      </c>
      <c r="C65" s="50">
        <v>14131.452432575719</v>
      </c>
      <c r="D65" s="50">
        <v>0</v>
      </c>
      <c r="E65" s="50">
        <v>24432.17529691536</v>
      </c>
      <c r="F65" s="50">
        <v>1407.139904284646</v>
      </c>
      <c r="G65" s="50">
        <v>13060.837644749001</v>
      </c>
      <c r="H65" s="50">
        <v>0</v>
      </c>
      <c r="I65" s="50">
        <v>24432.17529691536</v>
      </c>
      <c r="J65" s="50">
        <v>50846.941438601178</v>
      </c>
    </row>
    <row r="66" spans="1:10" x14ac:dyDescent="0.2">
      <c r="A66" s="7">
        <v>64</v>
      </c>
      <c r="B66" s="50">
        <v>15139.5970760497</v>
      </c>
      <c r="C66" s="50">
        <v>6276.5533363476934</v>
      </c>
      <c r="D66" s="50">
        <v>0</v>
      </c>
      <c r="E66" s="50">
        <v>12884.66534907375</v>
      </c>
      <c r="F66" s="50">
        <v>1368.366111791096</v>
      </c>
      <c r="G66" s="50">
        <v>6989.7829589927787</v>
      </c>
      <c r="H66" s="50">
        <v>0</v>
      </c>
      <c r="I66" s="50">
        <v>12884.66534907375</v>
      </c>
      <c r="J66" s="50">
        <v>25851.614841714822</v>
      </c>
    </row>
    <row r="67" spans="1:10" x14ac:dyDescent="0.2">
      <c r="A67" s="7">
        <v>65</v>
      </c>
      <c r="B67" s="50">
        <v>31298.188239564639</v>
      </c>
      <c r="C67" s="50">
        <v>15403.280578417571</v>
      </c>
      <c r="D67" s="50">
        <v>0</v>
      </c>
      <c r="E67" s="50">
        <v>26310.599837330548</v>
      </c>
      <c r="F67" s="50">
        <v>1413.325919386029</v>
      </c>
      <c r="G67" s="50">
        <v>14011.972504426079</v>
      </c>
      <c r="H67" s="50">
        <v>0</v>
      </c>
      <c r="I67" s="50">
        <v>26310.599837330548</v>
      </c>
      <c r="J67" s="50">
        <v>54884.684216085487</v>
      </c>
    </row>
    <row r="68" spans="1:10" x14ac:dyDescent="0.2">
      <c r="A68" s="7">
        <v>66</v>
      </c>
      <c r="B68" s="50">
        <v>16299.578917295739</v>
      </c>
      <c r="C68" s="50">
        <v>6930.8636077644624</v>
      </c>
      <c r="D68" s="50">
        <v>0</v>
      </c>
      <c r="E68" s="50">
        <v>13855.90921851036</v>
      </c>
      <c r="F68" s="50">
        <v>1372.294950900279</v>
      </c>
      <c r="G68" s="50">
        <v>7518.9360348135888</v>
      </c>
      <c r="H68" s="50">
        <v>0</v>
      </c>
      <c r="I68" s="50">
        <v>13855.90921851036</v>
      </c>
      <c r="J68" s="50">
        <v>27914.010818127441</v>
      </c>
    </row>
    <row r="69" spans="1:10" x14ac:dyDescent="0.2">
      <c r="A69" s="7">
        <v>67</v>
      </c>
      <c r="B69" s="50">
        <v>33737.928947952241</v>
      </c>
      <c r="C69" s="50">
        <v>16781.961460106599</v>
      </c>
      <c r="D69" s="50">
        <v>0</v>
      </c>
      <c r="E69" s="50">
        <v>28327.622906300789</v>
      </c>
      <c r="F69" s="50">
        <v>1420.065284384968</v>
      </c>
      <c r="G69" s="50">
        <v>15031.949348096779</v>
      </c>
      <c r="H69" s="50">
        <v>0</v>
      </c>
      <c r="I69" s="50">
        <v>28327.622906300789</v>
      </c>
      <c r="J69" s="50">
        <v>59258.287311250257</v>
      </c>
    </row>
    <row r="70" spans="1:10" x14ac:dyDescent="0.2">
      <c r="A70" s="7">
        <v>68</v>
      </c>
      <c r="B70" s="50">
        <v>17602.650658002942</v>
      </c>
      <c r="C70" s="50">
        <v>7665.5018703120149</v>
      </c>
      <c r="D70" s="50">
        <v>0</v>
      </c>
      <c r="E70" s="50">
        <v>14944.707630098061</v>
      </c>
      <c r="F70" s="50">
        <v>1376.833529287702</v>
      </c>
      <c r="G70" s="50">
        <v>8114.0996163213485</v>
      </c>
      <c r="H70" s="50">
        <v>0</v>
      </c>
      <c r="I70" s="50">
        <v>14944.707630098061</v>
      </c>
      <c r="J70" s="50">
        <v>30224.709008809728</v>
      </c>
    </row>
    <row r="71" spans="1:10" x14ac:dyDescent="0.2">
      <c r="A71" s="7">
        <v>69</v>
      </c>
      <c r="B71" s="50">
        <v>36363.8859772539</v>
      </c>
      <c r="C71" s="50">
        <v>18264.591307825001</v>
      </c>
      <c r="D71" s="50">
        <v>0</v>
      </c>
      <c r="E71" s="50">
        <v>30497.97507503274</v>
      </c>
      <c r="F71" s="50">
        <v>1427.510740942351</v>
      </c>
      <c r="G71" s="50">
        <v>16123.372137835609</v>
      </c>
      <c r="H71" s="50">
        <v>0</v>
      </c>
      <c r="I71" s="50">
        <v>30497.97507503274</v>
      </c>
      <c r="J71" s="50">
        <v>63952.805537803477</v>
      </c>
    </row>
    <row r="72" spans="1:10" x14ac:dyDescent="0.2">
      <c r="A72" s="7">
        <v>70</v>
      </c>
      <c r="B72" s="50">
        <v>19068.88645692046</v>
      </c>
      <c r="C72" s="50">
        <v>8489.5135703491251</v>
      </c>
      <c r="D72" s="50">
        <v>0</v>
      </c>
      <c r="E72" s="50">
        <v>16168.70832994897</v>
      </c>
      <c r="F72" s="50">
        <v>1382.091821486043</v>
      </c>
      <c r="G72" s="50">
        <v>8784.5662497285666</v>
      </c>
      <c r="H72" s="50">
        <v>0</v>
      </c>
      <c r="I72" s="50">
        <v>16168.70832994897</v>
      </c>
      <c r="J72" s="50">
        <v>32810.060236500169</v>
      </c>
    </row>
    <row r="73" spans="1:10" x14ac:dyDescent="0.2">
      <c r="A73" s="7">
        <v>71</v>
      </c>
      <c r="B73" s="50">
        <v>39201.909978948883</v>
      </c>
      <c r="C73" s="50">
        <v>19856.51201134958</v>
      </c>
      <c r="D73" s="50">
        <v>0</v>
      </c>
      <c r="E73" s="50">
        <v>32848.581859916623</v>
      </c>
      <c r="F73" s="50">
        <v>1435.7746121660171</v>
      </c>
      <c r="G73" s="50">
        <v>17291.195745404752</v>
      </c>
      <c r="H73" s="50">
        <v>0</v>
      </c>
      <c r="I73" s="50">
        <v>32848.581859916623</v>
      </c>
      <c r="J73" s="50">
        <v>68983.376584311918</v>
      </c>
    </row>
    <row r="74" spans="1:10" x14ac:dyDescent="0.2">
      <c r="A74" s="7">
        <v>72</v>
      </c>
      <c r="B74" s="50">
        <v>20727.217982847789</v>
      </c>
      <c r="C74" s="50">
        <v>9412.772918003262</v>
      </c>
      <c r="D74" s="50">
        <v>0</v>
      </c>
      <c r="E74" s="50">
        <v>17555.28425478331</v>
      </c>
      <c r="F74" s="50">
        <v>1388.1407106059339</v>
      </c>
      <c r="G74" s="50">
        <v>9539.2589326804009</v>
      </c>
      <c r="H74" s="50">
        <v>0</v>
      </c>
      <c r="I74" s="50">
        <v>17555.28425478331</v>
      </c>
      <c r="J74" s="50">
        <v>35700.893449147487</v>
      </c>
    </row>
    <row r="75" spans="1:10" x14ac:dyDescent="0.2">
      <c r="A75" s="7">
        <v>73</v>
      </c>
      <c r="B75" s="50">
        <v>42270.437891772926</v>
      </c>
      <c r="C75" s="50">
        <v>21568.395873257221</v>
      </c>
      <c r="D75" s="50">
        <v>0</v>
      </c>
      <c r="E75" s="50">
        <v>35394.70956031981</v>
      </c>
      <c r="F75" s="50">
        <v>1444.8411988078151</v>
      </c>
      <c r="G75" s="50">
        <v>18538.39859197347</v>
      </c>
      <c r="H75" s="50">
        <v>0</v>
      </c>
      <c r="I75" s="50">
        <v>35394.70956031981</v>
      </c>
      <c r="J75" s="50">
        <v>74386.624961197056</v>
      </c>
    </row>
    <row r="76" spans="1:10" x14ac:dyDescent="0.2">
      <c r="A76" s="7">
        <v>74</v>
      </c>
      <c r="B76" s="50">
        <v>22601.63768789903</v>
      </c>
      <c r="C76" s="50">
        <v>10451.694733487469</v>
      </c>
      <c r="D76" s="50">
        <v>0</v>
      </c>
      <c r="E76" s="50">
        <v>19122.842091363171</v>
      </c>
      <c r="F76" s="50">
        <v>1395.0208900043799</v>
      </c>
      <c r="G76" s="50">
        <v>10388.35468154875</v>
      </c>
      <c r="H76" s="50">
        <v>0</v>
      </c>
      <c r="I76" s="50">
        <v>19122.842091363171</v>
      </c>
      <c r="J76" s="50">
        <v>38952.062675073932</v>
      </c>
    </row>
    <row r="77" spans="1:10" x14ac:dyDescent="0.2">
      <c r="A77" s="7">
        <v>75</v>
      </c>
      <c r="B77" s="50">
        <v>45583.304266932573</v>
      </c>
      <c r="C77" s="50">
        <v>23409.68673496335</v>
      </c>
      <c r="D77" s="50">
        <v>0</v>
      </c>
      <c r="E77" s="50">
        <v>38146.922137897578</v>
      </c>
      <c r="F77" s="50">
        <v>1454.7191598642969</v>
      </c>
      <c r="G77" s="50">
        <v>19866.630263692179</v>
      </c>
      <c r="H77" s="50">
        <v>0</v>
      </c>
      <c r="I77" s="50">
        <v>38146.922137897578</v>
      </c>
      <c r="J77" s="50">
        <v>80194.728257270472</v>
      </c>
    </row>
    <row r="78" spans="1:10" x14ac:dyDescent="0.2">
      <c r="A78" s="7">
        <v>76</v>
      </c>
      <c r="B78" s="50">
        <v>24716.000472556949</v>
      </c>
      <c r="C78" s="50">
        <v>11617.767932943771</v>
      </c>
      <c r="D78" s="50">
        <v>0</v>
      </c>
      <c r="E78" s="50">
        <v>20892.23159544975</v>
      </c>
      <c r="F78" s="50">
        <v>1402.753699536144</v>
      </c>
      <c r="G78" s="50">
        <v>11339.12375145324</v>
      </c>
      <c r="H78" s="50">
        <v>0</v>
      </c>
      <c r="I78" s="50">
        <v>20892.23159544975</v>
      </c>
      <c r="J78" s="50">
        <v>42601.996430645173</v>
      </c>
    </row>
    <row r="79" spans="1:10" x14ac:dyDescent="0.2">
      <c r="A79" s="7">
        <v>77</v>
      </c>
      <c r="B79" s="50">
        <v>49137.048700243511</v>
      </c>
      <c r="C79" s="50">
        <v>25380.323808185902</v>
      </c>
      <c r="D79" s="50">
        <v>0</v>
      </c>
      <c r="E79" s="50">
        <v>41101.37263350116</v>
      </c>
      <c r="F79" s="50">
        <v>1465.2655576200921</v>
      </c>
      <c r="G79" s="50">
        <v>21269.522694870389</v>
      </c>
      <c r="H79" s="50">
        <v>0</v>
      </c>
      <c r="I79" s="50">
        <v>41101.37263350116</v>
      </c>
      <c r="J79" s="50">
        <v>86410.155202106514</v>
      </c>
    </row>
    <row r="80" spans="1:10" x14ac:dyDescent="0.2">
      <c r="A80" s="7">
        <v>78</v>
      </c>
      <c r="B80" s="50">
        <v>27088.19189649828</v>
      </c>
      <c r="C80" s="50">
        <v>12921.973515176451</v>
      </c>
      <c r="D80" s="50">
        <v>0</v>
      </c>
      <c r="E80" s="50">
        <v>22877.823862434219</v>
      </c>
      <c r="F80" s="50">
        <v>1411.308858315198</v>
      </c>
      <c r="G80" s="50">
        <v>12396.4384374131</v>
      </c>
      <c r="H80" s="50">
        <v>0</v>
      </c>
      <c r="I80" s="50">
        <v>22877.823862434219</v>
      </c>
      <c r="J80" s="50">
        <v>46689.097393076932</v>
      </c>
    </row>
    <row r="81" spans="1:10" x14ac:dyDescent="0.2">
      <c r="A81" s="7">
        <v>79</v>
      </c>
      <c r="B81" s="50">
        <v>52933.654035028012</v>
      </c>
      <c r="C81" s="50">
        <v>27475.097956824899</v>
      </c>
      <c r="D81" s="50">
        <v>0</v>
      </c>
      <c r="E81" s="50">
        <v>44263.796751003858</v>
      </c>
      <c r="F81" s="50">
        <v>1476.3027981517371</v>
      </c>
      <c r="G81" s="50">
        <v>22737.041119808389</v>
      </c>
      <c r="H81" s="50">
        <v>0</v>
      </c>
      <c r="I81" s="50">
        <v>44263.796751003858</v>
      </c>
      <c r="J81" s="50">
        <v>93017.875302311499</v>
      </c>
    </row>
    <row r="82" spans="1:10" x14ac:dyDescent="0.2">
      <c r="A82" s="7">
        <v>80</v>
      </c>
      <c r="B82" s="50">
        <v>29746.346906434501</v>
      </c>
      <c r="C82" s="50">
        <v>14374.00410077063</v>
      </c>
      <c r="D82" s="50">
        <v>0</v>
      </c>
      <c r="E82" s="50">
        <v>25106.497661889051</v>
      </c>
      <c r="F82" s="50">
        <v>1420.676433994231</v>
      </c>
      <c r="G82" s="50">
        <v>13564.192885207711</v>
      </c>
      <c r="H82" s="50">
        <v>0</v>
      </c>
      <c r="I82" s="50">
        <v>25106.497661889051</v>
      </c>
      <c r="J82" s="50">
        <v>51246.533846501203</v>
      </c>
    </row>
    <row r="83" spans="1:10" x14ac:dyDescent="0.2">
      <c r="A83" s="7">
        <v>81</v>
      </c>
      <c r="B83" s="50">
        <v>56982.25668424154</v>
      </c>
      <c r="C83" s="50">
        <v>29694.9282368983</v>
      </c>
      <c r="D83" s="50">
        <v>0</v>
      </c>
      <c r="E83" s="50">
        <v>47644.651300032332</v>
      </c>
      <c r="F83" s="50">
        <v>1487.596817893558</v>
      </c>
      <c r="G83" s="50">
        <v>24258.694864547229</v>
      </c>
      <c r="H83" s="50">
        <v>0</v>
      </c>
      <c r="I83" s="50">
        <v>47644.651300032332</v>
      </c>
      <c r="J83" s="50">
        <v>100022.83392299739</v>
      </c>
    </row>
    <row r="84" spans="1:10" x14ac:dyDescent="0.2">
      <c r="A84" s="7">
        <v>82</v>
      </c>
      <c r="B84" s="50">
        <v>32715.201540611441</v>
      </c>
      <c r="C84" s="50">
        <v>15989.726685889411</v>
      </c>
      <c r="D84" s="50">
        <v>0</v>
      </c>
      <c r="E84" s="50">
        <v>27597.801633964471</v>
      </c>
      <c r="F84" s="50">
        <v>1430.831820547231</v>
      </c>
      <c r="G84" s="50">
        <v>14846.50582717167</v>
      </c>
      <c r="H84" s="50">
        <v>0</v>
      </c>
      <c r="I84" s="50">
        <v>27597.801633964471</v>
      </c>
      <c r="J84" s="50">
        <v>56329.198184853391</v>
      </c>
    </row>
    <row r="85" spans="1:10" x14ac:dyDescent="0.2">
      <c r="A85" s="7">
        <v>83</v>
      </c>
      <c r="B85" s="50">
        <v>61288.570239704182</v>
      </c>
      <c r="C85" s="50">
        <v>32048.66623305553</v>
      </c>
      <c r="D85" s="50">
        <v>0</v>
      </c>
      <c r="E85" s="50">
        <v>51245.397138755099</v>
      </c>
      <c r="F85" s="50">
        <v>1498.9541773424719</v>
      </c>
      <c r="G85" s="50">
        <v>25825.37736115474</v>
      </c>
      <c r="H85" s="50">
        <v>0</v>
      </c>
      <c r="I85" s="50">
        <v>51245.397138755099</v>
      </c>
      <c r="J85" s="50">
        <v>107454.4998649975</v>
      </c>
    </row>
    <row r="86" spans="1:10" x14ac:dyDescent="0.2">
      <c r="A86" s="7">
        <v>84</v>
      </c>
      <c r="B86" s="50">
        <v>36015.38595094192</v>
      </c>
      <c r="C86" s="50">
        <v>17782.287757177492</v>
      </c>
      <c r="D86" s="50">
        <v>0</v>
      </c>
      <c r="E86" s="50">
        <v>30368.01709740236</v>
      </c>
      <c r="F86" s="50">
        <v>1441.7800523875339</v>
      </c>
      <c r="G86" s="50">
        <v>16245.257569222969</v>
      </c>
      <c r="H86" s="50">
        <v>0</v>
      </c>
      <c r="I86" s="50">
        <v>30368.01709740236</v>
      </c>
      <c r="J86" s="50">
        <v>61981.702096951922</v>
      </c>
    </row>
    <row r="87" spans="1:10" x14ac:dyDescent="0.2">
      <c r="A87" s="7">
        <v>85</v>
      </c>
      <c r="B87" s="50">
        <v>65856.547172551873</v>
      </c>
      <c r="C87" s="50">
        <v>34541.23511718295</v>
      </c>
      <c r="D87" s="50">
        <v>0</v>
      </c>
      <c r="E87" s="50">
        <v>55067.733023084897</v>
      </c>
      <c r="F87" s="50">
        <v>1510.2873245928199</v>
      </c>
      <c r="G87" s="50">
        <v>27426.352028650781</v>
      </c>
      <c r="H87" s="50">
        <v>0</v>
      </c>
      <c r="I87" s="50">
        <v>55067.733023084897</v>
      </c>
      <c r="J87" s="50">
        <v>115327.850323584</v>
      </c>
    </row>
    <row r="88" spans="1:10" x14ac:dyDescent="0.2">
      <c r="A88" s="7">
        <v>86</v>
      </c>
      <c r="B88" s="50">
        <v>39669.355030349849</v>
      </c>
      <c r="C88" s="50">
        <v>19760.636790246241</v>
      </c>
      <c r="D88" s="50">
        <v>0</v>
      </c>
      <c r="E88" s="50">
        <v>33437.969376317458</v>
      </c>
      <c r="F88" s="50">
        <v>1453.529694346129</v>
      </c>
      <c r="G88" s="50">
        <v>17758.85813557994</v>
      </c>
      <c r="H88" s="50">
        <v>0</v>
      </c>
      <c r="I88" s="50">
        <v>33437.969376317458</v>
      </c>
      <c r="J88" s="50">
        <v>68234.404760165256</v>
      </c>
    </row>
    <row r="89" spans="1:10" x14ac:dyDescent="0.2">
      <c r="A89" s="7">
        <v>87</v>
      </c>
      <c r="B89" s="50">
        <v>70679.227710927094</v>
      </c>
      <c r="C89" s="50">
        <v>37173.042932442273</v>
      </c>
      <c r="D89" s="50">
        <v>0</v>
      </c>
      <c r="E89" s="50">
        <v>59103.307141003017</v>
      </c>
      <c r="F89" s="50">
        <v>1521.464790965081</v>
      </c>
      <c r="G89" s="50">
        <v>29046.978721362098</v>
      </c>
      <c r="H89" s="50">
        <v>0</v>
      </c>
      <c r="I89" s="50">
        <v>59103.307141003017</v>
      </c>
      <c r="J89" s="50">
        <v>123641.6378233696</v>
      </c>
    </row>
    <row r="90" spans="1:10" x14ac:dyDescent="0.2">
      <c r="A90" s="7">
        <v>88</v>
      </c>
      <c r="B90" s="50">
        <v>43684.947886698603</v>
      </c>
      <c r="C90" s="50">
        <v>21931.449612471712</v>
      </c>
      <c r="D90" s="50">
        <v>0</v>
      </c>
      <c r="E90" s="50">
        <v>36812.972389923532</v>
      </c>
      <c r="F90" s="50">
        <v>1465.970962487627</v>
      </c>
      <c r="G90" s="50">
        <v>19379.64064767232</v>
      </c>
      <c r="H90" s="50">
        <v>0</v>
      </c>
      <c r="I90" s="50">
        <v>36812.972389923532</v>
      </c>
      <c r="J90" s="50">
        <v>75112.444588494807</v>
      </c>
    </row>
    <row r="91" spans="1:10" x14ac:dyDescent="0.2">
      <c r="A91" s="7">
        <v>89</v>
      </c>
      <c r="B91" s="50">
        <v>75746.899822382082</v>
      </c>
      <c r="C91" s="50">
        <v>39939.761203295668</v>
      </c>
      <c r="D91" s="50">
        <v>0</v>
      </c>
      <c r="E91" s="50">
        <v>63343.446543582337</v>
      </c>
      <c r="F91" s="50">
        <v>1532.3825815669841</v>
      </c>
      <c r="G91" s="50">
        <v>30670.194496595821</v>
      </c>
      <c r="H91" s="50">
        <v>0</v>
      </c>
      <c r="I91" s="50">
        <v>63343.446543582337</v>
      </c>
      <c r="J91" s="50">
        <v>132378.80736388211</v>
      </c>
    </row>
    <row r="92" spans="1:10" x14ac:dyDescent="0.2">
      <c r="A92" s="7">
        <v>90</v>
      </c>
      <c r="B92" s="50">
        <v>48062.990974600019</v>
      </c>
      <c r="C92" s="50">
        <v>24295.441846271569</v>
      </c>
      <c r="D92" s="50">
        <v>0</v>
      </c>
      <c r="E92" s="50">
        <v>40493.697450486907</v>
      </c>
      <c r="F92" s="50">
        <v>1478.981563339883</v>
      </c>
      <c r="G92" s="50">
        <v>21094.779453132101</v>
      </c>
      <c r="H92" s="50">
        <v>0</v>
      </c>
      <c r="I92" s="50">
        <v>40493.697450486907</v>
      </c>
      <c r="J92" s="50">
        <v>82620.54467091104</v>
      </c>
    </row>
    <row r="93" spans="1:10" x14ac:dyDescent="0.2">
      <c r="A93" s="7">
        <v>91</v>
      </c>
      <c r="B93" s="50">
        <v>81051.916052491084</v>
      </c>
      <c r="C93" s="50">
        <v>42835.87462516618</v>
      </c>
      <c r="D93" s="50">
        <v>0</v>
      </c>
      <c r="E93" s="50">
        <v>67782.687373177236</v>
      </c>
      <c r="F93" s="50">
        <v>1542.900532142899</v>
      </c>
      <c r="G93" s="50">
        <v>32277.50236252835</v>
      </c>
      <c r="H93" s="50">
        <v>0</v>
      </c>
      <c r="I93" s="50">
        <v>67782.687373177236</v>
      </c>
      <c r="J93" s="50">
        <v>141517.67303850761</v>
      </c>
    </row>
    <row r="94" spans="1:10" x14ac:dyDescent="0.2">
      <c r="A94" s="7">
        <v>92</v>
      </c>
      <c r="B94" s="50">
        <v>52788.75020855217</v>
      </c>
      <c r="C94" s="50">
        <v>26848.530882789611</v>
      </c>
      <c r="D94" s="50">
        <v>0</v>
      </c>
      <c r="E94" s="50">
        <v>44465.573353260581</v>
      </c>
      <c r="F94" s="50">
        <v>1492.3880279425071</v>
      </c>
      <c r="G94" s="50">
        <v>22885.96445432361</v>
      </c>
      <c r="H94" s="50">
        <v>0</v>
      </c>
      <c r="I94" s="50">
        <v>44465.573353260581</v>
      </c>
      <c r="J94" s="50">
        <v>90747.599628097698</v>
      </c>
    </row>
    <row r="95" spans="1:10" x14ac:dyDescent="0.2">
      <c r="A95" s="7">
        <v>93</v>
      </c>
      <c r="B95" s="50">
        <v>86612.90011176838</v>
      </c>
      <c r="C95" s="50">
        <v>45857.067978019193</v>
      </c>
      <c r="D95" s="50">
        <v>0</v>
      </c>
      <c r="E95" s="50">
        <v>72445.67630230292</v>
      </c>
      <c r="F95" s="50">
        <v>1553.201154216775</v>
      </c>
      <c r="G95" s="50">
        <v>33850.15678691637</v>
      </c>
      <c r="H95" s="50">
        <v>0</v>
      </c>
      <c r="I95" s="50">
        <v>72445.67630230292</v>
      </c>
      <c r="J95" s="50">
        <v>151051.9820631253</v>
      </c>
    </row>
    <row r="96" spans="1:10" x14ac:dyDescent="0.2">
      <c r="A96" s="7">
        <v>94</v>
      </c>
      <c r="B96" s="50">
        <v>57853.441757490873</v>
      </c>
      <c r="C96" s="50">
        <v>29580.64070717213</v>
      </c>
      <c r="D96" s="50">
        <v>0</v>
      </c>
      <c r="E96" s="50">
        <v>48724.487435325747</v>
      </c>
      <c r="F96" s="50">
        <v>1506.1413889465621</v>
      </c>
      <c r="G96" s="50">
        <v>24732.380086665391</v>
      </c>
      <c r="H96" s="50">
        <v>0</v>
      </c>
      <c r="I96" s="50">
        <v>48724.487435325747</v>
      </c>
      <c r="J96" s="50">
        <v>99462.070465592347</v>
      </c>
    </row>
    <row r="97" spans="1:10" x14ac:dyDescent="0.2">
      <c r="A97" s="7">
        <v>95</v>
      </c>
      <c r="B97" s="50">
        <v>92386.698187845046</v>
      </c>
      <c r="C97" s="50">
        <v>49022.053799843881</v>
      </c>
      <c r="D97" s="50">
        <v>0</v>
      </c>
      <c r="E97" s="50">
        <v>77270.031972026598</v>
      </c>
      <c r="F97" s="50">
        <v>1562.577131825266</v>
      </c>
      <c r="G97" s="50">
        <v>35374.530371185741</v>
      </c>
      <c r="H97" s="50">
        <v>0</v>
      </c>
      <c r="I97" s="50">
        <v>77270.031972026598</v>
      </c>
      <c r="J97" s="50">
        <v>161017.47559875171</v>
      </c>
    </row>
    <row r="98" spans="1:10" x14ac:dyDescent="0.2">
      <c r="A98" s="7">
        <v>96</v>
      </c>
      <c r="B98" s="50">
        <v>63226.863418610112</v>
      </c>
      <c r="C98" s="50">
        <v>32478.318118768741</v>
      </c>
      <c r="D98" s="50">
        <v>0</v>
      </c>
      <c r="E98" s="50">
        <v>53243.500987612533</v>
      </c>
      <c r="F98" s="50">
        <v>1520.0092280429089</v>
      </c>
      <c r="G98" s="50">
        <v>26606.191838424071</v>
      </c>
      <c r="H98" s="50">
        <v>0</v>
      </c>
      <c r="I98" s="50">
        <v>53243.500987612533</v>
      </c>
      <c r="J98" s="50">
        <v>108723.125463377</v>
      </c>
    </row>
    <row r="99" spans="1:10" x14ac:dyDescent="0.2">
      <c r="A99" s="7">
        <v>97</v>
      </c>
      <c r="B99" s="50">
        <v>98324.847660066196</v>
      </c>
      <c r="C99" s="50">
        <v>52315.252267178497</v>
      </c>
      <c r="D99" s="50">
        <v>0</v>
      </c>
      <c r="E99" s="50">
        <v>82208.176558470412</v>
      </c>
      <c r="F99" s="50">
        <v>1570.955496359617</v>
      </c>
      <c r="G99" s="50">
        <v>36832.586955279403</v>
      </c>
      <c r="H99" s="50">
        <v>0</v>
      </c>
      <c r="I99" s="50">
        <v>82208.176558470412</v>
      </c>
      <c r="J99" s="50">
        <v>171352.4897048228</v>
      </c>
    </row>
    <row r="100" spans="1:10" x14ac:dyDescent="0.2">
      <c r="A100" s="7">
        <v>98</v>
      </c>
      <c r="B100" s="50">
        <v>68855.601786102328</v>
      </c>
      <c r="C100" s="50">
        <v>35518.138948089087</v>
      </c>
      <c r="D100" s="50">
        <v>0</v>
      </c>
      <c r="E100" s="50">
        <v>57974.655179383117</v>
      </c>
      <c r="F100" s="50">
        <v>1533.573232965718</v>
      </c>
      <c r="G100" s="50">
        <v>28472.49278757066</v>
      </c>
      <c r="H100" s="50">
        <v>0</v>
      </c>
      <c r="I100" s="50">
        <v>57974.655179383117</v>
      </c>
      <c r="J100" s="50">
        <v>118454.3939925226</v>
      </c>
    </row>
    <row r="101" spans="1:10" x14ac:dyDescent="0.2">
      <c r="A101" s="7">
        <v>99</v>
      </c>
      <c r="B101" s="50">
        <v>104369.8180535273</v>
      </c>
      <c r="C101" s="50">
        <v>55711.195614372322</v>
      </c>
      <c r="D101" s="50">
        <v>0</v>
      </c>
      <c r="E101" s="50">
        <v>87207.917381851235</v>
      </c>
      <c r="F101" s="50">
        <v>1578.342063477146</v>
      </c>
      <c r="G101" s="50">
        <v>38207.641234610397</v>
      </c>
      <c r="H101" s="50">
        <v>0</v>
      </c>
      <c r="I101" s="50">
        <v>87207.917381851235</v>
      </c>
      <c r="J101" s="50">
        <v>181965.90583542091</v>
      </c>
    </row>
    <row r="102" spans="1:10" x14ac:dyDescent="0.2">
      <c r="A102" s="7">
        <v>100</v>
      </c>
      <c r="B102" s="50">
        <v>74688.794603526709</v>
      </c>
      <c r="C102" s="50">
        <v>38671.849132422358</v>
      </c>
      <c r="D102" s="50">
        <v>0</v>
      </c>
      <c r="E102" s="50">
        <v>62875.949266140116</v>
      </c>
      <c r="F102" s="50">
        <v>1546.345292931888</v>
      </c>
      <c r="G102" s="50">
        <v>30296.121583348959</v>
      </c>
      <c r="H102" s="50">
        <v>0</v>
      </c>
      <c r="I102" s="50">
        <v>62875.949266140116</v>
      </c>
      <c r="J102" s="50">
        <v>128557.1396845093</v>
      </c>
    </row>
    <row r="103" spans="1:10" x14ac:dyDescent="0.2">
      <c r="A103" s="7">
        <v>101</v>
      </c>
      <c r="B103" s="50">
        <v>11300.14801335443</v>
      </c>
      <c r="C103" s="50">
        <v>793.11038157323492</v>
      </c>
      <c r="D103" s="50">
        <v>0</v>
      </c>
      <c r="E103" s="50">
        <v>9824.2953562055627</v>
      </c>
      <c r="F103" s="50">
        <v>2417.1233498197539</v>
      </c>
      <c r="G103" s="50">
        <v>6138.248525012219</v>
      </c>
      <c r="H103" s="50">
        <v>0</v>
      </c>
      <c r="I103" s="50">
        <v>9824.2953562055627</v>
      </c>
      <c r="J103" s="50">
        <v>13256.38015041534</v>
      </c>
    </row>
    <row r="104" spans="1:10" x14ac:dyDescent="0.2">
      <c r="A104" s="7">
        <v>102</v>
      </c>
      <c r="B104" s="50">
        <v>10571.18396436749</v>
      </c>
      <c r="C104" s="50">
        <v>388.2372699554835</v>
      </c>
      <c r="D104" s="50">
        <v>0</v>
      </c>
      <c r="E104" s="50">
        <v>9120.2238878978751</v>
      </c>
      <c r="F104" s="50">
        <v>2421.6678117222182</v>
      </c>
      <c r="G104" s="50">
        <v>5518.3337469049293</v>
      </c>
      <c r="H104" s="50">
        <v>0</v>
      </c>
      <c r="I104" s="50">
        <v>9120.2238878978751</v>
      </c>
      <c r="J104" s="50">
        <v>11660.08955025091</v>
      </c>
    </row>
    <row r="105" spans="1:10" x14ac:dyDescent="0.2">
      <c r="A105" s="7">
        <v>103</v>
      </c>
      <c r="B105" s="50">
        <v>11408.95435650772</v>
      </c>
      <c r="C105" s="50">
        <v>851.97331303425017</v>
      </c>
      <c r="D105" s="50">
        <v>0</v>
      </c>
      <c r="E105" s="50">
        <v>9928.5911717443087</v>
      </c>
      <c r="F105" s="50">
        <v>2416.5097945193702</v>
      </c>
      <c r="G105" s="50">
        <v>6222.799958367912</v>
      </c>
      <c r="H105" s="50">
        <v>0</v>
      </c>
      <c r="I105" s="50">
        <v>9928.5911717443087</v>
      </c>
      <c r="J105" s="50">
        <v>13491.33679954195</v>
      </c>
    </row>
    <row r="106" spans="1:10" x14ac:dyDescent="0.2">
      <c r="A106" s="7">
        <v>104</v>
      </c>
      <c r="B106" s="50">
        <v>10641.89678114804</v>
      </c>
      <c r="C106" s="50">
        <v>417.86058431939449</v>
      </c>
      <c r="D106" s="50">
        <v>0</v>
      </c>
      <c r="E106" s="50">
        <v>9189.5657548911477</v>
      </c>
      <c r="F106" s="50">
        <v>2421.859534700387</v>
      </c>
      <c r="G106" s="50">
        <v>5575.8764447309368</v>
      </c>
      <c r="H106" s="50">
        <v>0</v>
      </c>
      <c r="I106" s="50">
        <v>9189.5657548911477</v>
      </c>
      <c r="J106" s="50">
        <v>11812.792259882741</v>
      </c>
    </row>
    <row r="107" spans="1:10" x14ac:dyDescent="0.2">
      <c r="A107" s="7">
        <v>105</v>
      </c>
      <c r="B107" s="50">
        <v>11515.299844624011</v>
      </c>
      <c r="C107" s="50">
        <v>907.16662723921763</v>
      </c>
      <c r="D107" s="50">
        <v>0</v>
      </c>
      <c r="E107" s="50">
        <v>10030.652240875381</v>
      </c>
      <c r="F107" s="50">
        <v>2415.884157668494</v>
      </c>
      <c r="G107" s="50">
        <v>6309.2101421343104</v>
      </c>
      <c r="H107" s="50">
        <v>0</v>
      </c>
      <c r="I107" s="50">
        <v>10030.652240875381</v>
      </c>
      <c r="J107" s="50">
        <v>13720.03639640857</v>
      </c>
    </row>
    <row r="108" spans="1:10" x14ac:dyDescent="0.2">
      <c r="A108" s="7">
        <v>106</v>
      </c>
      <c r="B108" s="50">
        <v>10712.88093652203</v>
      </c>
      <c r="C108" s="50">
        <v>446.20484798449621</v>
      </c>
      <c r="D108" s="50">
        <v>0</v>
      </c>
      <c r="E108" s="50">
        <v>9259.2596221821441</v>
      </c>
      <c r="F108" s="50">
        <v>2422.0324971453078</v>
      </c>
      <c r="G108" s="50">
        <v>5634.7788449829241</v>
      </c>
      <c r="H108" s="50">
        <v>0</v>
      </c>
      <c r="I108" s="50">
        <v>9259.2596221821441</v>
      </c>
      <c r="J108" s="50">
        <v>11965.808373554089</v>
      </c>
    </row>
    <row r="109" spans="1:10" x14ac:dyDescent="0.2">
      <c r="A109" s="7">
        <v>107</v>
      </c>
      <c r="B109" s="50">
        <v>11618.455262133841</v>
      </c>
      <c r="C109" s="50">
        <v>957.11634944409889</v>
      </c>
      <c r="D109" s="50">
        <v>0</v>
      </c>
      <c r="E109" s="50">
        <v>10129.98593807277</v>
      </c>
      <c r="F109" s="50">
        <v>2415.2562915367162</v>
      </c>
      <c r="G109" s="50">
        <v>6396.9098399732757</v>
      </c>
      <c r="H109" s="50">
        <v>0</v>
      </c>
      <c r="I109" s="50">
        <v>10129.98593807277</v>
      </c>
      <c r="J109" s="50">
        <v>13941.242434581951</v>
      </c>
    </row>
    <row r="110" spans="1:10" x14ac:dyDescent="0.2">
      <c r="A110" s="7">
        <v>108</v>
      </c>
      <c r="B110" s="50">
        <v>10784.94106339799</v>
      </c>
      <c r="C110" s="50">
        <v>474.31288738186407</v>
      </c>
      <c r="D110" s="50">
        <v>0</v>
      </c>
      <c r="E110" s="50">
        <v>9330.0449168977721</v>
      </c>
      <c r="F110" s="50">
        <v>2422.1663394624188</v>
      </c>
      <c r="G110" s="50">
        <v>5695.8501659157546</v>
      </c>
      <c r="H110" s="50">
        <v>0</v>
      </c>
      <c r="I110" s="50">
        <v>9330.0449168977721</v>
      </c>
      <c r="J110" s="50">
        <v>12120.93551745932</v>
      </c>
    </row>
    <row r="111" spans="1:10" x14ac:dyDescent="0.2">
      <c r="A111" s="7">
        <v>109</v>
      </c>
      <c r="B111" s="50">
        <v>11720.313345294901</v>
      </c>
      <c r="C111" s="50">
        <v>1003.605501499871</v>
      </c>
      <c r="D111" s="50">
        <v>0</v>
      </c>
      <c r="E111" s="50">
        <v>10228.359544363349</v>
      </c>
      <c r="F111" s="50">
        <v>2414.5896462723472</v>
      </c>
      <c r="G111" s="50">
        <v>6486.9773826271703</v>
      </c>
      <c r="H111" s="50">
        <v>0</v>
      </c>
      <c r="I111" s="50">
        <v>10228.359544363349</v>
      </c>
      <c r="J111" s="50">
        <v>14159.2846802682</v>
      </c>
    </row>
    <row r="112" spans="1:10" x14ac:dyDescent="0.2">
      <c r="A112" s="7">
        <v>110</v>
      </c>
      <c r="B112" s="50">
        <v>10858.6984452953</v>
      </c>
      <c r="C112" s="50">
        <v>502.1712775570486</v>
      </c>
      <c r="D112" s="50">
        <v>0</v>
      </c>
      <c r="E112" s="50">
        <v>9402.5650996491531</v>
      </c>
      <c r="F112" s="50">
        <v>2422.255167350871</v>
      </c>
      <c r="G112" s="50">
        <v>5758.6886087333623</v>
      </c>
      <c r="H112" s="50">
        <v>0</v>
      </c>
      <c r="I112" s="50">
        <v>9402.5650996491531</v>
      </c>
      <c r="J112" s="50">
        <v>12279.754239509841</v>
      </c>
    </row>
    <row r="113" spans="1:10" x14ac:dyDescent="0.2">
      <c r="A113" s="7">
        <v>111</v>
      </c>
      <c r="B113" s="50">
        <v>11823.29648504171</v>
      </c>
      <c r="C113" s="50">
        <v>1048.624031407817</v>
      </c>
      <c r="D113" s="50">
        <v>0</v>
      </c>
      <c r="E113" s="50">
        <v>10328.029840154861</v>
      </c>
      <c r="F113" s="50">
        <v>2413.8455244723882</v>
      </c>
      <c r="G113" s="50">
        <v>6580.1133209276741</v>
      </c>
      <c r="H113" s="50">
        <v>0</v>
      </c>
      <c r="I113" s="50">
        <v>10328.029840154861</v>
      </c>
      <c r="J113" s="50">
        <v>14379.71072445752</v>
      </c>
    </row>
    <row r="114" spans="1:10" x14ac:dyDescent="0.2">
      <c r="A114" s="7">
        <v>112</v>
      </c>
      <c r="B114" s="50">
        <v>10935.694144255131</v>
      </c>
      <c r="C114" s="50">
        <v>532.11777238739887</v>
      </c>
      <c r="D114" s="50">
        <v>0</v>
      </c>
      <c r="E114" s="50">
        <v>9478.176246355717</v>
      </c>
      <c r="F114" s="50">
        <v>2422.2612088936148</v>
      </c>
      <c r="G114" s="50">
        <v>5824.9190744380394</v>
      </c>
      <c r="H114" s="50">
        <v>0</v>
      </c>
      <c r="I114" s="50">
        <v>9478.176246355717</v>
      </c>
      <c r="J114" s="50">
        <v>12445.572721264571</v>
      </c>
    </row>
    <row r="115" spans="1:10" x14ac:dyDescent="0.2">
      <c r="A115" s="7">
        <v>113</v>
      </c>
      <c r="B115" s="50">
        <v>11930.445833644881</v>
      </c>
      <c r="C115" s="50">
        <v>1095.577258548903</v>
      </c>
      <c r="D115" s="50">
        <v>0</v>
      </c>
      <c r="E115" s="50">
        <v>10431.670768833281</v>
      </c>
      <c r="F115" s="50">
        <v>2412.9676505495149</v>
      </c>
      <c r="G115" s="50">
        <v>6678.1324154431504</v>
      </c>
      <c r="H115" s="50">
        <v>0</v>
      </c>
      <c r="I115" s="50">
        <v>10431.670768833281</v>
      </c>
      <c r="J115" s="50">
        <v>14609.076244893129</v>
      </c>
    </row>
    <row r="116" spans="1:10" x14ac:dyDescent="0.2">
      <c r="A116" s="7">
        <v>114</v>
      </c>
      <c r="B116" s="50">
        <v>11015.341915445741</v>
      </c>
      <c r="C116" s="50">
        <v>563.22941673739115</v>
      </c>
      <c r="D116" s="50">
        <v>0</v>
      </c>
      <c r="E116" s="50">
        <v>9556.3619313779782</v>
      </c>
      <c r="F116" s="50">
        <v>2422.1916170208419</v>
      </c>
      <c r="G116" s="50">
        <v>5894.2544893206141</v>
      </c>
      <c r="H116" s="50">
        <v>0</v>
      </c>
      <c r="I116" s="50">
        <v>9556.3619313779782</v>
      </c>
      <c r="J116" s="50">
        <v>12617.09186940285</v>
      </c>
    </row>
    <row r="117" spans="1:10" x14ac:dyDescent="0.2">
      <c r="A117" s="7">
        <v>115</v>
      </c>
      <c r="B117" s="50">
        <v>12043.05487751388</v>
      </c>
      <c r="C117" s="50">
        <v>1145.9072250779429</v>
      </c>
      <c r="D117" s="50">
        <v>0</v>
      </c>
      <c r="E117" s="50">
        <v>10540.401596456781</v>
      </c>
      <c r="F117" s="50">
        <v>2411.927518110766</v>
      </c>
      <c r="G117" s="50">
        <v>6782.0698807579756</v>
      </c>
      <c r="H117" s="50">
        <v>0</v>
      </c>
      <c r="I117" s="50">
        <v>10540.401596456781</v>
      </c>
      <c r="J117" s="50">
        <v>14850.09852641904</v>
      </c>
    </row>
    <row r="118" spans="1:10" x14ac:dyDescent="0.2">
      <c r="A118" s="7">
        <v>116</v>
      </c>
      <c r="B118" s="50">
        <v>11098.145678194331</v>
      </c>
      <c r="C118" s="50">
        <v>595.65604234112834</v>
      </c>
      <c r="D118" s="50">
        <v>0</v>
      </c>
      <c r="E118" s="50">
        <v>9637.6205268285848</v>
      </c>
      <c r="F118" s="50">
        <v>2422.037996668063</v>
      </c>
      <c r="G118" s="50">
        <v>5966.6347118125414</v>
      </c>
      <c r="H118" s="50">
        <v>0</v>
      </c>
      <c r="I118" s="50">
        <v>9637.6205268285848</v>
      </c>
      <c r="J118" s="50">
        <v>12795.522476932219</v>
      </c>
    </row>
    <row r="119" spans="1:10" x14ac:dyDescent="0.2">
      <c r="A119" s="7">
        <v>117</v>
      </c>
      <c r="B119" s="50">
        <v>12161.65671396785</v>
      </c>
      <c r="C119" s="50">
        <v>1200.0471714241869</v>
      </c>
      <c r="D119" s="50">
        <v>0</v>
      </c>
      <c r="E119" s="50">
        <v>10654.68932842257</v>
      </c>
      <c r="F119" s="50">
        <v>2410.7102771948121</v>
      </c>
      <c r="G119" s="50">
        <v>6892.4494634066068</v>
      </c>
      <c r="H119" s="50">
        <v>0</v>
      </c>
      <c r="I119" s="50">
        <v>10654.68932842257</v>
      </c>
      <c r="J119" s="50">
        <v>15103.887436917121</v>
      </c>
    </row>
    <row r="120" spans="1:10" x14ac:dyDescent="0.2">
      <c r="A120" s="7">
        <v>118</v>
      </c>
      <c r="B120" s="50">
        <v>11184.95109334369</v>
      </c>
      <c r="C120" s="50">
        <v>630.74448104617477</v>
      </c>
      <c r="D120" s="50">
        <v>0</v>
      </c>
      <c r="E120" s="50">
        <v>9722.6743942355242</v>
      </c>
      <c r="F120" s="50">
        <v>2421.7757018251582</v>
      </c>
      <c r="G120" s="50">
        <v>6043.1946217084414</v>
      </c>
      <c r="H120" s="50">
        <v>0</v>
      </c>
      <c r="I120" s="50">
        <v>9722.6743942355242</v>
      </c>
      <c r="J120" s="50">
        <v>12982.606205385769</v>
      </c>
    </row>
    <row r="121" spans="1:10" x14ac:dyDescent="0.2">
      <c r="A121" s="7">
        <v>119</v>
      </c>
      <c r="B121" s="50">
        <v>12287.433287733231</v>
      </c>
      <c r="C121" s="50">
        <v>1258.486298384611</v>
      </c>
      <c r="D121" s="50">
        <v>0</v>
      </c>
      <c r="E121" s="50">
        <v>10775.65250414742</v>
      </c>
      <c r="F121" s="50">
        <v>2409.3000344896568</v>
      </c>
      <c r="G121" s="50">
        <v>7009.1383766235522</v>
      </c>
      <c r="H121" s="50">
        <v>0</v>
      </c>
      <c r="I121" s="50">
        <v>10775.65250414742</v>
      </c>
      <c r="J121" s="50">
        <v>15373.177502522551</v>
      </c>
    </row>
    <row r="122" spans="1:10" x14ac:dyDescent="0.2">
      <c r="A122" s="7">
        <v>120</v>
      </c>
      <c r="B122" s="50">
        <v>11275.833956852221</v>
      </c>
      <c r="C122" s="50">
        <v>667.6426598920516</v>
      </c>
      <c r="D122" s="50">
        <v>0</v>
      </c>
      <c r="E122" s="50">
        <v>9811.679026383943</v>
      </c>
      <c r="F122" s="50">
        <v>2421.4097984090481</v>
      </c>
      <c r="G122" s="50">
        <v>6123.0090202697611</v>
      </c>
      <c r="H122" s="50">
        <v>0</v>
      </c>
      <c r="I122" s="50">
        <v>9811.679026383943</v>
      </c>
      <c r="J122" s="50">
        <v>13178.717631801241</v>
      </c>
    </row>
    <row r="123" spans="1:10" x14ac:dyDescent="0.2">
      <c r="A123" s="7">
        <v>121</v>
      </c>
      <c r="B123" s="50">
        <v>12423.273759726449</v>
      </c>
      <c r="C123" s="50">
        <v>1324.1443741840781</v>
      </c>
      <c r="D123" s="50">
        <v>0</v>
      </c>
      <c r="E123" s="50">
        <v>10905.78937564409</v>
      </c>
      <c r="F123" s="50">
        <v>2407.6494058223029</v>
      </c>
      <c r="G123" s="50">
        <v>7133.3383590520971</v>
      </c>
      <c r="H123" s="50">
        <v>0</v>
      </c>
      <c r="I123" s="50">
        <v>10905.78937564409</v>
      </c>
      <c r="J123" s="50">
        <v>15664.088550469391</v>
      </c>
    </row>
    <row r="124" spans="1:10" x14ac:dyDescent="0.2">
      <c r="A124" s="7">
        <v>122</v>
      </c>
      <c r="B124" s="50">
        <v>11372.63134507116</v>
      </c>
      <c r="C124" s="50">
        <v>708.93802156302263</v>
      </c>
      <c r="D124" s="50">
        <v>0</v>
      </c>
      <c r="E124" s="50">
        <v>9906.2252341482817</v>
      </c>
      <c r="F124" s="50">
        <v>2420.8987217508111</v>
      </c>
      <c r="G124" s="50">
        <v>6207.7155003575317</v>
      </c>
      <c r="H124" s="50">
        <v>0</v>
      </c>
      <c r="I124" s="50">
        <v>9906.2252341482817</v>
      </c>
      <c r="J124" s="50">
        <v>13387.73645521393</v>
      </c>
    </row>
    <row r="125" spans="1:10" x14ac:dyDescent="0.2">
      <c r="A125" s="7">
        <v>123</v>
      </c>
      <c r="B125" s="50">
        <v>12571.511095736891</v>
      </c>
      <c r="C125" s="50">
        <v>1399.1096604554041</v>
      </c>
      <c r="D125" s="50">
        <v>0</v>
      </c>
      <c r="E125" s="50">
        <v>11047.11023176528</v>
      </c>
      <c r="F125" s="50">
        <v>2405.723812279874</v>
      </c>
      <c r="G125" s="50">
        <v>7265.6086020266666</v>
      </c>
      <c r="H125" s="50">
        <v>0</v>
      </c>
      <c r="I125" s="50">
        <v>11047.11023176528</v>
      </c>
      <c r="J125" s="50">
        <v>15981.54096688668</v>
      </c>
    </row>
    <row r="126" spans="1:10" x14ac:dyDescent="0.2">
      <c r="A126" s="7">
        <v>124</v>
      </c>
      <c r="B126" s="50">
        <v>11475.34662896253</v>
      </c>
      <c r="C126" s="50">
        <v>753.98426873551216</v>
      </c>
      <c r="D126" s="50">
        <v>0</v>
      </c>
      <c r="E126" s="50">
        <v>10006.36008264655</v>
      </c>
      <c r="F126" s="50">
        <v>2420.2452448308318</v>
      </c>
      <c r="G126" s="50">
        <v>6296.6634365186474</v>
      </c>
      <c r="H126" s="50">
        <v>0</v>
      </c>
      <c r="I126" s="50">
        <v>10006.36008264655</v>
      </c>
      <c r="J126" s="50">
        <v>13609.75954000057</v>
      </c>
    </row>
    <row r="127" spans="1:10" x14ac:dyDescent="0.2">
      <c r="A127" s="7">
        <v>125</v>
      </c>
      <c r="B127" s="50">
        <v>12734.205818133671</v>
      </c>
      <c r="C127" s="50">
        <v>1485.7290582495921</v>
      </c>
      <c r="D127" s="50">
        <v>0</v>
      </c>
      <c r="E127" s="50">
        <v>11201.263409997309</v>
      </c>
      <c r="F127" s="50">
        <v>2403.486941301293</v>
      </c>
      <c r="G127" s="50">
        <v>7407.082726453431</v>
      </c>
      <c r="H127" s="50">
        <v>0</v>
      </c>
      <c r="I127" s="50">
        <v>11201.263409997309</v>
      </c>
      <c r="J127" s="50">
        <v>16329.54202179582</v>
      </c>
    </row>
    <row r="128" spans="1:10" x14ac:dyDescent="0.2">
      <c r="A128" s="7">
        <v>126</v>
      </c>
      <c r="B128" s="50">
        <v>11585.16534268444</v>
      </c>
      <c r="C128" s="50">
        <v>804.42374927621859</v>
      </c>
      <c r="D128" s="50">
        <v>0</v>
      </c>
      <c r="E128" s="50">
        <v>10113.082386932911</v>
      </c>
      <c r="F128" s="50">
        <v>2419.4210880009782</v>
      </c>
      <c r="G128" s="50">
        <v>6390.9172923711894</v>
      </c>
      <c r="H128" s="50">
        <v>0</v>
      </c>
      <c r="I128" s="50">
        <v>10113.082386932911</v>
      </c>
      <c r="J128" s="50">
        <v>13847.20568540601</v>
      </c>
    </row>
    <row r="129" spans="1:10" x14ac:dyDescent="0.2">
      <c r="A129" s="7">
        <v>127</v>
      </c>
      <c r="B129" s="50">
        <v>12911.23699752659</v>
      </c>
      <c r="C129" s="50">
        <v>1584.272580456221</v>
      </c>
      <c r="D129" s="50">
        <v>0</v>
      </c>
      <c r="E129" s="50">
        <v>11367.943600628219</v>
      </c>
      <c r="F129" s="50">
        <v>2400.9308261316619</v>
      </c>
      <c r="G129" s="50">
        <v>7558.4817279693962</v>
      </c>
      <c r="H129" s="50">
        <v>0</v>
      </c>
      <c r="I129" s="50">
        <v>11367.943600628219</v>
      </c>
      <c r="J129" s="50">
        <v>16707.267478879079</v>
      </c>
    </row>
    <row r="130" spans="1:10" x14ac:dyDescent="0.2">
      <c r="A130" s="7">
        <v>128</v>
      </c>
      <c r="B130" s="50">
        <v>11701.64532984779</v>
      </c>
      <c r="C130" s="50">
        <v>859.73461108971969</v>
      </c>
      <c r="D130" s="50">
        <v>0</v>
      </c>
      <c r="E130" s="50">
        <v>10225.95859070701</v>
      </c>
      <c r="F130" s="50">
        <v>2418.4272914966709</v>
      </c>
      <c r="G130" s="50">
        <v>6490.4909662585851</v>
      </c>
      <c r="H130" s="50">
        <v>0</v>
      </c>
      <c r="I130" s="50">
        <v>10225.95859070701</v>
      </c>
      <c r="J130" s="50">
        <v>14098.96389908245</v>
      </c>
    </row>
    <row r="131" spans="1:10" x14ac:dyDescent="0.2">
      <c r="A131" s="7">
        <v>129</v>
      </c>
      <c r="B131" s="50">
        <v>13100.875879621641</v>
      </c>
      <c r="C131" s="50">
        <v>1692.68436088966</v>
      </c>
      <c r="D131" s="50">
        <v>0</v>
      </c>
      <c r="E131" s="50">
        <v>11545.572017285171</v>
      </c>
      <c r="F131" s="50">
        <v>2398.0768568689818</v>
      </c>
      <c r="G131" s="50">
        <v>7719.2279359248787</v>
      </c>
      <c r="H131" s="50">
        <v>0</v>
      </c>
      <c r="I131" s="50">
        <v>11545.572017285171</v>
      </c>
      <c r="J131" s="50">
        <v>17110.76703017691</v>
      </c>
    </row>
    <row r="132" spans="1:10" x14ac:dyDescent="0.2">
      <c r="A132" s="7">
        <v>130</v>
      </c>
      <c r="B132" s="50">
        <v>11824.579707059191</v>
      </c>
      <c r="C132" s="50">
        <v>919.3398111777351</v>
      </c>
      <c r="D132" s="50">
        <v>0</v>
      </c>
      <c r="E132" s="50">
        <v>10344.80782950249</v>
      </c>
      <c r="F132" s="50">
        <v>2417.264653322185</v>
      </c>
      <c r="G132" s="50">
        <v>6595.1133587014192</v>
      </c>
      <c r="H132" s="50">
        <v>0</v>
      </c>
      <c r="I132" s="50">
        <v>10344.80782950249</v>
      </c>
      <c r="J132" s="50">
        <v>14364.55300483509</v>
      </c>
    </row>
    <row r="133" spans="1:10" x14ac:dyDescent="0.2">
      <c r="A133" s="7">
        <v>131</v>
      </c>
      <c r="B133" s="50">
        <v>13343.50161488495</v>
      </c>
      <c r="C133" s="50">
        <v>1809.8650782848131</v>
      </c>
      <c r="D133" s="50">
        <v>0</v>
      </c>
      <c r="E133" s="50">
        <v>11775.752486776169</v>
      </c>
      <c r="F133" s="50">
        <v>2394.9319702304779</v>
      </c>
      <c r="G133" s="50">
        <v>7898.4027151089103</v>
      </c>
      <c r="H133" s="50">
        <v>0</v>
      </c>
      <c r="I133" s="50">
        <v>11775.752486776169</v>
      </c>
      <c r="J133" s="50">
        <v>17518.41236156426</v>
      </c>
    </row>
    <row r="134" spans="1:10" x14ac:dyDescent="0.2">
      <c r="A134" s="7">
        <v>132</v>
      </c>
      <c r="B134" s="50">
        <v>11954.629525957031</v>
      </c>
      <c r="C134" s="50">
        <v>983.78179610420193</v>
      </c>
      <c r="D134" s="50">
        <v>0</v>
      </c>
      <c r="E134" s="50">
        <v>10470.203185703151</v>
      </c>
      <c r="F134" s="50">
        <v>2415.918350341366</v>
      </c>
      <c r="G134" s="50">
        <v>6705.062038816628</v>
      </c>
      <c r="H134" s="50">
        <v>0</v>
      </c>
      <c r="I134" s="50">
        <v>10470.203185703151</v>
      </c>
      <c r="J134" s="50">
        <v>14645.34566183589</v>
      </c>
    </row>
    <row r="135" spans="1:10" x14ac:dyDescent="0.2">
      <c r="A135" s="7">
        <v>133</v>
      </c>
      <c r="B135" s="50">
        <v>13614.534550856341</v>
      </c>
      <c r="C135" s="50">
        <v>1934.5992821303371</v>
      </c>
      <c r="D135" s="50">
        <v>0</v>
      </c>
      <c r="E135" s="50">
        <v>12033.387296592509</v>
      </c>
      <c r="F135" s="50">
        <v>2391.50291069175</v>
      </c>
      <c r="G135" s="50">
        <v>8089.9574263456016</v>
      </c>
      <c r="H135" s="50">
        <v>0</v>
      </c>
      <c r="I135" s="50">
        <v>12033.387296592509</v>
      </c>
      <c r="J135" s="50">
        <v>17940.90414918528</v>
      </c>
    </row>
    <row r="136" spans="1:10" x14ac:dyDescent="0.2">
      <c r="A136" s="7">
        <v>134</v>
      </c>
      <c r="B136" s="50">
        <v>12092.24593298714</v>
      </c>
      <c r="C136" s="50">
        <v>1053.673169745729</v>
      </c>
      <c r="D136" s="50">
        <v>0</v>
      </c>
      <c r="E136" s="50">
        <v>10602.483833645811</v>
      </c>
      <c r="F136" s="50">
        <v>2414.372586574726</v>
      </c>
      <c r="G136" s="50">
        <v>6820.9558220299659</v>
      </c>
      <c r="H136" s="50">
        <v>0</v>
      </c>
      <c r="I136" s="50">
        <v>10602.483833645811</v>
      </c>
      <c r="J136" s="50">
        <v>14942.1253616591</v>
      </c>
    </row>
    <row r="137" spans="1:10" x14ac:dyDescent="0.2">
      <c r="A137" s="7">
        <v>135</v>
      </c>
      <c r="B137" s="50">
        <v>13899.86451246045</v>
      </c>
      <c r="C137" s="50">
        <v>2069.108519595844</v>
      </c>
      <c r="D137" s="50">
        <v>0</v>
      </c>
      <c r="E137" s="50">
        <v>12303.4847709966</v>
      </c>
      <c r="F137" s="50">
        <v>2387.7518290442822</v>
      </c>
      <c r="G137" s="50">
        <v>8291.9280546731461</v>
      </c>
      <c r="H137" s="50">
        <v>0</v>
      </c>
      <c r="I137" s="50">
        <v>12303.4847709966</v>
      </c>
      <c r="J137" s="50">
        <v>18389.369451632781</v>
      </c>
    </row>
    <row r="138" spans="1:10" x14ac:dyDescent="0.2">
      <c r="A138" s="7">
        <v>136</v>
      </c>
      <c r="B138" s="50">
        <v>12237.32241046596</v>
      </c>
      <c r="C138" s="50">
        <v>1128.5227062769411</v>
      </c>
      <c r="D138" s="50">
        <v>0</v>
      </c>
      <c r="E138" s="50">
        <v>10741.55605716551</v>
      </c>
      <c r="F138" s="50">
        <v>2412.6257829438841</v>
      </c>
      <c r="G138" s="50">
        <v>6942.5792076521757</v>
      </c>
      <c r="H138" s="50">
        <v>0</v>
      </c>
      <c r="I138" s="50">
        <v>10741.55605716551</v>
      </c>
      <c r="J138" s="50">
        <v>15254.618251561449</v>
      </c>
    </row>
    <row r="139" spans="1:10" x14ac:dyDescent="0.2">
      <c r="A139" s="7">
        <v>137</v>
      </c>
      <c r="B139" s="50">
        <v>14205.6091553919</v>
      </c>
      <c r="C139" s="50">
        <v>2213.519543212984</v>
      </c>
      <c r="D139" s="50">
        <v>0</v>
      </c>
      <c r="E139" s="50">
        <v>12592.218503103169</v>
      </c>
      <c r="F139" s="50">
        <v>2383.6683572629408</v>
      </c>
      <c r="G139" s="50">
        <v>8504.8359282581659</v>
      </c>
      <c r="H139" s="50">
        <v>0</v>
      </c>
      <c r="I139" s="50">
        <v>12592.218503103169</v>
      </c>
      <c r="J139" s="50">
        <v>18864.090790523071</v>
      </c>
    </row>
    <row r="140" spans="1:10" x14ac:dyDescent="0.2">
      <c r="A140" s="7">
        <v>138</v>
      </c>
      <c r="B140" s="50">
        <v>12390.64715942988</v>
      </c>
      <c r="C140" s="50">
        <v>1208.9720966927271</v>
      </c>
      <c r="D140" s="50">
        <v>0</v>
      </c>
      <c r="E140" s="50">
        <v>10888.091356880061</v>
      </c>
      <c r="F140" s="50">
        <v>2410.6607245268242</v>
      </c>
      <c r="G140" s="50">
        <v>7070.2689200297746</v>
      </c>
      <c r="H140" s="50">
        <v>0</v>
      </c>
      <c r="I140" s="50">
        <v>10888.091356880061</v>
      </c>
      <c r="J140" s="50">
        <v>15584.43053366628</v>
      </c>
    </row>
    <row r="141" spans="1:10" x14ac:dyDescent="0.2">
      <c r="A141" s="7">
        <v>139</v>
      </c>
      <c r="B141" s="50">
        <v>14534.409562191029</v>
      </c>
      <c r="C141" s="50">
        <v>2371.5705929169781</v>
      </c>
      <c r="D141" s="50">
        <v>0</v>
      </c>
      <c r="E141" s="50">
        <v>12901.46451291666</v>
      </c>
      <c r="F141" s="50">
        <v>2379.1973617148178</v>
      </c>
      <c r="G141" s="50">
        <v>8729.7064132889645</v>
      </c>
      <c r="H141" s="50">
        <v>0</v>
      </c>
      <c r="I141" s="50">
        <v>12901.46451291666</v>
      </c>
      <c r="J141" s="50">
        <v>19373.592665113221</v>
      </c>
    </row>
    <row r="142" spans="1:10" x14ac:dyDescent="0.2">
      <c r="A142" s="7">
        <v>140</v>
      </c>
      <c r="B142" s="50">
        <v>12553.10878729766</v>
      </c>
      <c r="C142" s="50">
        <v>1295.7479947388931</v>
      </c>
      <c r="D142" s="50">
        <v>0</v>
      </c>
      <c r="E142" s="50">
        <v>11042.83920564232</v>
      </c>
      <c r="F142" s="50">
        <v>2408.45908803778</v>
      </c>
      <c r="G142" s="50">
        <v>7204.3545738120447</v>
      </c>
      <c r="H142" s="50">
        <v>0</v>
      </c>
      <c r="I142" s="50">
        <v>11042.83920564232</v>
      </c>
      <c r="J142" s="50">
        <v>15933.357755635359</v>
      </c>
    </row>
    <row r="143" spans="1:10" x14ac:dyDescent="0.2">
      <c r="A143" s="7">
        <v>141</v>
      </c>
      <c r="B143" s="50">
        <v>14886.278190006869</v>
      </c>
      <c r="C143" s="50">
        <v>2546.2925654906721</v>
      </c>
      <c r="D143" s="50">
        <v>0</v>
      </c>
      <c r="E143" s="50">
        <v>13230.44155096519</v>
      </c>
      <c r="F143" s="50">
        <v>2374.2958344525832</v>
      </c>
      <c r="G143" s="50">
        <v>8967.2196319392242</v>
      </c>
      <c r="H143" s="50">
        <v>0</v>
      </c>
      <c r="I143" s="50">
        <v>13230.44155096519</v>
      </c>
      <c r="J143" s="50">
        <v>19924.734673184019</v>
      </c>
    </row>
    <row r="144" spans="1:10" x14ac:dyDescent="0.2">
      <c r="A144" s="7">
        <v>142</v>
      </c>
      <c r="B144" s="50">
        <v>12725.420792144871</v>
      </c>
      <c r="C144" s="50">
        <v>1389.6732063373929</v>
      </c>
      <c r="D144" s="50">
        <v>0</v>
      </c>
      <c r="E144" s="50">
        <v>11206.339847571389</v>
      </c>
      <c r="F144" s="50">
        <v>2406.0013999129301</v>
      </c>
      <c r="G144" s="50">
        <v>7345.5009503237234</v>
      </c>
      <c r="H144" s="50">
        <v>0</v>
      </c>
      <c r="I144" s="50">
        <v>11206.339847571389</v>
      </c>
      <c r="J144" s="50">
        <v>16302.66626053111</v>
      </c>
    </row>
    <row r="145" spans="1:10" x14ac:dyDescent="0.2">
      <c r="A145" s="7">
        <v>143</v>
      </c>
      <c r="B145" s="50">
        <v>15260.91231999714</v>
      </c>
      <c r="C145" s="50">
        <v>2738.7349850574969</v>
      </c>
      <c r="D145" s="50">
        <v>0</v>
      </c>
      <c r="E145" s="50">
        <v>13578.38087005253</v>
      </c>
      <c r="F145" s="50">
        <v>2368.947758875554</v>
      </c>
      <c r="G145" s="50">
        <v>9217.5973727123055</v>
      </c>
      <c r="H145" s="50">
        <v>0</v>
      </c>
      <c r="I145" s="50">
        <v>13578.38087005253</v>
      </c>
      <c r="J145" s="50">
        <v>20519.80282892779</v>
      </c>
    </row>
    <row r="146" spans="1:10" x14ac:dyDescent="0.2">
      <c r="A146" s="7">
        <v>144</v>
      </c>
      <c r="B146" s="50">
        <v>12917.278197785559</v>
      </c>
      <c r="C146" s="50">
        <v>1490.494364428421</v>
      </c>
      <c r="D146" s="50">
        <v>0</v>
      </c>
      <c r="E146" s="50">
        <v>11388.49959209334</v>
      </c>
      <c r="F146" s="50">
        <v>2403.2820025210681</v>
      </c>
      <c r="G146" s="50">
        <v>7495.5884862754456</v>
      </c>
      <c r="H146" s="50">
        <v>0</v>
      </c>
      <c r="I146" s="50">
        <v>11388.49959209334</v>
      </c>
      <c r="J146" s="50">
        <v>16688.224583326872</v>
      </c>
    </row>
    <row r="147" spans="1:10" x14ac:dyDescent="0.2">
      <c r="A147" s="7">
        <v>145</v>
      </c>
      <c r="B147" s="50">
        <v>15656.85347206123</v>
      </c>
      <c r="C147" s="50">
        <v>2948.9185317214292</v>
      </c>
      <c r="D147" s="50">
        <v>0</v>
      </c>
      <c r="E147" s="50">
        <v>13943.51023976364</v>
      </c>
      <c r="F147" s="50">
        <v>2363.1504851382629</v>
      </c>
      <c r="G147" s="50">
        <v>9480.884567647212</v>
      </c>
      <c r="H147" s="50">
        <v>0</v>
      </c>
      <c r="I147" s="50">
        <v>13943.51023976364</v>
      </c>
      <c r="J147" s="50">
        <v>21158.702346863251</v>
      </c>
    </row>
    <row r="148" spans="1:10" x14ac:dyDescent="0.2">
      <c r="A148" s="7">
        <v>146</v>
      </c>
      <c r="B148" s="50">
        <v>13169.219343169179</v>
      </c>
      <c r="C148" s="50">
        <v>1599.125615744153</v>
      </c>
      <c r="D148" s="50">
        <v>0</v>
      </c>
      <c r="E148" s="50">
        <v>11630.719648692229</v>
      </c>
      <c r="F148" s="50">
        <v>2400.2796154485259</v>
      </c>
      <c r="G148" s="50">
        <v>7663.5134956359834</v>
      </c>
      <c r="H148" s="50">
        <v>0</v>
      </c>
      <c r="I148" s="50">
        <v>11630.719648692229</v>
      </c>
      <c r="J148" s="50">
        <v>17074.049593258998</v>
      </c>
    </row>
    <row r="149" spans="1:10" x14ac:dyDescent="0.2">
      <c r="A149" s="7">
        <v>147</v>
      </c>
      <c r="B149" s="50">
        <v>16075.08168441546</v>
      </c>
      <c r="C149" s="50">
        <v>3175.7064162026509</v>
      </c>
      <c r="D149" s="50">
        <v>0</v>
      </c>
      <c r="E149" s="50">
        <v>14326.84541510354</v>
      </c>
      <c r="F149" s="50">
        <v>2356.9150071604531</v>
      </c>
      <c r="G149" s="50">
        <v>9757.0355677971093</v>
      </c>
      <c r="H149" s="50">
        <v>0</v>
      </c>
      <c r="I149" s="50">
        <v>14326.84541510354</v>
      </c>
      <c r="J149" s="50">
        <v>21838.684322734309</v>
      </c>
    </row>
    <row r="150" spans="1:10" x14ac:dyDescent="0.2">
      <c r="A150" s="7">
        <v>148</v>
      </c>
      <c r="B150" s="50">
        <v>13434.26069745846</v>
      </c>
      <c r="C150" s="50">
        <v>1716.6062202120081</v>
      </c>
      <c r="D150" s="50">
        <v>0</v>
      </c>
      <c r="E150" s="50">
        <v>11884.56389925531</v>
      </c>
      <c r="F150" s="50">
        <v>2396.9716753444518</v>
      </c>
      <c r="G150" s="50">
        <v>7839.58558462371</v>
      </c>
      <c r="H150" s="50">
        <v>0</v>
      </c>
      <c r="I150" s="50">
        <v>11884.56389925531</v>
      </c>
      <c r="J150" s="50">
        <v>17484.014089546861</v>
      </c>
    </row>
    <row r="151" spans="1:10" x14ac:dyDescent="0.2">
      <c r="A151" s="7">
        <v>149</v>
      </c>
      <c r="B151" s="50">
        <v>16519.712578925981</v>
      </c>
      <c r="C151" s="50">
        <v>3419.056031239335</v>
      </c>
      <c r="D151" s="50">
        <v>0</v>
      </c>
      <c r="E151" s="50">
        <v>14732.44051901429</v>
      </c>
      <c r="F151" s="50">
        <v>2350.2379052962929</v>
      </c>
      <c r="G151" s="50">
        <v>10046.309830854299</v>
      </c>
      <c r="H151" s="50">
        <v>0</v>
      </c>
      <c r="I151" s="50">
        <v>14732.44051901429</v>
      </c>
      <c r="J151" s="50">
        <v>22559.48175110939</v>
      </c>
    </row>
    <row r="152" spans="1:10" x14ac:dyDescent="0.2">
      <c r="A152" s="7">
        <v>150</v>
      </c>
      <c r="B152" s="50">
        <v>13714.58105501952</v>
      </c>
      <c r="C152" s="50">
        <v>1842.926415984286</v>
      </c>
      <c r="D152" s="50">
        <v>0</v>
      </c>
      <c r="E152" s="50">
        <v>12152.17868301948</v>
      </c>
      <c r="F152" s="50">
        <v>2393.3491015615</v>
      </c>
      <c r="G152" s="50">
        <v>8024.0033987999204</v>
      </c>
      <c r="H152" s="50">
        <v>0</v>
      </c>
      <c r="I152" s="50">
        <v>12152.17868301948</v>
      </c>
      <c r="J152" s="50">
        <v>17918.142570730441</v>
      </c>
    </row>
    <row r="153" spans="1:10" x14ac:dyDescent="0.2">
      <c r="A153" s="7">
        <v>151</v>
      </c>
      <c r="B153" s="50">
        <v>16993.96433371447</v>
      </c>
      <c r="C153" s="50">
        <v>3681.363488027418</v>
      </c>
      <c r="D153" s="50">
        <v>0</v>
      </c>
      <c r="E153" s="50">
        <v>15162.836437446111</v>
      </c>
      <c r="F153" s="50">
        <v>2343.086941032991</v>
      </c>
      <c r="G153" s="50">
        <v>10349.353742397519</v>
      </c>
      <c r="H153" s="50">
        <v>0</v>
      </c>
      <c r="I153" s="50">
        <v>15162.836437446111</v>
      </c>
      <c r="J153" s="50">
        <v>23326.346226154881</v>
      </c>
    </row>
    <row r="154" spans="1:10" x14ac:dyDescent="0.2">
      <c r="A154" s="7">
        <v>152</v>
      </c>
      <c r="B154" s="50">
        <v>14009.913163297961</v>
      </c>
      <c r="C154" s="50">
        <v>1979.282170307793</v>
      </c>
      <c r="D154" s="50">
        <v>0</v>
      </c>
      <c r="E154" s="50">
        <v>12432.98390153583</v>
      </c>
      <c r="F154" s="50">
        <v>2389.3872391443292</v>
      </c>
      <c r="G154" s="50">
        <v>8217.1509581840946</v>
      </c>
      <c r="H154" s="50">
        <v>0</v>
      </c>
      <c r="I154" s="50">
        <v>12432.98390153583</v>
      </c>
      <c r="J154" s="50">
        <v>18379.212021568848</v>
      </c>
    </row>
    <row r="155" spans="1:10" x14ac:dyDescent="0.2">
      <c r="A155" s="7">
        <v>153</v>
      </c>
      <c r="B155" s="50">
        <v>17499.658090264809</v>
      </c>
      <c r="C155" s="50">
        <v>3965.3806406566291</v>
      </c>
      <c r="D155" s="50">
        <v>0</v>
      </c>
      <c r="E155" s="50">
        <v>15618.96774736342</v>
      </c>
      <c r="F155" s="50">
        <v>2335.4283195328612</v>
      </c>
      <c r="G155" s="50">
        <v>10666.72377212484</v>
      </c>
      <c r="H155" s="50">
        <v>0</v>
      </c>
      <c r="I155" s="50">
        <v>15618.96774736342</v>
      </c>
      <c r="J155" s="50">
        <v>24145.28276955476</v>
      </c>
    </row>
    <row r="156" spans="1:10" x14ac:dyDescent="0.2">
      <c r="A156" s="7">
        <v>154</v>
      </c>
      <c r="B156" s="50">
        <v>14320.76546509642</v>
      </c>
      <c r="C156" s="50">
        <v>2125.8456323109572</v>
      </c>
      <c r="D156" s="50">
        <v>0</v>
      </c>
      <c r="E156" s="50">
        <v>12727.35912845058</v>
      </c>
      <c r="F156" s="50">
        <v>2385.074676983379</v>
      </c>
      <c r="G156" s="50">
        <v>8419.2299880745122</v>
      </c>
      <c r="H156" s="50">
        <v>0</v>
      </c>
      <c r="I156" s="50">
        <v>12727.35912845058</v>
      </c>
      <c r="J156" s="50">
        <v>18867.631538399699</v>
      </c>
    </row>
    <row r="157" spans="1:10" x14ac:dyDescent="0.2">
      <c r="A157" s="7">
        <v>155</v>
      </c>
      <c r="B157" s="50">
        <v>18037.741222877859</v>
      </c>
      <c r="C157" s="50">
        <v>4273.0670949271298</v>
      </c>
      <c r="D157" s="50">
        <v>0</v>
      </c>
      <c r="E157" s="50">
        <v>16100.98929069308</v>
      </c>
      <c r="F157" s="50">
        <v>2327.2404900957481</v>
      </c>
      <c r="G157" s="50">
        <v>10998.69443229689</v>
      </c>
      <c r="H157" s="50">
        <v>0</v>
      </c>
      <c r="I157" s="50">
        <v>16100.98929069308</v>
      </c>
      <c r="J157" s="50">
        <v>25020.431196599089</v>
      </c>
    </row>
    <row r="158" spans="1:10" x14ac:dyDescent="0.2">
      <c r="A158" s="7">
        <v>156</v>
      </c>
      <c r="B158" s="50">
        <v>14645.80679382479</v>
      </c>
      <c r="C158" s="50">
        <v>2282.8322013476859</v>
      </c>
      <c r="D158" s="50">
        <v>0</v>
      </c>
      <c r="E158" s="50">
        <v>13033.779642455431</v>
      </c>
      <c r="F158" s="50">
        <v>2380.3990445447271</v>
      </c>
      <c r="G158" s="50">
        <v>8630.4805330981326</v>
      </c>
      <c r="H158" s="50">
        <v>0</v>
      </c>
      <c r="I158" s="50">
        <v>13033.779642455431</v>
      </c>
      <c r="J158" s="50">
        <v>19383.891981406661</v>
      </c>
    </row>
    <row r="159" spans="1:10" x14ac:dyDescent="0.2">
      <c r="A159" s="7">
        <v>157</v>
      </c>
      <c r="B159" s="50">
        <v>18608.15522640077</v>
      </c>
      <c r="C159" s="50">
        <v>4605.4934473725734</v>
      </c>
      <c r="D159" s="50">
        <v>0</v>
      </c>
      <c r="E159" s="50">
        <v>16608.19306626941</v>
      </c>
      <c r="F159" s="50">
        <v>2318.5143518431</v>
      </c>
      <c r="G159" s="50">
        <v>11345.30352344638</v>
      </c>
      <c r="H159" s="50">
        <v>0</v>
      </c>
      <c r="I159" s="50">
        <v>16608.19306626941</v>
      </c>
      <c r="J159" s="50">
        <v>25953.871275621121</v>
      </c>
    </row>
    <row r="160" spans="1:10" x14ac:dyDescent="0.2">
      <c r="A160" s="7">
        <v>158</v>
      </c>
      <c r="B160" s="50">
        <v>14986.213331210351</v>
      </c>
      <c r="C160" s="50">
        <v>2449.3137185354431</v>
      </c>
      <c r="D160" s="50">
        <v>0</v>
      </c>
      <c r="E160" s="50">
        <v>13353.5260237108</v>
      </c>
      <c r="F160" s="50">
        <v>2375.3614190306398</v>
      </c>
      <c r="G160" s="50">
        <v>8851.0499325837591</v>
      </c>
      <c r="H160" s="50">
        <v>0</v>
      </c>
      <c r="I160" s="50">
        <v>13353.5260237108</v>
      </c>
      <c r="J160" s="50">
        <v>19925.85853981358</v>
      </c>
    </row>
    <row r="161" spans="1:10" x14ac:dyDescent="0.2">
      <c r="A161" s="7">
        <v>159</v>
      </c>
      <c r="B161" s="50">
        <v>19211.53065032656</v>
      </c>
      <c r="C161" s="50">
        <v>4962.7314408816746</v>
      </c>
      <c r="D161" s="50">
        <v>0</v>
      </c>
      <c r="E161" s="50">
        <v>17140.854058547131</v>
      </c>
      <c r="F161" s="50">
        <v>2309.2533881242271</v>
      </c>
      <c r="G161" s="50">
        <v>11706.411038481479</v>
      </c>
      <c r="H161" s="50">
        <v>0</v>
      </c>
      <c r="I161" s="50">
        <v>17140.854058547131</v>
      </c>
      <c r="J161" s="50">
        <v>26945.37988049354</v>
      </c>
    </row>
    <row r="162" spans="1:10" x14ac:dyDescent="0.2">
      <c r="A162" s="7">
        <v>160</v>
      </c>
      <c r="B162" s="50">
        <v>15346.311708957321</v>
      </c>
      <c r="C162" s="50">
        <v>2625.463391155557</v>
      </c>
      <c r="D162" s="50">
        <v>0</v>
      </c>
      <c r="E162" s="50">
        <v>13690.93377506298</v>
      </c>
      <c r="F162" s="50">
        <v>2369.9478439746599</v>
      </c>
      <c r="G162" s="50">
        <v>9081.3816411972221</v>
      </c>
      <c r="H162" s="50">
        <v>0</v>
      </c>
      <c r="I162" s="50">
        <v>13690.93377506298</v>
      </c>
      <c r="J162" s="50">
        <v>20493.917746531541</v>
      </c>
    </row>
    <row r="163" spans="1:10" x14ac:dyDescent="0.2">
      <c r="A163" s="7">
        <v>161</v>
      </c>
      <c r="B163" s="50">
        <v>19850.448567424351</v>
      </c>
      <c r="C163" s="50">
        <v>5344.9392645627086</v>
      </c>
      <c r="D163" s="50">
        <v>0</v>
      </c>
      <c r="E163" s="50">
        <v>17701.29250768511</v>
      </c>
      <c r="F163" s="50">
        <v>2299.4603508433211</v>
      </c>
      <c r="G163" s="50">
        <v>12081.930250281321</v>
      </c>
      <c r="H163" s="50">
        <v>0</v>
      </c>
      <c r="I163" s="50">
        <v>17701.29250768511</v>
      </c>
      <c r="J163" s="50">
        <v>27994.884596444721</v>
      </c>
    </row>
    <row r="164" spans="1:10" x14ac:dyDescent="0.2">
      <c r="A164" s="7">
        <v>162</v>
      </c>
      <c r="B164" s="50">
        <v>15727.568276625419</v>
      </c>
      <c r="C164" s="50">
        <v>2813.894189048413</v>
      </c>
      <c r="D164" s="50">
        <v>0</v>
      </c>
      <c r="E164" s="50">
        <v>14046.877018590631</v>
      </c>
      <c r="F164" s="50">
        <v>2364.114617825951</v>
      </c>
      <c r="G164" s="50">
        <v>9322.2873367811408</v>
      </c>
      <c r="H164" s="50">
        <v>0</v>
      </c>
      <c r="I164" s="50">
        <v>14046.877018590631</v>
      </c>
      <c r="J164" s="50">
        <v>21094.004955513959</v>
      </c>
    </row>
    <row r="165" spans="1:10" x14ac:dyDescent="0.2">
      <c r="A165" s="7">
        <v>163</v>
      </c>
      <c r="B165" s="50">
        <v>20523.548513271449</v>
      </c>
      <c r="C165" s="50">
        <v>5753.5945914799522</v>
      </c>
      <c r="D165" s="50">
        <v>0</v>
      </c>
      <c r="E165" s="50">
        <v>18287.287689323959</v>
      </c>
      <c r="F165" s="50">
        <v>2289.1239322778711</v>
      </c>
      <c r="G165" s="50">
        <v>12471.98959348089</v>
      </c>
      <c r="H165" s="50">
        <v>0</v>
      </c>
      <c r="I165" s="50">
        <v>18287.287689323959</v>
      </c>
      <c r="J165" s="50">
        <v>29105.242683973829</v>
      </c>
    </row>
    <row r="166" spans="1:10" x14ac:dyDescent="0.2">
      <c r="A166" s="7">
        <v>164</v>
      </c>
      <c r="B166" s="50">
        <v>16132.434877148809</v>
      </c>
      <c r="C166" s="50">
        <v>3016.3813223279722</v>
      </c>
      <c r="D166" s="50">
        <v>0</v>
      </c>
      <c r="E166" s="50">
        <v>14423.370618792729</v>
      </c>
      <c r="F166" s="50">
        <v>2357.830161527032</v>
      </c>
      <c r="G166" s="50">
        <v>9574.3299153675034</v>
      </c>
      <c r="H166" s="50">
        <v>0</v>
      </c>
      <c r="I166" s="50">
        <v>14423.370618792729</v>
      </c>
      <c r="J166" s="50">
        <v>21730.11201573658</v>
      </c>
    </row>
    <row r="167" spans="1:10" x14ac:dyDescent="0.2">
      <c r="A167" s="7">
        <v>165</v>
      </c>
      <c r="B167" s="50">
        <v>21232.416724109771</v>
      </c>
      <c r="C167" s="50">
        <v>6188.0257315294884</v>
      </c>
      <c r="D167" s="50">
        <v>0</v>
      </c>
      <c r="E167" s="50">
        <v>18900.383419663191</v>
      </c>
      <c r="F167" s="50">
        <v>2278.2578220360738</v>
      </c>
      <c r="G167" s="50">
        <v>12876.37727785288</v>
      </c>
      <c r="H167" s="50">
        <v>0</v>
      </c>
      <c r="I167" s="50">
        <v>18900.383419663191</v>
      </c>
      <c r="J167" s="50">
        <v>30274.438328630229</v>
      </c>
    </row>
    <row r="168" spans="1:10" x14ac:dyDescent="0.2">
      <c r="A168" s="7">
        <v>166</v>
      </c>
      <c r="B168" s="50">
        <v>16558.063145352291</v>
      </c>
      <c r="C168" s="50">
        <v>3234.95987029461</v>
      </c>
      <c r="D168" s="50">
        <v>0</v>
      </c>
      <c r="E168" s="50">
        <v>14816.845016995139</v>
      </c>
      <c r="F168" s="50">
        <v>2351.0612471263739</v>
      </c>
      <c r="G168" s="50">
        <v>9838.0204780002241</v>
      </c>
      <c r="H168" s="50">
        <v>0</v>
      </c>
      <c r="I168" s="50">
        <v>14816.845016995139</v>
      </c>
      <c r="J168" s="50">
        <v>22406.807656338529</v>
      </c>
    </row>
    <row r="169" spans="1:10" x14ac:dyDescent="0.2">
      <c r="A169" s="7">
        <v>167</v>
      </c>
      <c r="B169" s="50">
        <v>21980.117678882791</v>
      </c>
      <c r="C169" s="50">
        <v>6648.788167110848</v>
      </c>
      <c r="D169" s="50">
        <v>0</v>
      </c>
      <c r="E169" s="50">
        <v>19543.349451077109</v>
      </c>
      <c r="F169" s="50">
        <v>2266.861968908896</v>
      </c>
      <c r="G169" s="50">
        <v>13295.18182681408</v>
      </c>
      <c r="H169" s="50">
        <v>0</v>
      </c>
      <c r="I169" s="50">
        <v>19543.349451077109</v>
      </c>
      <c r="J169" s="50">
        <v>31503.17967017955</v>
      </c>
    </row>
    <row r="170" spans="1:10" x14ac:dyDescent="0.2">
      <c r="A170" s="7">
        <v>168</v>
      </c>
      <c r="B170" s="50">
        <v>17003.460425705151</v>
      </c>
      <c r="C170" s="50">
        <v>3468.3648542874139</v>
      </c>
      <c r="D170" s="50">
        <v>0</v>
      </c>
      <c r="E170" s="50">
        <v>15226.367126742871</v>
      </c>
      <c r="F170" s="50">
        <v>2343.8148429817811</v>
      </c>
      <c r="G170" s="50">
        <v>10113.35380718546</v>
      </c>
      <c r="H170" s="50">
        <v>0</v>
      </c>
      <c r="I170" s="50">
        <v>15226.367126742871</v>
      </c>
      <c r="J170" s="50">
        <v>23121.115098868609</v>
      </c>
    </row>
    <row r="171" spans="1:10" x14ac:dyDescent="0.2">
      <c r="A171" s="7">
        <v>169</v>
      </c>
      <c r="B171" s="50">
        <v>22767.8033209032</v>
      </c>
      <c r="C171" s="50">
        <v>7137.8480554492562</v>
      </c>
      <c r="D171" s="50">
        <v>0</v>
      </c>
      <c r="E171" s="50">
        <v>20216.45687880812</v>
      </c>
      <c r="F171" s="50">
        <v>2254.9224436556692</v>
      </c>
      <c r="G171" s="50">
        <v>13728.7277233637</v>
      </c>
      <c r="H171" s="50">
        <v>0</v>
      </c>
      <c r="I171" s="50">
        <v>20216.45687880812</v>
      </c>
      <c r="J171" s="50">
        <v>32795.268558048563</v>
      </c>
    </row>
    <row r="172" spans="1:10" x14ac:dyDescent="0.2">
      <c r="A172" s="7">
        <v>170</v>
      </c>
      <c r="B172" s="50">
        <v>17469.360102654529</v>
      </c>
      <c r="C172" s="50">
        <v>3715.2138932882522</v>
      </c>
      <c r="D172" s="50">
        <v>0</v>
      </c>
      <c r="E172" s="50">
        <v>15652.86587623623</v>
      </c>
      <c r="F172" s="50">
        <v>2336.097259679053</v>
      </c>
      <c r="G172" s="50">
        <v>10400.512873951</v>
      </c>
      <c r="H172" s="50">
        <v>0</v>
      </c>
      <c r="I172" s="50">
        <v>15652.86587623623</v>
      </c>
      <c r="J172" s="50">
        <v>23869.776870737671</v>
      </c>
    </row>
    <row r="173" spans="1:10" x14ac:dyDescent="0.2">
      <c r="A173" s="7">
        <v>171</v>
      </c>
      <c r="B173" s="50">
        <v>23592.001299042429</v>
      </c>
      <c r="C173" s="50">
        <v>7656.3399765027279</v>
      </c>
      <c r="D173" s="50">
        <v>0</v>
      </c>
      <c r="E173" s="50">
        <v>20915.277924236809</v>
      </c>
      <c r="F173" s="50">
        <v>2242.436521171709</v>
      </c>
      <c r="G173" s="50">
        <v>14177.160321909991</v>
      </c>
      <c r="H173" s="50">
        <v>0</v>
      </c>
      <c r="I173" s="50">
        <v>20915.277924236809</v>
      </c>
      <c r="J173" s="50">
        <v>34152.540610216587</v>
      </c>
    </row>
    <row r="174" spans="1:10" x14ac:dyDescent="0.2">
      <c r="A174" s="7">
        <v>172</v>
      </c>
      <c r="B174" s="50">
        <v>17952.115543201311</v>
      </c>
      <c r="C174" s="50">
        <v>3975.197161369782</v>
      </c>
      <c r="D174" s="50">
        <v>0</v>
      </c>
      <c r="E174" s="50">
        <v>16092.49759410815</v>
      </c>
      <c r="F174" s="50">
        <v>2327.9003031774191</v>
      </c>
      <c r="G174" s="50">
        <v>10700.06581483176</v>
      </c>
      <c r="H174" s="50">
        <v>0</v>
      </c>
      <c r="I174" s="50">
        <v>16092.49759410815</v>
      </c>
      <c r="J174" s="50">
        <v>24651.95081451206</v>
      </c>
    </row>
    <row r="175" spans="1:10" x14ac:dyDescent="0.2">
      <c r="A175" s="7">
        <v>173</v>
      </c>
      <c r="B175" s="50">
        <v>24455.8971260789</v>
      </c>
      <c r="C175" s="50">
        <v>8201.9963047380443</v>
      </c>
      <c r="D175" s="50">
        <v>0</v>
      </c>
      <c r="E175" s="50">
        <v>21643.740187647749</v>
      </c>
      <c r="F175" s="50">
        <v>2229.4373311027298</v>
      </c>
      <c r="G175" s="50">
        <v>14640.179285075281</v>
      </c>
      <c r="H175" s="50">
        <v>0</v>
      </c>
      <c r="I175" s="50">
        <v>21643.740187647749</v>
      </c>
      <c r="J175" s="50">
        <v>35569.113611832086</v>
      </c>
    </row>
    <row r="176" spans="1:10" x14ac:dyDescent="0.2">
      <c r="A176" s="7">
        <v>174</v>
      </c>
      <c r="B176" s="50">
        <v>18460.203150771398</v>
      </c>
      <c r="C176" s="50">
        <v>4245.6005254741176</v>
      </c>
      <c r="D176" s="50">
        <v>0</v>
      </c>
      <c r="E176" s="50">
        <v>16554.682093335621</v>
      </c>
      <c r="F176" s="50">
        <v>2319.2416717018059</v>
      </c>
      <c r="G176" s="50">
        <v>11012.47980003693</v>
      </c>
      <c r="H176" s="50">
        <v>0</v>
      </c>
      <c r="I176" s="50">
        <v>16554.682093335621</v>
      </c>
      <c r="J176" s="50">
        <v>25461.300218310269</v>
      </c>
    </row>
    <row r="177" spans="1:10" x14ac:dyDescent="0.2">
      <c r="A177" s="7">
        <v>175</v>
      </c>
      <c r="B177" s="50">
        <v>25363.407416247759</v>
      </c>
      <c r="C177" s="50">
        <v>8776.0777231000538</v>
      </c>
      <c r="D177" s="50">
        <v>0</v>
      </c>
      <c r="E177" s="50">
        <v>22405.368525425551</v>
      </c>
      <c r="F177" s="50">
        <v>2215.920258034836</v>
      </c>
      <c r="G177" s="50">
        <v>15118.32404005024</v>
      </c>
      <c r="H177" s="50">
        <v>0</v>
      </c>
      <c r="I177" s="50">
        <v>22405.368525425551</v>
      </c>
      <c r="J177" s="50">
        <v>37046.918055708113</v>
      </c>
    </row>
    <row r="178" spans="1:10" x14ac:dyDescent="0.2">
      <c r="A178" s="7">
        <v>176</v>
      </c>
      <c r="B178" s="50">
        <v>18997.23742835327</v>
      </c>
      <c r="C178" s="50">
        <v>4530.6660958678985</v>
      </c>
      <c r="D178" s="50">
        <v>0</v>
      </c>
      <c r="E178" s="50">
        <v>17042.025047532341</v>
      </c>
      <c r="F178" s="50">
        <v>2310.057662546868</v>
      </c>
      <c r="G178" s="50">
        <v>11339.564405311419</v>
      </c>
      <c r="H178" s="50">
        <v>0</v>
      </c>
      <c r="I178" s="50">
        <v>17042.025047532341</v>
      </c>
      <c r="J178" s="50">
        <v>26307.16143031215</v>
      </c>
    </row>
    <row r="179" spans="1:10" x14ac:dyDescent="0.2">
      <c r="A179" s="7">
        <v>177</v>
      </c>
      <c r="B179" s="50">
        <v>26318.659237420721</v>
      </c>
      <c r="C179" s="50">
        <v>9381.4283191513678</v>
      </c>
      <c r="D179" s="50">
        <v>0</v>
      </c>
      <c r="E179" s="50">
        <v>23203.30748390406</v>
      </c>
      <c r="F179" s="50">
        <v>2201.8671398160509</v>
      </c>
      <c r="G179" s="50">
        <v>15612.44999173513</v>
      </c>
      <c r="H179" s="50">
        <v>0</v>
      </c>
      <c r="I179" s="50">
        <v>23203.30748390406</v>
      </c>
      <c r="J179" s="50">
        <v>38591.277687990507</v>
      </c>
    </row>
    <row r="180" spans="1:10" x14ac:dyDescent="0.2">
      <c r="A180" s="7">
        <v>178</v>
      </c>
      <c r="B180" s="50">
        <v>19566.229500305879</v>
      </c>
      <c r="C180" s="50">
        <v>4834.0509320923011</v>
      </c>
      <c r="D180" s="50">
        <v>0</v>
      </c>
      <c r="E180" s="50">
        <v>17556.559573236391</v>
      </c>
      <c r="F180" s="50">
        <v>2300.295387033053</v>
      </c>
      <c r="G180" s="50">
        <v>11682.93173798994</v>
      </c>
      <c r="H180" s="50">
        <v>0</v>
      </c>
      <c r="I180" s="50">
        <v>17556.559573236391</v>
      </c>
      <c r="J180" s="50">
        <v>27197.43348326729</v>
      </c>
    </row>
    <row r="181" spans="1:10" x14ac:dyDescent="0.2">
      <c r="A181" s="7">
        <v>179</v>
      </c>
      <c r="B181" s="50">
        <v>27328.386186400709</v>
      </c>
      <c r="C181" s="50">
        <v>10021.48975495633</v>
      </c>
      <c r="D181" s="50">
        <v>0</v>
      </c>
      <c r="E181" s="50">
        <v>24043.247573919329</v>
      </c>
      <c r="F181" s="50">
        <v>2187.258172420552</v>
      </c>
      <c r="G181" s="50">
        <v>16123.482156737129</v>
      </c>
      <c r="H181" s="50">
        <v>0</v>
      </c>
      <c r="I181" s="50">
        <v>24043.247573919329</v>
      </c>
      <c r="J181" s="50">
        <v>40208.692381541128</v>
      </c>
    </row>
    <row r="182" spans="1:10" x14ac:dyDescent="0.2">
      <c r="A182" s="7">
        <v>180</v>
      </c>
      <c r="B182" s="50">
        <v>20176.931105238</v>
      </c>
      <c r="C182" s="50">
        <v>5158.7629049355464</v>
      </c>
      <c r="D182" s="50">
        <v>0</v>
      </c>
      <c r="E182" s="50">
        <v>18107.481786660941</v>
      </c>
      <c r="F182" s="50">
        <v>2289.912954637985</v>
      </c>
      <c r="G182" s="50">
        <v>12044.043483494899</v>
      </c>
      <c r="H182" s="50">
        <v>0</v>
      </c>
      <c r="I182" s="50">
        <v>18107.481786660941</v>
      </c>
      <c r="J182" s="50">
        <v>28138.446981973309</v>
      </c>
    </row>
    <row r="183" spans="1:10" x14ac:dyDescent="0.2">
      <c r="A183" s="7">
        <v>181</v>
      </c>
      <c r="B183" s="50">
        <v>28398.30612134096</v>
      </c>
      <c r="C183" s="50">
        <v>10701.686042388959</v>
      </c>
      <c r="D183" s="50">
        <v>0</v>
      </c>
      <c r="E183" s="50">
        <v>24928.907241573728</v>
      </c>
      <c r="F183" s="50">
        <v>2172.060322124395</v>
      </c>
      <c r="G183" s="50">
        <v>16652.56518313292</v>
      </c>
      <c r="H183" s="50">
        <v>0</v>
      </c>
      <c r="I183" s="50">
        <v>24928.907241573728</v>
      </c>
      <c r="J183" s="50">
        <v>41909.784999855146</v>
      </c>
    </row>
    <row r="184" spans="1:10" x14ac:dyDescent="0.2">
      <c r="A184" s="7">
        <v>182</v>
      </c>
      <c r="B184" s="50">
        <v>20836.743769537981</v>
      </c>
      <c r="C184" s="50">
        <v>5511.9635431052593</v>
      </c>
      <c r="D184" s="50">
        <v>0</v>
      </c>
      <c r="E184" s="50">
        <v>18700.267304022011</v>
      </c>
      <c r="F184" s="50">
        <v>2278.827744483046</v>
      </c>
      <c r="G184" s="50">
        <v>12424.892044912271</v>
      </c>
      <c r="H184" s="50">
        <v>0</v>
      </c>
      <c r="I184" s="50">
        <v>18700.267304022011</v>
      </c>
      <c r="J184" s="50">
        <v>29145.74236807827</v>
      </c>
    </row>
    <row r="185" spans="1:10" x14ac:dyDescent="0.2">
      <c r="A185" s="7">
        <v>183</v>
      </c>
      <c r="B185" s="50">
        <v>29533.98136299722</v>
      </c>
      <c r="C185" s="50">
        <v>11427.261266581771</v>
      </c>
      <c r="D185" s="50">
        <v>0</v>
      </c>
      <c r="E185" s="50">
        <v>25863.787813386822</v>
      </c>
      <c r="F185" s="50">
        <v>2156.2503469247599</v>
      </c>
      <c r="G185" s="50">
        <v>17200.58796556728</v>
      </c>
      <c r="H185" s="50">
        <v>0</v>
      </c>
      <c r="I185" s="50">
        <v>25863.787813386822</v>
      </c>
      <c r="J185" s="50">
        <v>43704.438336605846</v>
      </c>
    </row>
    <row r="186" spans="1:10" x14ac:dyDescent="0.2">
      <c r="A186" s="7">
        <v>184</v>
      </c>
      <c r="B186" s="50">
        <v>21547.522551161201</v>
      </c>
      <c r="C186" s="50">
        <v>5900.6950390416596</v>
      </c>
      <c r="D186" s="50">
        <v>0</v>
      </c>
      <c r="E186" s="50">
        <v>19334.413574235659</v>
      </c>
      <c r="F186" s="50">
        <v>2266.9677646875498</v>
      </c>
      <c r="G186" s="50">
        <v>12827.057788466949</v>
      </c>
      <c r="H186" s="50">
        <v>0</v>
      </c>
      <c r="I186" s="50">
        <v>19334.413574235659</v>
      </c>
      <c r="J186" s="50">
        <v>30234.35946790938</v>
      </c>
    </row>
    <row r="187" spans="1:10" x14ac:dyDescent="0.2">
      <c r="A187" s="7">
        <v>185</v>
      </c>
      <c r="B187" s="50">
        <v>30737.327878766329</v>
      </c>
      <c r="C187" s="50">
        <v>12203.290480117779</v>
      </c>
      <c r="D187" s="50">
        <v>0</v>
      </c>
      <c r="E187" s="50">
        <v>26847.337043104078</v>
      </c>
      <c r="F187" s="50">
        <v>2139.814611055946</v>
      </c>
      <c r="G187" s="50">
        <v>17768.204422962848</v>
      </c>
      <c r="H187" s="50">
        <v>0</v>
      </c>
      <c r="I187" s="50">
        <v>26847.337043104078</v>
      </c>
      <c r="J187" s="50">
        <v>45601.890626361652</v>
      </c>
    </row>
    <row r="188" spans="1:10" x14ac:dyDescent="0.2">
      <c r="A188" s="7">
        <v>186</v>
      </c>
      <c r="B188" s="50">
        <v>22310.38799501046</v>
      </c>
      <c r="C188" s="50">
        <v>6328.2279778153461</v>
      </c>
      <c r="D188" s="50">
        <v>0</v>
      </c>
      <c r="E188" s="50">
        <v>20009.604938085049</v>
      </c>
      <c r="F188" s="50">
        <v>2254.3097644727682</v>
      </c>
      <c r="G188" s="50">
        <v>13251.20097403211</v>
      </c>
      <c r="H188" s="50">
        <v>0</v>
      </c>
      <c r="I188" s="50">
        <v>20009.604938085049</v>
      </c>
      <c r="J188" s="50">
        <v>31410.662513420481</v>
      </c>
    </row>
    <row r="189" spans="1:10" x14ac:dyDescent="0.2">
      <c r="A189" s="7">
        <v>187</v>
      </c>
      <c r="B189" s="50">
        <v>32024.508914547121</v>
      </c>
      <c r="C189" s="50">
        <v>13032.16696848185</v>
      </c>
      <c r="D189" s="50">
        <v>0</v>
      </c>
      <c r="E189" s="50">
        <v>27895.824987131029</v>
      </c>
      <c r="F189" s="50">
        <v>2122.7706258095568</v>
      </c>
      <c r="G189" s="50">
        <v>18355.475212164249</v>
      </c>
      <c r="H189" s="50">
        <v>0</v>
      </c>
      <c r="I189" s="50">
        <v>27895.824987131029</v>
      </c>
      <c r="J189" s="50">
        <v>47605.239633984631</v>
      </c>
    </row>
    <row r="190" spans="1:10" x14ac:dyDescent="0.2">
      <c r="A190" s="7">
        <v>188</v>
      </c>
      <c r="B190" s="50">
        <v>23131.666560035948</v>
      </c>
      <c r="C190" s="50">
        <v>6796.0093478123017</v>
      </c>
      <c r="D190" s="50">
        <v>0</v>
      </c>
      <c r="E190" s="50">
        <v>20731.5236197593</v>
      </c>
      <c r="F190" s="50">
        <v>2240.8542288683238</v>
      </c>
      <c r="G190" s="50">
        <v>13697.63438495781</v>
      </c>
      <c r="H190" s="50">
        <v>0</v>
      </c>
      <c r="I190" s="50">
        <v>20731.5236197593</v>
      </c>
      <c r="J190" s="50">
        <v>32676.76893269748</v>
      </c>
    </row>
    <row r="191" spans="1:10" x14ac:dyDescent="0.2">
      <c r="A191" s="7">
        <v>189</v>
      </c>
      <c r="B191" s="50">
        <v>33408.453744695442</v>
      </c>
      <c r="C191" s="50">
        <v>13925.949367548221</v>
      </c>
      <c r="D191" s="50">
        <v>0</v>
      </c>
      <c r="E191" s="50">
        <v>29017.584782888589</v>
      </c>
      <c r="F191" s="50">
        <v>2105.059379888989</v>
      </c>
      <c r="G191" s="50">
        <v>18963.960953626691</v>
      </c>
      <c r="H191" s="50">
        <v>0</v>
      </c>
      <c r="I191" s="50">
        <v>29017.584782888589</v>
      </c>
      <c r="J191" s="50">
        <v>49738.663706844789</v>
      </c>
    </row>
    <row r="192" spans="1:10" x14ac:dyDescent="0.2">
      <c r="A192" s="7">
        <v>190</v>
      </c>
      <c r="B192" s="50">
        <v>24019.414066060181</v>
      </c>
      <c r="C192" s="50">
        <v>7308.3413108155664</v>
      </c>
      <c r="D192" s="50">
        <v>0</v>
      </c>
      <c r="E192" s="50">
        <v>21506.74456546595</v>
      </c>
      <c r="F192" s="50">
        <v>2226.5762331550359</v>
      </c>
      <c r="G192" s="50">
        <v>14167.134478922</v>
      </c>
      <c r="H192" s="50">
        <v>0</v>
      </c>
      <c r="I192" s="50">
        <v>21506.74456546595</v>
      </c>
      <c r="J192" s="50">
        <v>34041.060802763619</v>
      </c>
    </row>
    <row r="193" spans="1:10" x14ac:dyDescent="0.2">
      <c r="A193" s="7">
        <v>191</v>
      </c>
      <c r="B193" s="50">
        <v>34890.000225776697</v>
      </c>
      <c r="C193" s="50">
        <v>14896.535316618631</v>
      </c>
      <c r="D193" s="50">
        <v>0</v>
      </c>
      <c r="E193" s="50">
        <v>30207.245881253559</v>
      </c>
      <c r="F193" s="50">
        <v>2086.641920283088</v>
      </c>
      <c r="G193" s="50">
        <v>19594.408124260841</v>
      </c>
      <c r="H193" s="50">
        <v>0</v>
      </c>
      <c r="I193" s="50">
        <v>30207.245881253559</v>
      </c>
      <c r="J193" s="50">
        <v>52025.683806324378</v>
      </c>
    </row>
    <row r="194" spans="1:10" x14ac:dyDescent="0.2">
      <c r="A194" s="7">
        <v>192</v>
      </c>
      <c r="B194" s="50">
        <v>24975.259319054188</v>
      </c>
      <c r="C194" s="50">
        <v>7871.6041697145556</v>
      </c>
      <c r="D194" s="50">
        <v>0</v>
      </c>
      <c r="E194" s="50">
        <v>22334.200051330641</v>
      </c>
      <c r="F194" s="50">
        <v>2211.4378339871182</v>
      </c>
      <c r="G194" s="50">
        <v>14660.596627915371</v>
      </c>
      <c r="H194" s="50">
        <v>0</v>
      </c>
      <c r="I194" s="50">
        <v>22334.200051330641</v>
      </c>
      <c r="J194" s="50">
        <v>35516.351702850021</v>
      </c>
    </row>
    <row r="195" spans="1:10" x14ac:dyDescent="0.2">
      <c r="A195" s="7">
        <v>193</v>
      </c>
      <c r="B195" s="50">
        <v>36465.423103879417</v>
      </c>
      <c r="C195" s="50">
        <v>15946.76984701969</v>
      </c>
      <c r="D195" s="50">
        <v>0</v>
      </c>
      <c r="E195" s="50">
        <v>31458.30572452454</v>
      </c>
      <c r="F195" s="50">
        <v>2067.5697290465469</v>
      </c>
      <c r="G195" s="50">
        <v>20245.247488402969</v>
      </c>
      <c r="H195" s="50">
        <v>0</v>
      </c>
      <c r="I195" s="50">
        <v>31458.30572452454</v>
      </c>
      <c r="J195" s="50">
        <v>54469.581078091047</v>
      </c>
    </row>
    <row r="196" spans="1:10" x14ac:dyDescent="0.2">
      <c r="A196" s="7">
        <v>194</v>
      </c>
      <c r="B196" s="50">
        <v>26001.796850070648</v>
      </c>
      <c r="C196" s="50">
        <v>8488.4297919091186</v>
      </c>
      <c r="D196" s="50">
        <v>0</v>
      </c>
      <c r="E196" s="50">
        <v>23214.969644771511</v>
      </c>
      <c r="F196" s="50">
        <v>2195.4473654722101</v>
      </c>
      <c r="G196" s="50">
        <v>15178.027210984441</v>
      </c>
      <c r="H196" s="50">
        <v>0</v>
      </c>
      <c r="I196" s="50">
        <v>23214.969644771511</v>
      </c>
      <c r="J196" s="50">
        <v>37106.829720741887</v>
      </c>
    </row>
    <row r="197" spans="1:10" x14ac:dyDescent="0.2">
      <c r="A197" s="7">
        <v>195</v>
      </c>
      <c r="B197" s="50">
        <v>38132.68522547125</v>
      </c>
      <c r="C197" s="50">
        <v>17074.1637492181</v>
      </c>
      <c r="D197" s="50">
        <v>0</v>
      </c>
      <c r="E197" s="50">
        <v>32768.715684218238</v>
      </c>
      <c r="F197" s="50">
        <v>2047.9407462368249</v>
      </c>
      <c r="G197" s="50">
        <v>20913.806390897309</v>
      </c>
      <c r="H197" s="50">
        <v>0</v>
      </c>
      <c r="I197" s="50">
        <v>32768.715684218238</v>
      </c>
      <c r="J197" s="50">
        <v>57061.62041750754</v>
      </c>
    </row>
    <row r="198" spans="1:10" x14ac:dyDescent="0.2">
      <c r="A198" s="7">
        <v>196</v>
      </c>
      <c r="B198" s="50">
        <v>27097.396539477249</v>
      </c>
      <c r="C198" s="50">
        <v>9160.9158839474549</v>
      </c>
      <c r="D198" s="50">
        <v>0</v>
      </c>
      <c r="E198" s="50">
        <v>24145.735676781911</v>
      </c>
      <c r="F198" s="50">
        <v>2178.6237168387161</v>
      </c>
      <c r="G198" s="50">
        <v>15719.30016922267</v>
      </c>
      <c r="H198" s="50">
        <v>0</v>
      </c>
      <c r="I198" s="50">
        <v>24145.735676781911</v>
      </c>
      <c r="J198" s="50">
        <v>38815.192654010432</v>
      </c>
    </row>
    <row r="199" spans="1:10" x14ac:dyDescent="0.2">
      <c r="A199" s="7">
        <v>197</v>
      </c>
      <c r="B199" s="50">
        <v>39879.78015640095</v>
      </c>
      <c r="C199" s="50">
        <v>18276.50787140377</v>
      </c>
      <c r="D199" s="50">
        <v>0</v>
      </c>
      <c r="E199" s="50">
        <v>34125.099827911967</v>
      </c>
      <c r="F199" s="50">
        <v>2027.848299466888</v>
      </c>
      <c r="G199" s="50">
        <v>21597.643811408139</v>
      </c>
      <c r="H199" s="50">
        <v>0</v>
      </c>
      <c r="I199" s="50">
        <v>34125.099827911967</v>
      </c>
      <c r="J199" s="50">
        <v>59793.410546372703</v>
      </c>
    </row>
    <row r="200" spans="1:10" x14ac:dyDescent="0.2">
      <c r="A200" s="7">
        <v>198</v>
      </c>
      <c r="B200" s="50">
        <v>28265.607960937261</v>
      </c>
      <c r="C200" s="50">
        <v>9888.0860561950831</v>
      </c>
      <c r="D200" s="50">
        <v>0</v>
      </c>
      <c r="E200" s="50">
        <v>25129.864257922749</v>
      </c>
      <c r="F200" s="50">
        <v>2161.0184696284118</v>
      </c>
      <c r="G200" s="50">
        <v>16283.87067253102</v>
      </c>
      <c r="H200" s="50">
        <v>0</v>
      </c>
      <c r="I200" s="50">
        <v>25129.864257922749</v>
      </c>
      <c r="J200" s="50">
        <v>40637.041459057189</v>
      </c>
    </row>
    <row r="201" spans="1:10" x14ac:dyDescent="0.2">
      <c r="A201" s="7">
        <v>199</v>
      </c>
      <c r="B201" s="50">
        <v>41708.615721091002</v>
      </c>
      <c r="C201" s="50">
        <v>19544.087159103361</v>
      </c>
      <c r="D201" s="50">
        <v>0</v>
      </c>
      <c r="E201" s="50">
        <v>35533.908758337697</v>
      </c>
      <c r="F201" s="50">
        <v>2007.4362394461641</v>
      </c>
      <c r="G201" s="50">
        <v>22293.31881151762</v>
      </c>
      <c r="H201" s="50">
        <v>0</v>
      </c>
      <c r="I201" s="50">
        <v>35533.908758337697</v>
      </c>
      <c r="J201" s="50">
        <v>62640.018654259969</v>
      </c>
    </row>
    <row r="202" spans="1:10" x14ac:dyDescent="0.2">
      <c r="A202" s="7">
        <v>200</v>
      </c>
      <c r="B202" s="50">
        <v>29511.592024645979</v>
      </c>
      <c r="C202" s="50">
        <v>10671.704930423761</v>
      </c>
      <c r="D202" s="50">
        <v>0</v>
      </c>
      <c r="E202" s="50">
        <v>26171.515731297492</v>
      </c>
      <c r="F202" s="50">
        <v>2142.6592349843122</v>
      </c>
      <c r="G202" s="50">
        <v>16871.93631059656</v>
      </c>
      <c r="H202" s="50">
        <v>0</v>
      </c>
      <c r="I202" s="50">
        <v>26171.515731297492</v>
      </c>
      <c r="J202" s="50">
        <v>42573.775214294787</v>
      </c>
    </row>
    <row r="203" spans="1:10" x14ac:dyDescent="0.2">
      <c r="A203" s="7">
        <v>201</v>
      </c>
      <c r="B203" s="50">
        <v>1200905.445366825</v>
      </c>
      <c r="C203" s="50">
        <v>1896.39064685069</v>
      </c>
      <c r="D203" s="50">
        <v>0</v>
      </c>
      <c r="E203" s="50">
        <v>1198736.9982539921</v>
      </c>
      <c r="F203" s="50">
        <v>4318.8405386311933</v>
      </c>
      <c r="G203" s="50">
        <v>475141.2339964835</v>
      </c>
      <c r="H203" s="50">
        <v>0</v>
      </c>
      <c r="I203" s="50">
        <v>1198736.9982539921</v>
      </c>
      <c r="J203" s="50">
        <v>2936242.7018313282</v>
      </c>
    </row>
    <row r="204" spans="1:10" x14ac:dyDescent="0.2">
      <c r="A204" s="7">
        <v>202</v>
      </c>
      <c r="B204" s="50">
        <v>1202747.4904270321</v>
      </c>
      <c r="C204" s="50">
        <v>980.94004775537178</v>
      </c>
      <c r="D204" s="50">
        <v>0</v>
      </c>
      <c r="E204" s="50">
        <v>1200579.0799892391</v>
      </c>
      <c r="F204" s="50">
        <v>4322.6066707386644</v>
      </c>
      <c r="G204" s="50">
        <v>476013.08904006332</v>
      </c>
      <c r="H204" s="50">
        <v>0</v>
      </c>
      <c r="I204" s="50">
        <v>1200579.0799892391</v>
      </c>
      <c r="J204" s="50">
        <v>2940873.4132044688</v>
      </c>
    </row>
    <row r="205" spans="1:10" x14ac:dyDescent="0.2">
      <c r="A205" s="7">
        <v>203</v>
      </c>
      <c r="B205" s="50">
        <v>1200669.9391251991</v>
      </c>
      <c r="C205" s="50">
        <v>2012.709431185853</v>
      </c>
      <c r="D205" s="50">
        <v>0</v>
      </c>
      <c r="E205" s="50">
        <v>1198501.4252516651</v>
      </c>
      <c r="F205" s="50">
        <v>4318.3854436385454</v>
      </c>
      <c r="G205" s="50">
        <v>475022.64449128741</v>
      </c>
      <c r="H205" s="50">
        <v>0</v>
      </c>
      <c r="I205" s="50">
        <v>1198501.4252516651</v>
      </c>
      <c r="J205" s="50">
        <v>2935650.5719133271</v>
      </c>
    </row>
    <row r="206" spans="1:10" x14ac:dyDescent="0.2">
      <c r="A206" s="7">
        <v>204</v>
      </c>
      <c r="B206" s="50">
        <v>1202602.299213965</v>
      </c>
      <c r="C206" s="50">
        <v>1053.003940834664</v>
      </c>
      <c r="D206" s="50">
        <v>0</v>
      </c>
      <c r="E206" s="50">
        <v>1200433.908019705</v>
      </c>
      <c r="F206" s="50">
        <v>4322.3167629623786</v>
      </c>
      <c r="G206" s="50">
        <v>475941.90650201909</v>
      </c>
      <c r="H206" s="50">
        <v>0</v>
      </c>
      <c r="I206" s="50">
        <v>1200433.908019705</v>
      </c>
      <c r="J206" s="50">
        <v>2940508.4904602268</v>
      </c>
    </row>
    <row r="207" spans="1:10" x14ac:dyDescent="0.2">
      <c r="A207" s="7">
        <v>205</v>
      </c>
      <c r="B207" s="50">
        <v>1200416.463476713</v>
      </c>
      <c r="C207" s="50">
        <v>2137.982051626313</v>
      </c>
      <c r="D207" s="50">
        <v>0</v>
      </c>
      <c r="E207" s="50">
        <v>1198247.8625638899</v>
      </c>
      <c r="F207" s="50">
        <v>4317.900146718137</v>
      </c>
      <c r="G207" s="50">
        <v>474890.77319540741</v>
      </c>
      <c r="H207" s="50">
        <v>0</v>
      </c>
      <c r="I207" s="50">
        <v>1198247.8625638899</v>
      </c>
      <c r="J207" s="50">
        <v>2935013.209229894</v>
      </c>
    </row>
    <row r="208" spans="1:10" x14ac:dyDescent="0.2">
      <c r="A208" s="7">
        <v>206</v>
      </c>
      <c r="B208" s="50">
        <v>1202446.858990872</v>
      </c>
      <c r="C208" s="50">
        <v>1130.0874175075439</v>
      </c>
      <c r="D208" s="50">
        <v>0</v>
      </c>
      <c r="E208" s="50">
        <v>1200278.4819279839</v>
      </c>
      <c r="F208" s="50">
        <v>4322.0099366833456</v>
      </c>
      <c r="G208" s="50">
        <v>475864.28150664741</v>
      </c>
      <c r="H208" s="50">
        <v>0</v>
      </c>
      <c r="I208" s="50">
        <v>1200278.4819279839</v>
      </c>
      <c r="J208" s="50">
        <v>2940117.7975636558</v>
      </c>
    </row>
    <row r="209" spans="1:10" x14ac:dyDescent="0.2">
      <c r="A209" s="7">
        <v>207</v>
      </c>
      <c r="B209" s="50">
        <v>1200147.9295498391</v>
      </c>
      <c r="C209" s="50">
        <v>2270.769048549701</v>
      </c>
      <c r="D209" s="50">
        <v>0</v>
      </c>
      <c r="E209" s="50">
        <v>1197979.2170584351</v>
      </c>
      <c r="F209" s="50">
        <v>4317.3955148970708</v>
      </c>
      <c r="G209" s="50">
        <v>474743.09194131661</v>
      </c>
      <c r="H209" s="50">
        <v>0</v>
      </c>
      <c r="I209" s="50">
        <v>1197979.2170584351</v>
      </c>
      <c r="J209" s="50">
        <v>2934337.918142946</v>
      </c>
    </row>
    <row r="210" spans="1:10" x14ac:dyDescent="0.2">
      <c r="A210" s="7">
        <v>208</v>
      </c>
      <c r="B210" s="50">
        <v>1202276.415462066</v>
      </c>
      <c r="C210" s="50">
        <v>1214.470981915016</v>
      </c>
      <c r="D210" s="50">
        <v>0</v>
      </c>
      <c r="E210" s="50">
        <v>1200108.0457241971</v>
      </c>
      <c r="F210" s="50">
        <v>4321.6789168254472</v>
      </c>
      <c r="G210" s="50">
        <v>475777.53116623638</v>
      </c>
      <c r="H210" s="50">
        <v>0</v>
      </c>
      <c r="I210" s="50">
        <v>1200108.0457241971</v>
      </c>
      <c r="J210" s="50">
        <v>2939689.3876410518</v>
      </c>
    </row>
    <row r="211" spans="1:10" x14ac:dyDescent="0.2">
      <c r="A211" s="7">
        <v>209</v>
      </c>
      <c r="B211" s="50">
        <v>1199837.0575580869</v>
      </c>
      <c r="C211" s="50">
        <v>2424.5151576721109</v>
      </c>
      <c r="D211" s="50">
        <v>0</v>
      </c>
      <c r="E211" s="50">
        <v>1197668.1981059981</v>
      </c>
      <c r="F211" s="50">
        <v>4316.8097291523591</v>
      </c>
      <c r="G211" s="50">
        <v>474571.76680241531</v>
      </c>
      <c r="H211" s="50">
        <v>0</v>
      </c>
      <c r="I211" s="50">
        <v>1197668.1981059981</v>
      </c>
      <c r="J211" s="50">
        <v>2933556.1041093692</v>
      </c>
    </row>
    <row r="212" spans="1:10" x14ac:dyDescent="0.2">
      <c r="A212" s="7">
        <v>210</v>
      </c>
      <c r="B212" s="50">
        <v>1202085.9017770919</v>
      </c>
      <c r="C212" s="50">
        <v>1308.712607639842</v>
      </c>
      <c r="D212" s="50">
        <v>0</v>
      </c>
      <c r="E212" s="50">
        <v>1199917.5316445511</v>
      </c>
      <c r="F212" s="50">
        <v>4321.3122736881487</v>
      </c>
      <c r="G212" s="50">
        <v>475679.41841999348</v>
      </c>
      <c r="H212" s="50">
        <v>0</v>
      </c>
      <c r="I212" s="50">
        <v>1199917.5316445511</v>
      </c>
      <c r="J212" s="50">
        <v>2939210.516136779</v>
      </c>
    </row>
    <row r="213" spans="1:10" x14ac:dyDescent="0.2">
      <c r="A213" s="7">
        <v>211</v>
      </c>
      <c r="B213" s="50">
        <v>1199461.257411029</v>
      </c>
      <c r="C213" s="50">
        <v>2610.3240932864142</v>
      </c>
      <c r="D213" s="50">
        <v>0</v>
      </c>
      <c r="E213" s="50">
        <v>1197292.1991414479</v>
      </c>
      <c r="F213" s="50">
        <v>4316.091156094335</v>
      </c>
      <c r="G213" s="50">
        <v>474371.19936378353</v>
      </c>
      <c r="H213" s="50">
        <v>0</v>
      </c>
      <c r="I213" s="50">
        <v>1197292.1991414479</v>
      </c>
      <c r="J213" s="50">
        <v>2932610.9474571832</v>
      </c>
    </row>
    <row r="214" spans="1:10" x14ac:dyDescent="0.2">
      <c r="A214" s="7">
        <v>212</v>
      </c>
      <c r="B214" s="50">
        <v>1201871.3113657869</v>
      </c>
      <c r="C214" s="50">
        <v>1415.001584526151</v>
      </c>
      <c r="D214" s="50">
        <v>0</v>
      </c>
      <c r="E214" s="50">
        <v>1199702.9336695939</v>
      </c>
      <c r="F214" s="50">
        <v>4320.8951831082813</v>
      </c>
      <c r="G214" s="50">
        <v>475569.5639212979</v>
      </c>
      <c r="H214" s="50">
        <v>0</v>
      </c>
      <c r="I214" s="50">
        <v>1199702.9336695939</v>
      </c>
      <c r="J214" s="50">
        <v>2938671.089680627</v>
      </c>
    </row>
    <row r="215" spans="1:10" x14ac:dyDescent="0.2">
      <c r="A215" s="7">
        <v>213</v>
      </c>
      <c r="B215" s="50">
        <v>1199014.203221753</v>
      </c>
      <c r="C215" s="50">
        <v>2831.3182726884261</v>
      </c>
      <c r="D215" s="50">
        <v>0</v>
      </c>
      <c r="E215" s="50">
        <v>1196844.8765097051</v>
      </c>
      <c r="F215" s="50">
        <v>4315.2247929153964</v>
      </c>
      <c r="G215" s="50">
        <v>474139.95523795491</v>
      </c>
      <c r="H215" s="50">
        <v>0</v>
      </c>
      <c r="I215" s="50">
        <v>1196844.8765097051</v>
      </c>
      <c r="J215" s="50">
        <v>2931486.498537119</v>
      </c>
    </row>
    <row r="216" spans="1:10" x14ac:dyDescent="0.2">
      <c r="A216" s="7">
        <v>214</v>
      </c>
      <c r="B216" s="50">
        <v>1201637.2233653869</v>
      </c>
      <c r="C216" s="50">
        <v>1531.1265550763351</v>
      </c>
      <c r="D216" s="50">
        <v>0</v>
      </c>
      <c r="E216" s="50">
        <v>1199468.8276749121</v>
      </c>
      <c r="F216" s="50">
        <v>4320.4373455340974</v>
      </c>
      <c r="G216" s="50">
        <v>475448.7514111083</v>
      </c>
      <c r="H216" s="50">
        <v>0</v>
      </c>
      <c r="I216" s="50">
        <v>1199468.8276749121</v>
      </c>
      <c r="J216" s="50">
        <v>2938082.602841266</v>
      </c>
    </row>
    <row r="217" spans="1:10" x14ac:dyDescent="0.2">
      <c r="A217" s="7">
        <v>215</v>
      </c>
      <c r="B217" s="50">
        <v>1198496.0896990979</v>
      </c>
      <c r="C217" s="50">
        <v>3087.2191854105331</v>
      </c>
      <c r="D217" s="50">
        <v>0</v>
      </c>
      <c r="E217" s="50">
        <v>1196326.402773821</v>
      </c>
      <c r="F217" s="50">
        <v>4314.2174049033783</v>
      </c>
      <c r="G217" s="50">
        <v>473876.29490781022</v>
      </c>
      <c r="H217" s="50">
        <v>0</v>
      </c>
      <c r="I217" s="50">
        <v>1196326.402773821</v>
      </c>
      <c r="J217" s="50">
        <v>2930183.2049466702</v>
      </c>
    </row>
    <row r="218" spans="1:10" x14ac:dyDescent="0.2">
      <c r="A218" s="7">
        <v>216</v>
      </c>
      <c r="B218" s="50">
        <v>1201379.3770700309</v>
      </c>
      <c r="C218" s="50">
        <v>1659.2309228340159</v>
      </c>
      <c r="D218" s="50">
        <v>0</v>
      </c>
      <c r="E218" s="50">
        <v>1199210.95119859</v>
      </c>
      <c r="F218" s="50">
        <v>4319.9267625496723</v>
      </c>
      <c r="G218" s="50">
        <v>475316.48224059632</v>
      </c>
      <c r="H218" s="50">
        <v>0</v>
      </c>
      <c r="I218" s="50">
        <v>1199210.95119859</v>
      </c>
      <c r="J218" s="50">
        <v>2937434.3368204669</v>
      </c>
    </row>
    <row r="219" spans="1:10" x14ac:dyDescent="0.2">
      <c r="A219" s="7">
        <v>217</v>
      </c>
      <c r="B219" s="50">
        <v>1197917.1376006589</v>
      </c>
      <c r="C219" s="50">
        <v>3372.973545122426</v>
      </c>
      <c r="D219" s="50">
        <v>0</v>
      </c>
      <c r="E219" s="50">
        <v>1195746.980684347</v>
      </c>
      <c r="F219" s="50">
        <v>4313.0972397625446</v>
      </c>
      <c r="G219" s="50">
        <v>473579.39806982217</v>
      </c>
      <c r="H219" s="50">
        <v>0</v>
      </c>
      <c r="I219" s="50">
        <v>1195746.980684347</v>
      </c>
      <c r="J219" s="50">
        <v>2928726.7043136288</v>
      </c>
    </row>
    <row r="220" spans="1:10" x14ac:dyDescent="0.2">
      <c r="A220" s="7">
        <v>218</v>
      </c>
      <c r="B220" s="50">
        <v>1201089.9777235161</v>
      </c>
      <c r="C220" s="50">
        <v>1802.924967190716</v>
      </c>
      <c r="D220" s="50">
        <v>0</v>
      </c>
      <c r="E220" s="50">
        <v>1198921.503057959</v>
      </c>
      <c r="F220" s="50">
        <v>4319.3511949488893</v>
      </c>
      <c r="G220" s="50">
        <v>475170.18803249579</v>
      </c>
      <c r="H220" s="50">
        <v>0</v>
      </c>
      <c r="I220" s="50">
        <v>1198921.503057959</v>
      </c>
      <c r="J220" s="50">
        <v>2936706.7091409792</v>
      </c>
    </row>
    <row r="221" spans="1:10" x14ac:dyDescent="0.2">
      <c r="A221" s="7">
        <v>219</v>
      </c>
      <c r="B221" s="50">
        <v>1197280.067981252</v>
      </c>
      <c r="C221" s="50">
        <v>3687.3944479399361</v>
      </c>
      <c r="D221" s="50">
        <v>0</v>
      </c>
      <c r="E221" s="50">
        <v>1195109.3109866029</v>
      </c>
      <c r="F221" s="50">
        <v>4311.8709207987413</v>
      </c>
      <c r="G221" s="50">
        <v>473246.5941887619</v>
      </c>
      <c r="H221" s="50">
        <v>0</v>
      </c>
      <c r="I221" s="50">
        <v>1195109.3109866029</v>
      </c>
      <c r="J221" s="50">
        <v>2927123.7580842441</v>
      </c>
    </row>
    <row r="222" spans="1:10" x14ac:dyDescent="0.2">
      <c r="A222" s="7">
        <v>220</v>
      </c>
      <c r="B222" s="50">
        <v>1200769.06072062</v>
      </c>
      <c r="C222" s="50">
        <v>1962.0347113977191</v>
      </c>
      <c r="D222" s="50">
        <v>0</v>
      </c>
      <c r="E222" s="50">
        <v>1198600.510344161</v>
      </c>
      <c r="F222" s="50">
        <v>4318.7167958137579</v>
      </c>
      <c r="G222" s="50">
        <v>475008.06341840979</v>
      </c>
      <c r="H222" s="50">
        <v>0</v>
      </c>
      <c r="I222" s="50">
        <v>1198600.510344161</v>
      </c>
      <c r="J222" s="50">
        <v>2935899.8033602079</v>
      </c>
    </row>
    <row r="223" spans="1:10" x14ac:dyDescent="0.2">
      <c r="A223" s="7">
        <v>221</v>
      </c>
      <c r="B223" s="50">
        <v>1196567.50018297</v>
      </c>
      <c r="C223" s="50">
        <v>4039.1386606707242</v>
      </c>
      <c r="D223" s="50">
        <v>0</v>
      </c>
      <c r="E223" s="50">
        <v>1194395.9732692</v>
      </c>
      <c r="F223" s="50">
        <v>4310.4977467046119</v>
      </c>
      <c r="G223" s="50">
        <v>472871.44037400279</v>
      </c>
      <c r="H223" s="50">
        <v>0</v>
      </c>
      <c r="I223" s="50">
        <v>1194395.9732692</v>
      </c>
      <c r="J223" s="50">
        <v>2925330.5587145118</v>
      </c>
    </row>
    <row r="224" spans="1:10" x14ac:dyDescent="0.2">
      <c r="A224" s="7">
        <v>222</v>
      </c>
      <c r="B224" s="50">
        <v>1200407.204454978</v>
      </c>
      <c r="C224" s="50">
        <v>2141.2184812226328</v>
      </c>
      <c r="D224" s="50">
        <v>0</v>
      </c>
      <c r="E224" s="50">
        <v>1198238.5431552711</v>
      </c>
      <c r="F224" s="50">
        <v>4318.0027682706714</v>
      </c>
      <c r="G224" s="50">
        <v>474827.06227201183</v>
      </c>
      <c r="H224" s="50">
        <v>0</v>
      </c>
      <c r="I224" s="50">
        <v>1198238.5431552711</v>
      </c>
      <c r="J224" s="50">
        <v>2934989.914455154</v>
      </c>
    </row>
    <row r="225" spans="1:10" x14ac:dyDescent="0.2">
      <c r="A225" s="7">
        <v>223</v>
      </c>
      <c r="B225" s="50">
        <v>1195755.920041552</v>
      </c>
      <c r="C225" s="50">
        <v>4439.6040853583254</v>
      </c>
      <c r="D225" s="50">
        <v>0</v>
      </c>
      <c r="E225" s="50">
        <v>1193583.391301791</v>
      </c>
      <c r="F225" s="50">
        <v>4308.9292584452778</v>
      </c>
      <c r="G225" s="50">
        <v>472445.51837792993</v>
      </c>
      <c r="H225" s="50">
        <v>0</v>
      </c>
      <c r="I225" s="50">
        <v>1193583.391301791</v>
      </c>
      <c r="J225" s="50">
        <v>2923287.8530663471</v>
      </c>
    </row>
    <row r="226" spans="1:10" x14ac:dyDescent="0.2">
      <c r="A226" s="7">
        <v>224</v>
      </c>
      <c r="B226" s="50">
        <v>1200000.7525131369</v>
      </c>
      <c r="C226" s="50">
        <v>2342.1248144879942</v>
      </c>
      <c r="D226" s="50">
        <v>0</v>
      </c>
      <c r="E226" s="50">
        <v>1197831.9318356779</v>
      </c>
      <c r="F226" s="50">
        <v>4317.2079623821191</v>
      </c>
      <c r="G226" s="50">
        <v>474623.67375817522</v>
      </c>
      <c r="H226" s="50">
        <v>0</v>
      </c>
      <c r="I226" s="50">
        <v>1197831.9318356779</v>
      </c>
      <c r="J226" s="50">
        <v>2933967.8326369901</v>
      </c>
    </row>
    <row r="227" spans="1:10" x14ac:dyDescent="0.2">
      <c r="A227" s="7">
        <v>225</v>
      </c>
      <c r="B227" s="50">
        <v>1194828.8001750261</v>
      </c>
      <c r="C227" s="50">
        <v>4896.6398605867289</v>
      </c>
      <c r="D227" s="50">
        <v>0</v>
      </c>
      <c r="E227" s="50">
        <v>1192654.968022641</v>
      </c>
      <c r="F227" s="50">
        <v>4307.1260980898514</v>
      </c>
      <c r="G227" s="50">
        <v>471964.32246949337</v>
      </c>
      <c r="H227" s="50">
        <v>0</v>
      </c>
      <c r="I227" s="50">
        <v>1192654.968022641</v>
      </c>
      <c r="J227" s="50">
        <v>2920953.9061716599</v>
      </c>
    </row>
    <row r="228" spans="1:10" x14ac:dyDescent="0.2">
      <c r="A228" s="7">
        <v>226</v>
      </c>
      <c r="B228" s="50">
        <v>1199550.5234189299</v>
      </c>
      <c r="C228" s="50">
        <v>2564.7640982358721</v>
      </c>
      <c r="D228" s="50">
        <v>0</v>
      </c>
      <c r="E228" s="50">
        <v>1197381.4877822199</v>
      </c>
      <c r="F228" s="50">
        <v>4316.3245417294092</v>
      </c>
      <c r="G228" s="50">
        <v>474398.58103661571</v>
      </c>
      <c r="H228" s="50">
        <v>0</v>
      </c>
      <c r="I228" s="50">
        <v>1197381.4877822199</v>
      </c>
      <c r="J228" s="50">
        <v>2932835.5471313251</v>
      </c>
    </row>
    <row r="229" spans="1:10" x14ac:dyDescent="0.2">
      <c r="A229" s="7">
        <v>227</v>
      </c>
      <c r="B229" s="50">
        <v>1193778.009603801</v>
      </c>
      <c r="C229" s="50">
        <v>5414.0939852017909</v>
      </c>
      <c r="D229" s="50">
        <v>0</v>
      </c>
      <c r="E229" s="50">
        <v>1191602.4963236251</v>
      </c>
      <c r="F229" s="50">
        <v>4305.0656288745813</v>
      </c>
      <c r="G229" s="50">
        <v>471426.38265543111</v>
      </c>
      <c r="H229" s="50">
        <v>0</v>
      </c>
      <c r="I229" s="50">
        <v>1191602.4963236251</v>
      </c>
      <c r="J229" s="50">
        <v>2918308.0635552178</v>
      </c>
    </row>
    <row r="230" spans="1:10" x14ac:dyDescent="0.2">
      <c r="A230" s="7">
        <v>228</v>
      </c>
      <c r="B230" s="50">
        <v>1199067.1458416909</v>
      </c>
      <c r="C230" s="50">
        <v>2804.0914953490719</v>
      </c>
      <c r="D230" s="50">
        <v>0</v>
      </c>
      <c r="E230" s="50">
        <v>1196897.8335975821</v>
      </c>
      <c r="F230" s="50">
        <v>4315.3728739619264</v>
      </c>
      <c r="G230" s="50">
        <v>474153.82566718239</v>
      </c>
      <c r="H230" s="50">
        <v>0</v>
      </c>
      <c r="I230" s="50">
        <v>1196897.8335975821</v>
      </c>
      <c r="J230" s="50">
        <v>2931619.7314372212</v>
      </c>
    </row>
    <row r="231" spans="1:10" x14ac:dyDescent="0.2">
      <c r="A231" s="7">
        <v>229</v>
      </c>
      <c r="B231" s="50">
        <v>1192603.587454027</v>
      </c>
      <c r="C231" s="50">
        <v>5991.4104981361888</v>
      </c>
      <c r="D231" s="50">
        <v>0</v>
      </c>
      <c r="E231" s="50">
        <v>1190425.938395136</v>
      </c>
      <c r="F231" s="50">
        <v>4302.7469799057581</v>
      </c>
      <c r="G231" s="50">
        <v>470832.67496730009</v>
      </c>
      <c r="H231" s="50">
        <v>0</v>
      </c>
      <c r="I231" s="50">
        <v>1190425.938395136</v>
      </c>
      <c r="J231" s="50">
        <v>2915350.2199225272</v>
      </c>
    </row>
    <row r="232" spans="1:10" x14ac:dyDescent="0.2">
      <c r="A232" s="7">
        <v>230</v>
      </c>
      <c r="B232" s="50">
        <v>1198552.932892014</v>
      </c>
      <c r="C232" s="50">
        <v>3059.0526192057878</v>
      </c>
      <c r="D232" s="50">
        <v>0</v>
      </c>
      <c r="E232" s="50">
        <v>1196383.2743188769</v>
      </c>
      <c r="F232" s="50">
        <v>4314.3561032703146</v>
      </c>
      <c r="G232" s="50">
        <v>473889.35429553827</v>
      </c>
      <c r="H232" s="50">
        <v>0</v>
      </c>
      <c r="I232" s="50">
        <v>1196383.2743188769</v>
      </c>
      <c r="J232" s="50">
        <v>2930326.1658268841</v>
      </c>
    </row>
    <row r="233" spans="1:10" x14ac:dyDescent="0.2">
      <c r="A233" s="7">
        <v>231</v>
      </c>
      <c r="B233" s="50">
        <v>1191309.7437079949</v>
      </c>
      <c r="C233" s="50">
        <v>6627.3847544998862</v>
      </c>
      <c r="D233" s="50">
        <v>0</v>
      </c>
      <c r="E233" s="50">
        <v>1189129.422395149</v>
      </c>
      <c r="F233" s="50">
        <v>4300.170373194851</v>
      </c>
      <c r="G233" s="50">
        <v>470184.73738373682</v>
      </c>
      <c r="H233" s="50">
        <v>0</v>
      </c>
      <c r="I233" s="50">
        <v>1189129.422395149</v>
      </c>
      <c r="J233" s="50">
        <v>2912090.6997002182</v>
      </c>
    </row>
    <row r="234" spans="1:10" x14ac:dyDescent="0.2">
      <c r="A234" s="7">
        <v>232</v>
      </c>
      <c r="B234" s="50">
        <v>1197994.466071303</v>
      </c>
      <c r="C234" s="50">
        <v>3336.566790102981</v>
      </c>
      <c r="D234" s="50">
        <v>0</v>
      </c>
      <c r="E234" s="50">
        <v>1195824.377974611</v>
      </c>
      <c r="F234" s="50">
        <v>4313.2298974581063</v>
      </c>
      <c r="G234" s="50">
        <v>473605.66177893803</v>
      </c>
      <c r="H234" s="50">
        <v>0</v>
      </c>
      <c r="I234" s="50">
        <v>1195824.377974611</v>
      </c>
      <c r="J234" s="50">
        <v>2928921.0530442209</v>
      </c>
    </row>
    <row r="235" spans="1:10" x14ac:dyDescent="0.2">
      <c r="A235" s="7">
        <v>233</v>
      </c>
      <c r="B235" s="50">
        <v>1189888.953614915</v>
      </c>
      <c r="C235" s="50">
        <v>7325.4081841884181</v>
      </c>
      <c r="D235" s="50">
        <v>0</v>
      </c>
      <c r="E235" s="50">
        <v>1187705.3124970021</v>
      </c>
      <c r="F235" s="50">
        <v>4297.315359770786</v>
      </c>
      <c r="G235" s="50">
        <v>469483.45447260467</v>
      </c>
      <c r="H235" s="50">
        <v>0</v>
      </c>
      <c r="I235" s="50">
        <v>1187705.3124970021</v>
      </c>
      <c r="J235" s="50">
        <v>2908510.3015426649</v>
      </c>
    </row>
    <row r="236" spans="1:10" x14ac:dyDescent="0.2">
      <c r="A236" s="7">
        <v>234</v>
      </c>
      <c r="B236" s="50">
        <v>1197386.1883605791</v>
      </c>
      <c r="C236" s="50">
        <v>3639.3844420001842</v>
      </c>
      <c r="D236" s="50">
        <v>0</v>
      </c>
      <c r="E236" s="50">
        <v>1195215.5714470609</v>
      </c>
      <c r="F236" s="50">
        <v>4311.9729003836401</v>
      </c>
      <c r="G236" s="50">
        <v>473306.38235930912</v>
      </c>
      <c r="H236" s="50">
        <v>0</v>
      </c>
      <c r="I236" s="50">
        <v>1195215.5714470609</v>
      </c>
      <c r="J236" s="50">
        <v>2927390.3824400301</v>
      </c>
    </row>
    <row r="237" spans="1:10" x14ac:dyDescent="0.2">
      <c r="A237" s="7">
        <v>235</v>
      </c>
      <c r="B237" s="50">
        <v>1188350.1194257259</v>
      </c>
      <c r="C237" s="50">
        <v>8080.0557979051964</v>
      </c>
      <c r="D237" s="50">
        <v>0</v>
      </c>
      <c r="E237" s="50">
        <v>1186162.4265790021</v>
      </c>
      <c r="F237" s="50">
        <v>4294.2077377922833</v>
      </c>
      <c r="G237" s="50">
        <v>468732.42630067281</v>
      </c>
      <c r="H237" s="50">
        <v>0</v>
      </c>
      <c r="I237" s="50">
        <v>1186162.4265790021</v>
      </c>
      <c r="J237" s="50">
        <v>2904631.2126789708</v>
      </c>
    </row>
    <row r="238" spans="1:10" x14ac:dyDescent="0.2">
      <c r="A238" s="7">
        <v>236</v>
      </c>
      <c r="B238" s="50">
        <v>1196718.7494226841</v>
      </c>
      <c r="C238" s="50">
        <v>3971.6793814306152</v>
      </c>
      <c r="D238" s="50">
        <v>0</v>
      </c>
      <c r="E238" s="50">
        <v>1194547.476742798</v>
      </c>
      <c r="F238" s="50">
        <v>4310.5659827170894</v>
      </c>
      <c r="G238" s="50">
        <v>472993.82383856637</v>
      </c>
      <c r="H238" s="50">
        <v>0</v>
      </c>
      <c r="I238" s="50">
        <v>1194547.476742798</v>
      </c>
      <c r="J238" s="50">
        <v>2925710.629795678</v>
      </c>
    </row>
    <row r="239" spans="1:10" x14ac:dyDescent="0.2">
      <c r="A239" s="7">
        <v>237</v>
      </c>
      <c r="B239" s="50">
        <v>1186694.2128118461</v>
      </c>
      <c r="C239" s="50">
        <v>8891.1233493667096</v>
      </c>
      <c r="D239" s="50">
        <v>0</v>
      </c>
      <c r="E239" s="50">
        <v>1184501.6217576549</v>
      </c>
      <c r="F239" s="50">
        <v>4290.8544127917849</v>
      </c>
      <c r="G239" s="50">
        <v>467929.88267946988</v>
      </c>
      <c r="H239" s="50">
        <v>0</v>
      </c>
      <c r="I239" s="50">
        <v>1184501.6217576549</v>
      </c>
      <c r="J239" s="50">
        <v>2900455.5872639078</v>
      </c>
    </row>
    <row r="240" spans="1:10" x14ac:dyDescent="0.2">
      <c r="A240" s="7">
        <v>238</v>
      </c>
      <c r="B240" s="50">
        <v>1196008.0301952639</v>
      </c>
      <c r="C240" s="50">
        <v>4325.0254858233966</v>
      </c>
      <c r="D240" s="50">
        <v>0</v>
      </c>
      <c r="E240" s="50">
        <v>1193835.963383429</v>
      </c>
      <c r="F240" s="50">
        <v>4309.0581627693027</v>
      </c>
      <c r="G240" s="50">
        <v>472672.69555703131</v>
      </c>
      <c r="H240" s="50">
        <v>0</v>
      </c>
      <c r="I240" s="50">
        <v>1193835.963383429</v>
      </c>
      <c r="J240" s="50">
        <v>2923921.7479436481</v>
      </c>
    </row>
    <row r="241" spans="1:10" x14ac:dyDescent="0.2">
      <c r="A241" s="7">
        <v>239</v>
      </c>
      <c r="B241" s="50">
        <v>1184918.4529719979</v>
      </c>
      <c r="C241" s="50">
        <v>9761.0441292915493</v>
      </c>
      <c r="D241" s="50">
        <v>0</v>
      </c>
      <c r="E241" s="50">
        <v>1182719.9848599499</v>
      </c>
      <c r="F241" s="50">
        <v>4287.2323086624974</v>
      </c>
      <c r="G241" s="50">
        <v>467078.29314122017</v>
      </c>
      <c r="H241" s="50">
        <v>0</v>
      </c>
      <c r="I241" s="50">
        <v>1182719.9848599499</v>
      </c>
      <c r="J241" s="50">
        <v>2895976.0233671842</v>
      </c>
    </row>
    <row r="242" spans="1:10" x14ac:dyDescent="0.2">
      <c r="A242" s="7">
        <v>240</v>
      </c>
      <c r="B242" s="50">
        <v>1195273.4336450989</v>
      </c>
      <c r="C242" s="50">
        <v>4689.612538497895</v>
      </c>
      <c r="D242" s="50">
        <v>0</v>
      </c>
      <c r="E242" s="50">
        <v>1193100.4367224041</v>
      </c>
      <c r="F242" s="50">
        <v>4307.501382287126</v>
      </c>
      <c r="G242" s="50">
        <v>472347.25993614882</v>
      </c>
      <c r="H242" s="50">
        <v>0</v>
      </c>
      <c r="I242" s="50">
        <v>1193100.4367224041</v>
      </c>
      <c r="J242" s="50">
        <v>2922072.538278691</v>
      </c>
    </row>
    <row r="243" spans="1:10" x14ac:dyDescent="0.2">
      <c r="A243" s="7">
        <v>241</v>
      </c>
      <c r="B243" s="50">
        <v>1183021.90661126</v>
      </c>
      <c r="C243" s="50">
        <v>10687.91706567397</v>
      </c>
      <c r="D243" s="50">
        <v>0</v>
      </c>
      <c r="E243" s="50">
        <v>1180816.46272902</v>
      </c>
      <c r="F243" s="50">
        <v>4283.3449540189467</v>
      </c>
      <c r="G243" s="50">
        <v>466184.06265827449</v>
      </c>
      <c r="H243" s="50">
        <v>0</v>
      </c>
      <c r="I243" s="50">
        <v>1180816.46272902</v>
      </c>
      <c r="J243" s="50">
        <v>2891189.918833334</v>
      </c>
    </row>
    <row r="244" spans="1:10" x14ac:dyDescent="0.2">
      <c r="A244" s="7">
        <v>242</v>
      </c>
      <c r="B244" s="50">
        <v>1194528.3297170801</v>
      </c>
      <c r="C244" s="50">
        <v>5058.8182515958324</v>
      </c>
      <c r="D244" s="50">
        <v>0</v>
      </c>
      <c r="E244" s="50">
        <v>1192354.272994895</v>
      </c>
      <c r="F244" s="50">
        <v>4305.9299990623258</v>
      </c>
      <c r="G244" s="50">
        <v>472019.58746191248</v>
      </c>
      <c r="H244" s="50">
        <v>0</v>
      </c>
      <c r="I244" s="50">
        <v>1192354.272994895</v>
      </c>
      <c r="J244" s="50">
        <v>2920196.6242995118</v>
      </c>
    </row>
    <row r="245" spans="1:10" x14ac:dyDescent="0.2">
      <c r="A245" s="7">
        <v>243</v>
      </c>
      <c r="B245" s="50">
        <v>1181030.397577201</v>
      </c>
      <c r="C245" s="50">
        <v>11658.69736744976</v>
      </c>
      <c r="D245" s="50">
        <v>0</v>
      </c>
      <c r="E245" s="50">
        <v>1178816.8379329341</v>
      </c>
      <c r="F245" s="50">
        <v>4279.2736407141201</v>
      </c>
      <c r="G245" s="50">
        <v>465246.35227854602</v>
      </c>
      <c r="H245" s="50">
        <v>0</v>
      </c>
      <c r="I245" s="50">
        <v>1178816.8379329341</v>
      </c>
      <c r="J245" s="50">
        <v>2886162.1394064119</v>
      </c>
    </row>
    <row r="246" spans="1:10" x14ac:dyDescent="0.2">
      <c r="A246" s="7">
        <v>244</v>
      </c>
      <c r="B246" s="50">
        <v>1193803.284663894</v>
      </c>
      <c r="C246" s="50">
        <v>5417.2833559699357</v>
      </c>
      <c r="D246" s="50">
        <v>0</v>
      </c>
      <c r="E246" s="50">
        <v>1191628.073340937</v>
      </c>
      <c r="F246" s="50">
        <v>4304.4328573676758</v>
      </c>
      <c r="G246" s="50">
        <v>471688.96224228939</v>
      </c>
      <c r="H246" s="50">
        <v>0</v>
      </c>
      <c r="I246" s="50">
        <v>1191628.073340937</v>
      </c>
      <c r="J246" s="50">
        <v>2918370.9521506471</v>
      </c>
    </row>
    <row r="247" spans="1:10" x14ac:dyDescent="0.2">
      <c r="A247" s="7">
        <v>245</v>
      </c>
      <c r="B247" s="50">
        <v>1178931.598132903</v>
      </c>
      <c r="C247" s="50">
        <v>12675.89114425518</v>
      </c>
      <c r="D247" s="50">
        <v>0</v>
      </c>
      <c r="E247" s="50">
        <v>1176708.6287165061</v>
      </c>
      <c r="F247" s="50">
        <v>4275.0320863071829</v>
      </c>
      <c r="G247" s="50">
        <v>464254.51323836669</v>
      </c>
      <c r="H247" s="50">
        <v>0</v>
      </c>
      <c r="I247" s="50">
        <v>1176708.6287165061</v>
      </c>
      <c r="J247" s="50">
        <v>2880861.439733515</v>
      </c>
    </row>
    <row r="248" spans="1:10" x14ac:dyDescent="0.2">
      <c r="A248" s="7">
        <v>246</v>
      </c>
      <c r="B248" s="50">
        <v>1193072.9335027279</v>
      </c>
      <c r="C248" s="50">
        <v>5777.42280502012</v>
      </c>
      <c r="D248" s="50">
        <v>0</v>
      </c>
      <c r="E248" s="50">
        <v>1190896.4346701889</v>
      </c>
      <c r="F248" s="50">
        <v>4302.9622750189164</v>
      </c>
      <c r="G248" s="50">
        <v>471342.15793359419</v>
      </c>
      <c r="H248" s="50">
        <v>0</v>
      </c>
      <c r="I248" s="50">
        <v>1190896.4346701889</v>
      </c>
      <c r="J248" s="50">
        <v>2916531.6694605299</v>
      </c>
    </row>
    <row r="249" spans="1:10" x14ac:dyDescent="0.2">
      <c r="A249" s="7">
        <v>247</v>
      </c>
      <c r="B249" s="50">
        <v>1176696.9691322879</v>
      </c>
      <c r="C249" s="50">
        <v>13749.39687945414</v>
      </c>
      <c r="D249" s="50">
        <v>0</v>
      </c>
      <c r="E249" s="50">
        <v>1174463.0515238</v>
      </c>
      <c r="F249" s="50">
        <v>4270.5939797339961</v>
      </c>
      <c r="G249" s="50">
        <v>463193.81234198483</v>
      </c>
      <c r="H249" s="50">
        <v>0</v>
      </c>
      <c r="I249" s="50">
        <v>1174463.0515238</v>
      </c>
      <c r="J249" s="50">
        <v>2875215.556100613</v>
      </c>
    </row>
    <row r="250" spans="1:10" x14ac:dyDescent="0.2">
      <c r="A250" s="7">
        <v>248</v>
      </c>
      <c r="B250" s="50">
        <v>1192312.7765689341</v>
      </c>
      <c r="C250" s="50">
        <v>6151.0941439950839</v>
      </c>
      <c r="D250" s="50">
        <v>0</v>
      </c>
      <c r="E250" s="50">
        <v>1190134.803175072</v>
      </c>
      <c r="F250" s="50">
        <v>4301.4785806569271</v>
      </c>
      <c r="G250" s="50">
        <v>470963.38093876932</v>
      </c>
      <c r="H250" s="50">
        <v>0</v>
      </c>
      <c r="I250" s="50">
        <v>1190134.803175072</v>
      </c>
      <c r="J250" s="50">
        <v>2914617.0657676118</v>
      </c>
    </row>
    <row r="251" spans="1:10" x14ac:dyDescent="0.2">
      <c r="A251" s="7">
        <v>249</v>
      </c>
      <c r="B251" s="50">
        <v>1174278.4242461291</v>
      </c>
      <c r="C251" s="50">
        <v>14894.85464129038</v>
      </c>
      <c r="D251" s="50">
        <v>0</v>
      </c>
      <c r="E251" s="50">
        <v>1172031.658052905</v>
      </c>
      <c r="F251" s="50">
        <v>4265.9132522693844</v>
      </c>
      <c r="G251" s="50">
        <v>462044.58630364388</v>
      </c>
      <c r="H251" s="50">
        <v>0</v>
      </c>
      <c r="I251" s="50">
        <v>1172031.658052905</v>
      </c>
      <c r="J251" s="50">
        <v>2869102.8812857242</v>
      </c>
    </row>
    <row r="252" spans="1:10" x14ac:dyDescent="0.2">
      <c r="A252" s="7">
        <v>250</v>
      </c>
      <c r="B252" s="50">
        <v>1191503.4657401619</v>
      </c>
      <c r="C252" s="50">
        <v>6547.9169798549256</v>
      </c>
      <c r="D252" s="50">
        <v>0</v>
      </c>
      <c r="E252" s="50">
        <v>1189323.773390549</v>
      </c>
      <c r="F252" s="50">
        <v>4299.946266150102</v>
      </c>
      <c r="G252" s="50">
        <v>470537.4238385791</v>
      </c>
      <c r="H252" s="50">
        <v>0</v>
      </c>
      <c r="I252" s="50">
        <v>1189323.773390549</v>
      </c>
      <c r="J252" s="50">
        <v>2912578.3244137662</v>
      </c>
    </row>
    <row r="253" spans="1:10" x14ac:dyDescent="0.2">
      <c r="A253" s="7">
        <v>251</v>
      </c>
      <c r="B253" s="50">
        <v>1171638.6780751031</v>
      </c>
      <c r="C253" s="50">
        <v>16135.190505228011</v>
      </c>
      <c r="D253" s="50">
        <v>0</v>
      </c>
      <c r="E253" s="50">
        <v>1169376.6449028789</v>
      </c>
      <c r="F253" s="50">
        <v>4260.8852550010197</v>
      </c>
      <c r="G253" s="50">
        <v>460776.49934819672</v>
      </c>
      <c r="H253" s="50">
        <v>0</v>
      </c>
      <c r="I253" s="50">
        <v>1169376.6449028789</v>
      </c>
      <c r="J253" s="50">
        <v>2862428.0996427112</v>
      </c>
    </row>
    <row r="254" spans="1:10" x14ac:dyDescent="0.2">
      <c r="A254" s="7">
        <v>252</v>
      </c>
      <c r="B254" s="50">
        <v>1190589.711512279</v>
      </c>
      <c r="C254" s="50">
        <v>6993.8531494797207</v>
      </c>
      <c r="D254" s="50">
        <v>0</v>
      </c>
      <c r="E254" s="50">
        <v>1188407.9163115299</v>
      </c>
      <c r="F254" s="50">
        <v>4298.2430704822764</v>
      </c>
      <c r="G254" s="50">
        <v>470045.18764956109</v>
      </c>
      <c r="H254" s="50">
        <v>0</v>
      </c>
      <c r="I254" s="50">
        <v>1188407.9163115299</v>
      </c>
      <c r="J254" s="50">
        <v>2910276.093517045</v>
      </c>
    </row>
    <row r="255" spans="1:10" x14ac:dyDescent="0.2">
      <c r="A255" s="7">
        <v>253</v>
      </c>
      <c r="B255" s="50">
        <v>1168727.0660378381</v>
      </c>
      <c r="C255" s="50">
        <v>17490.590361150451</v>
      </c>
      <c r="D255" s="50">
        <v>0</v>
      </c>
      <c r="E255" s="50">
        <v>1166446.7475500749</v>
      </c>
      <c r="F255" s="50">
        <v>4255.3988344082609</v>
      </c>
      <c r="G255" s="50">
        <v>459380.44554762309</v>
      </c>
      <c r="H255" s="50">
        <v>0</v>
      </c>
      <c r="I255" s="50">
        <v>1166446.7475500749</v>
      </c>
      <c r="J255" s="50">
        <v>2855062.2465026332</v>
      </c>
    </row>
    <row r="256" spans="1:10" x14ac:dyDescent="0.2">
      <c r="A256" s="7">
        <v>254</v>
      </c>
      <c r="B256" s="50">
        <v>1189522.4630353821</v>
      </c>
      <c r="C256" s="50">
        <v>7512.6915829624049</v>
      </c>
      <c r="D256" s="50">
        <v>0</v>
      </c>
      <c r="E256" s="50">
        <v>1187338.0146807579</v>
      </c>
      <c r="F256" s="50">
        <v>4296.2429270334542</v>
      </c>
      <c r="G256" s="50">
        <v>469475.51182292588</v>
      </c>
      <c r="H256" s="50">
        <v>0</v>
      </c>
      <c r="I256" s="50">
        <v>1187338.0146807579</v>
      </c>
      <c r="J256" s="50">
        <v>2907586.5817937348</v>
      </c>
    </row>
    <row r="257" spans="1:10" x14ac:dyDescent="0.2">
      <c r="A257" s="7">
        <v>255</v>
      </c>
      <c r="B257" s="50">
        <v>1165515.058203215</v>
      </c>
      <c r="C257" s="50">
        <v>18980.428370179608</v>
      </c>
      <c r="D257" s="50">
        <v>0</v>
      </c>
      <c r="E257" s="50">
        <v>1163212.711180795</v>
      </c>
      <c r="F257" s="50">
        <v>4249.3505362547003</v>
      </c>
      <c r="G257" s="50">
        <v>457831.93533102103</v>
      </c>
      <c r="H257" s="50">
        <v>0</v>
      </c>
      <c r="I257" s="50">
        <v>1163212.711180795</v>
      </c>
      <c r="J257" s="50">
        <v>2846931.4203735529</v>
      </c>
    </row>
    <row r="258" spans="1:10" x14ac:dyDescent="0.2">
      <c r="A258" s="7">
        <v>256</v>
      </c>
      <c r="B258" s="50">
        <v>1188281.9035318031</v>
      </c>
      <c r="C258" s="50">
        <v>8114.2085245270282</v>
      </c>
      <c r="D258" s="50">
        <v>0</v>
      </c>
      <c r="E258" s="50">
        <v>1186094.100040528</v>
      </c>
      <c r="F258" s="50">
        <v>4293.8999139694497</v>
      </c>
      <c r="G258" s="50">
        <v>468821.30275259347</v>
      </c>
      <c r="H258" s="50">
        <v>0</v>
      </c>
      <c r="I258" s="50">
        <v>1186094.100040528</v>
      </c>
      <c r="J258" s="50">
        <v>2904459.5630882722</v>
      </c>
    </row>
    <row r="259" spans="1:10" x14ac:dyDescent="0.2">
      <c r="A259" s="7">
        <v>257</v>
      </c>
      <c r="B259" s="50">
        <v>1161990.3836613961</v>
      </c>
      <c r="C259" s="50">
        <v>20614.80448840186</v>
      </c>
      <c r="D259" s="50">
        <v>0</v>
      </c>
      <c r="E259" s="50">
        <v>1159661.530461567</v>
      </c>
      <c r="F259" s="50">
        <v>4242.6903525479138</v>
      </c>
      <c r="G259" s="50">
        <v>456106.4499465283</v>
      </c>
      <c r="H259" s="50">
        <v>0</v>
      </c>
      <c r="I259" s="50">
        <v>1159661.530461567</v>
      </c>
      <c r="J259" s="50">
        <v>2838002.6249873801</v>
      </c>
    </row>
    <row r="260" spans="1:10" x14ac:dyDescent="0.2">
      <c r="A260" s="7">
        <v>258</v>
      </c>
      <c r="B260" s="50">
        <v>1186863.3181087701</v>
      </c>
      <c r="C260" s="50">
        <v>8800.4524722890928</v>
      </c>
      <c r="D260" s="50">
        <v>0</v>
      </c>
      <c r="E260" s="50">
        <v>1184671.314419955</v>
      </c>
      <c r="F260" s="50">
        <v>4291.2054324815981</v>
      </c>
      <c r="G260" s="50">
        <v>468077.90543284587</v>
      </c>
      <c r="H260" s="50">
        <v>0</v>
      </c>
      <c r="I260" s="50">
        <v>1184671.314419955</v>
      </c>
      <c r="J260" s="50">
        <v>2900882.7969655078</v>
      </c>
    </row>
    <row r="261" spans="1:10" x14ac:dyDescent="0.2">
      <c r="A261" s="7">
        <v>259</v>
      </c>
      <c r="B261" s="50">
        <v>1158026.089087513</v>
      </c>
      <c r="C261" s="50">
        <v>22439.441720699429</v>
      </c>
      <c r="D261" s="50">
        <v>0</v>
      </c>
      <c r="E261" s="50">
        <v>1155664.735715911</v>
      </c>
      <c r="F261" s="50">
        <v>4235.1890379702672</v>
      </c>
      <c r="G261" s="50">
        <v>454202.30246659409</v>
      </c>
      <c r="H261" s="50">
        <v>0</v>
      </c>
      <c r="I261" s="50">
        <v>1155664.735715911</v>
      </c>
      <c r="J261" s="50">
        <v>2827953.1067539379</v>
      </c>
    </row>
    <row r="262" spans="1:10" x14ac:dyDescent="0.2">
      <c r="A262" s="7">
        <v>260</v>
      </c>
      <c r="B262" s="50">
        <v>1185233.4806899291</v>
      </c>
      <c r="C262" s="50">
        <v>9584.6029196800664</v>
      </c>
      <c r="D262" s="50">
        <v>0</v>
      </c>
      <c r="E262" s="50">
        <v>1183036.188703543</v>
      </c>
      <c r="F262" s="50">
        <v>4288.1001694663428</v>
      </c>
      <c r="G262" s="50">
        <v>467238.21848775313</v>
      </c>
      <c r="H262" s="50">
        <v>0</v>
      </c>
      <c r="I262" s="50">
        <v>1183036.188703543</v>
      </c>
      <c r="J262" s="50">
        <v>2896772.208839634</v>
      </c>
    </row>
    <row r="263" spans="1:10" x14ac:dyDescent="0.2">
      <c r="A263" s="7">
        <v>261</v>
      </c>
      <c r="B263" s="50">
        <v>1153571.7396396659</v>
      </c>
      <c r="C263" s="50">
        <v>24497.421383090321</v>
      </c>
      <c r="D263" s="50">
        <v>0</v>
      </c>
      <c r="E263" s="50">
        <v>1151170.0349210249</v>
      </c>
      <c r="F263" s="50">
        <v>4226.6134170149453</v>
      </c>
      <c r="G263" s="50">
        <v>452071.5613085283</v>
      </c>
      <c r="H263" s="50">
        <v>0</v>
      </c>
      <c r="I263" s="50">
        <v>1151170.0349210249</v>
      </c>
      <c r="J263" s="50">
        <v>2816650.5551220141</v>
      </c>
    </row>
    <row r="264" spans="1:10" x14ac:dyDescent="0.2">
      <c r="A264" s="7">
        <v>262</v>
      </c>
      <c r="B264" s="50">
        <v>1183360.6270419681</v>
      </c>
      <c r="C264" s="50">
        <v>10485.79919655947</v>
      </c>
      <c r="D264" s="50">
        <v>0</v>
      </c>
      <c r="E264" s="50">
        <v>1181156.6178755141</v>
      </c>
      <c r="F264" s="50">
        <v>4284.4832835588604</v>
      </c>
      <c r="G264" s="50">
        <v>466292.44451972417</v>
      </c>
      <c r="H264" s="50">
        <v>0</v>
      </c>
      <c r="I264" s="50">
        <v>1181156.6178755141</v>
      </c>
      <c r="J264" s="50">
        <v>2892046.9279409298</v>
      </c>
    </row>
    <row r="265" spans="1:10" x14ac:dyDescent="0.2">
      <c r="A265" s="7">
        <v>263</v>
      </c>
      <c r="B265" s="50">
        <v>1148614.847118939</v>
      </c>
      <c r="C265" s="50">
        <v>26796.02035117894</v>
      </c>
      <c r="D265" s="50">
        <v>0</v>
      </c>
      <c r="E265" s="50">
        <v>1146163.384354932</v>
      </c>
      <c r="F265" s="50">
        <v>4216.8999907933176</v>
      </c>
      <c r="G265" s="50">
        <v>449715.24906550912</v>
      </c>
      <c r="H265" s="50">
        <v>0</v>
      </c>
      <c r="I265" s="50">
        <v>1146163.384354932</v>
      </c>
      <c r="J265" s="50">
        <v>2804059.3120375429</v>
      </c>
    </row>
    <row r="266" spans="1:10" x14ac:dyDescent="0.2">
      <c r="A266" s="7">
        <v>264</v>
      </c>
      <c r="B266" s="50">
        <v>1181226.8135910879</v>
      </c>
      <c r="C266" s="50">
        <v>11508.876158540599</v>
      </c>
      <c r="D266" s="50">
        <v>0</v>
      </c>
      <c r="E266" s="50">
        <v>1179014.3350861601</v>
      </c>
      <c r="F266" s="50">
        <v>4280.3350528464653</v>
      </c>
      <c r="G266" s="50">
        <v>465240.97334291087</v>
      </c>
      <c r="H266" s="50">
        <v>0</v>
      </c>
      <c r="I266" s="50">
        <v>1179014.3350861601</v>
      </c>
      <c r="J266" s="50">
        <v>2886661.1167270541</v>
      </c>
    </row>
    <row r="267" spans="1:10" x14ac:dyDescent="0.2">
      <c r="A267" s="7">
        <v>265</v>
      </c>
      <c r="B267" s="50">
        <v>1143168.3789728121</v>
      </c>
      <c r="C267" s="50">
        <v>29323.336428999901</v>
      </c>
      <c r="D267" s="50">
        <v>0</v>
      </c>
      <c r="E267" s="50">
        <v>1140656.3954368329</v>
      </c>
      <c r="F267" s="50">
        <v>4206.0979276276194</v>
      </c>
      <c r="G267" s="50">
        <v>447143.4525525691</v>
      </c>
      <c r="H267" s="50">
        <v>0</v>
      </c>
      <c r="I267" s="50">
        <v>1140656.3954368329</v>
      </c>
      <c r="J267" s="50">
        <v>2790208.4740976519</v>
      </c>
    </row>
    <row r="268" spans="1:10" x14ac:dyDescent="0.2">
      <c r="A268" s="7">
        <v>266</v>
      </c>
      <c r="B268" s="50">
        <v>1178819.551955953</v>
      </c>
      <c r="C268" s="50">
        <v>12657.48324858351</v>
      </c>
      <c r="D268" s="50">
        <v>0</v>
      </c>
      <c r="E268" s="50">
        <v>1176596.475619443</v>
      </c>
      <c r="F268" s="50">
        <v>4275.65198352281</v>
      </c>
      <c r="G268" s="50">
        <v>464077.39746173052</v>
      </c>
      <c r="H268" s="50">
        <v>0</v>
      </c>
      <c r="I268" s="50">
        <v>1176596.475619443</v>
      </c>
      <c r="J268" s="50">
        <v>2880582.488990041</v>
      </c>
    </row>
    <row r="269" spans="1:10" x14ac:dyDescent="0.2">
      <c r="A269" s="7">
        <v>267</v>
      </c>
      <c r="B269" s="50">
        <v>1137224.7743522441</v>
      </c>
      <c r="C269" s="50">
        <v>32068.84167406103</v>
      </c>
      <c r="D269" s="50">
        <v>0</v>
      </c>
      <c r="E269" s="50">
        <v>1134640.0127639461</v>
      </c>
      <c r="F269" s="50">
        <v>4194.2588459695689</v>
      </c>
      <c r="G269" s="50">
        <v>444374.54933808371</v>
      </c>
      <c r="H269" s="50">
        <v>0</v>
      </c>
      <c r="I269" s="50">
        <v>1134640.0127639461</v>
      </c>
      <c r="J269" s="50">
        <v>2775075.4077958949</v>
      </c>
    </row>
    <row r="270" spans="1:10" x14ac:dyDescent="0.2">
      <c r="A270" s="7">
        <v>268</v>
      </c>
      <c r="B270" s="50">
        <v>1176155.928958982</v>
      </c>
      <c r="C270" s="50">
        <v>13923.41205476783</v>
      </c>
      <c r="D270" s="50">
        <v>0</v>
      </c>
      <c r="E270" s="50">
        <v>1173919.8140420481</v>
      </c>
      <c r="F270" s="50">
        <v>4270.4884985322133</v>
      </c>
      <c r="G270" s="50">
        <v>462793.36257618532</v>
      </c>
      <c r="H270" s="50">
        <v>0</v>
      </c>
      <c r="I270" s="50">
        <v>1173919.8140420481</v>
      </c>
      <c r="J270" s="50">
        <v>2873853.156342722</v>
      </c>
    </row>
    <row r="271" spans="1:10" x14ac:dyDescent="0.2">
      <c r="A271" s="7">
        <v>269</v>
      </c>
      <c r="B271" s="50">
        <v>1130829.4856557869</v>
      </c>
      <c r="C271" s="50">
        <v>34997.812069936663</v>
      </c>
      <c r="D271" s="50">
        <v>0</v>
      </c>
      <c r="E271" s="50">
        <v>1128158.83126087</v>
      </c>
      <c r="F271" s="50">
        <v>4181.5671185515821</v>
      </c>
      <c r="G271" s="50">
        <v>441414.44509194471</v>
      </c>
      <c r="H271" s="50">
        <v>0</v>
      </c>
      <c r="I271" s="50">
        <v>1128158.83126087</v>
      </c>
      <c r="J271" s="50">
        <v>2758772.3317203429</v>
      </c>
    </row>
    <row r="272" spans="1:10" x14ac:dyDescent="0.2">
      <c r="A272" s="7">
        <v>270</v>
      </c>
      <c r="B272" s="50">
        <v>1173202.0218960771</v>
      </c>
      <c r="C272" s="50">
        <v>15310.203876945659</v>
      </c>
      <c r="D272" s="50">
        <v>0</v>
      </c>
      <c r="E272" s="50">
        <v>1170949.9642635479</v>
      </c>
      <c r="F272" s="50">
        <v>4264.8502252227627</v>
      </c>
      <c r="G272" s="50">
        <v>461385.54067480011</v>
      </c>
      <c r="H272" s="50">
        <v>0</v>
      </c>
      <c r="I272" s="50">
        <v>1170949.9642635479</v>
      </c>
      <c r="J272" s="50">
        <v>2866386.9746157159</v>
      </c>
    </row>
    <row r="273" spans="1:10" x14ac:dyDescent="0.2">
      <c r="A273" s="7">
        <v>271</v>
      </c>
      <c r="B273" s="50">
        <v>1123972.2091705659</v>
      </c>
      <c r="C273" s="50">
        <v>38110.279747382738</v>
      </c>
      <c r="D273" s="50">
        <v>0</v>
      </c>
      <c r="E273" s="50">
        <v>1121200.7584983271</v>
      </c>
      <c r="F273" s="50">
        <v>4168.0295141381212</v>
      </c>
      <c r="G273" s="50">
        <v>438233.63629801758</v>
      </c>
      <c r="H273" s="50">
        <v>0</v>
      </c>
      <c r="I273" s="50">
        <v>1121200.7584983271</v>
      </c>
      <c r="J273" s="50">
        <v>2741268.533826963</v>
      </c>
    </row>
    <row r="274" spans="1:10" x14ac:dyDescent="0.2">
      <c r="A274" s="7">
        <v>272</v>
      </c>
      <c r="B274" s="50">
        <v>1169933.4240971031</v>
      </c>
      <c r="C274" s="50">
        <v>16830.624421279881</v>
      </c>
      <c r="D274" s="50">
        <v>0</v>
      </c>
      <c r="E274" s="50">
        <v>1167661.87296391</v>
      </c>
      <c r="F274" s="50">
        <v>4258.7007541675121</v>
      </c>
      <c r="G274" s="50">
        <v>459820.6795615647</v>
      </c>
      <c r="H274" s="50">
        <v>0</v>
      </c>
      <c r="I274" s="50">
        <v>1167661.87296391</v>
      </c>
      <c r="J274" s="50">
        <v>2858120.8195466241</v>
      </c>
    </row>
    <row r="275" spans="1:10" x14ac:dyDescent="0.2">
      <c r="A275" s="7">
        <v>273</v>
      </c>
      <c r="B275" s="50">
        <v>1116570.3370576841</v>
      </c>
      <c r="C275" s="50">
        <v>41440.597449273802</v>
      </c>
      <c r="D275" s="50">
        <v>0</v>
      </c>
      <c r="E275" s="50">
        <v>1113679.958730048</v>
      </c>
      <c r="F275" s="50">
        <v>4153.465845676139</v>
      </c>
      <c r="G275" s="50">
        <v>434794.57363120932</v>
      </c>
      <c r="H275" s="50">
        <v>0</v>
      </c>
      <c r="I275" s="50">
        <v>1113679.958730048</v>
      </c>
      <c r="J275" s="50">
        <v>2722347.655372323</v>
      </c>
    </row>
    <row r="276" spans="1:10" x14ac:dyDescent="0.2">
      <c r="A276" s="7">
        <v>274</v>
      </c>
      <c r="B276" s="50">
        <v>1166253.7581121291</v>
      </c>
      <c r="C276" s="50">
        <v>18528.24914564937</v>
      </c>
      <c r="D276" s="50">
        <v>0</v>
      </c>
      <c r="E276" s="50">
        <v>1163957.9378843389</v>
      </c>
      <c r="F276" s="50">
        <v>4251.8573414813727</v>
      </c>
      <c r="G276" s="50">
        <v>458053.78320987342</v>
      </c>
      <c r="H276" s="50">
        <v>0</v>
      </c>
      <c r="I276" s="50">
        <v>1163957.9378843389</v>
      </c>
      <c r="J276" s="50">
        <v>2848809.24856119</v>
      </c>
    </row>
    <row r="277" spans="1:10" x14ac:dyDescent="0.2">
      <c r="A277" s="7">
        <v>275</v>
      </c>
      <c r="B277" s="50">
        <v>1108559.432278747</v>
      </c>
      <c r="C277" s="50">
        <v>45016.442925925367</v>
      </c>
      <c r="D277" s="50">
        <v>0</v>
      </c>
      <c r="E277" s="50">
        <v>1105528.3485236471</v>
      </c>
      <c r="F277" s="50">
        <v>4137.7069471487785</v>
      </c>
      <c r="G277" s="50">
        <v>431066.0650558807</v>
      </c>
      <c r="H277" s="50">
        <v>0</v>
      </c>
      <c r="I277" s="50">
        <v>1105528.3485236471</v>
      </c>
      <c r="J277" s="50">
        <v>2701837.718421706</v>
      </c>
    </row>
    <row r="278" spans="1:10" x14ac:dyDescent="0.2">
      <c r="A278" s="7">
        <v>276</v>
      </c>
      <c r="B278" s="50">
        <v>1162056.4890053361</v>
      </c>
      <c r="C278" s="50">
        <v>20433.285702468362</v>
      </c>
      <c r="D278" s="50">
        <v>0</v>
      </c>
      <c r="E278" s="50">
        <v>1159730.258490125</v>
      </c>
      <c r="F278" s="50">
        <v>4244.1916371523403</v>
      </c>
      <c r="G278" s="50">
        <v>456074.93842999078</v>
      </c>
      <c r="H278" s="50">
        <v>0</v>
      </c>
      <c r="I278" s="50">
        <v>1159730.258490125</v>
      </c>
      <c r="J278" s="50">
        <v>2838181.3376680901</v>
      </c>
    </row>
    <row r="279" spans="1:10" x14ac:dyDescent="0.2">
      <c r="A279" s="7">
        <v>277</v>
      </c>
      <c r="B279" s="50">
        <v>1099853.2281342039</v>
      </c>
      <c r="C279" s="50">
        <v>48858.036945914377</v>
      </c>
      <c r="D279" s="50">
        <v>0</v>
      </c>
      <c r="E279" s="50">
        <v>1096655.5628762799</v>
      </c>
      <c r="F279" s="50">
        <v>4120.6634053168818</v>
      </c>
      <c r="G279" s="50">
        <v>427010.52918769087</v>
      </c>
      <c r="H279" s="50">
        <v>0</v>
      </c>
      <c r="I279" s="50">
        <v>1096655.5628762799</v>
      </c>
      <c r="J279" s="50">
        <v>2679511.2312039528</v>
      </c>
    </row>
    <row r="280" spans="1:10" x14ac:dyDescent="0.2">
      <c r="A280" s="7">
        <v>278</v>
      </c>
      <c r="B280" s="50">
        <v>1157272.373173293</v>
      </c>
      <c r="C280" s="50">
        <v>22586.289882599842</v>
      </c>
      <c r="D280" s="50">
        <v>0</v>
      </c>
      <c r="E280" s="50">
        <v>1154907.6973985899</v>
      </c>
      <c r="F280" s="50">
        <v>4235.5277362489142</v>
      </c>
      <c r="G280" s="50">
        <v>453812.06010310579</v>
      </c>
      <c r="H280" s="50">
        <v>0</v>
      </c>
      <c r="I280" s="50">
        <v>1154907.6973985899</v>
      </c>
      <c r="J280" s="50">
        <v>2826057.6786526842</v>
      </c>
    </row>
    <row r="281" spans="1:10" x14ac:dyDescent="0.2">
      <c r="A281" s="7">
        <v>279</v>
      </c>
      <c r="B281" s="50">
        <v>1090370.228981876</v>
      </c>
      <c r="C281" s="50">
        <v>52979.054640132468</v>
      </c>
      <c r="D281" s="50">
        <v>0</v>
      </c>
      <c r="E281" s="50">
        <v>1086975.5735030391</v>
      </c>
      <c r="F281" s="50">
        <v>4102.2660138523206</v>
      </c>
      <c r="G281" s="50">
        <v>422580.360092205</v>
      </c>
      <c r="H281" s="50">
        <v>0</v>
      </c>
      <c r="I281" s="50">
        <v>1086975.5735030391</v>
      </c>
      <c r="J281" s="50">
        <v>2655151.4097188078</v>
      </c>
    </row>
    <row r="282" spans="1:10" x14ac:dyDescent="0.2">
      <c r="A282" s="7">
        <v>280</v>
      </c>
      <c r="B282" s="50">
        <v>1151805.592410763</v>
      </c>
      <c r="C282" s="50">
        <v>25025.924117732331</v>
      </c>
      <c r="D282" s="50">
        <v>0</v>
      </c>
      <c r="E282" s="50">
        <v>1149392.061144196</v>
      </c>
      <c r="F282" s="50">
        <v>4225.697447290644</v>
      </c>
      <c r="G282" s="50">
        <v>451208.84529015928</v>
      </c>
      <c r="H282" s="50">
        <v>0</v>
      </c>
      <c r="I282" s="50">
        <v>1149392.061144196</v>
      </c>
      <c r="J282" s="50">
        <v>2812191.1338917161</v>
      </c>
    </row>
    <row r="283" spans="1:10" x14ac:dyDescent="0.2">
      <c r="A283" s="7">
        <v>281</v>
      </c>
      <c r="B283" s="50">
        <v>1079974.5588149279</v>
      </c>
      <c r="C283" s="50">
        <v>57422.930211873259</v>
      </c>
      <c r="D283" s="50">
        <v>0</v>
      </c>
      <c r="E283" s="50">
        <v>1076345.603836399</v>
      </c>
      <c r="F283" s="50">
        <v>4082.260681330692</v>
      </c>
      <c r="G283" s="50">
        <v>417702.71771055792</v>
      </c>
      <c r="H283" s="50">
        <v>0</v>
      </c>
      <c r="I283" s="50">
        <v>1076345.603836399</v>
      </c>
      <c r="J283" s="50">
        <v>2628398.038673135</v>
      </c>
    </row>
    <row r="284" spans="1:10" x14ac:dyDescent="0.2">
      <c r="A284" s="7">
        <v>282</v>
      </c>
      <c r="B284" s="50">
        <v>1145474.2182443279</v>
      </c>
      <c r="C284" s="50">
        <v>27817.505946796391</v>
      </c>
      <c r="D284" s="50">
        <v>0</v>
      </c>
      <c r="E284" s="50">
        <v>1142997.8035138019</v>
      </c>
      <c r="F284" s="50">
        <v>4214.3691324540414</v>
      </c>
      <c r="G284" s="50">
        <v>448238.18003310589</v>
      </c>
      <c r="H284" s="50">
        <v>0</v>
      </c>
      <c r="I284" s="50">
        <v>1142997.8035138019</v>
      </c>
      <c r="J284" s="50">
        <v>2796115.1054293821</v>
      </c>
    </row>
    <row r="285" spans="1:10" x14ac:dyDescent="0.2">
      <c r="A285" s="7">
        <v>283</v>
      </c>
      <c r="B285" s="50">
        <v>1068605.1549606391</v>
      </c>
      <c r="C285" s="50">
        <v>62252.871191339102</v>
      </c>
      <c r="D285" s="50">
        <v>0</v>
      </c>
      <c r="E285" s="50">
        <v>1064695.165163585</v>
      </c>
      <c r="F285" s="50">
        <v>4060.2203151327558</v>
      </c>
      <c r="G285" s="50">
        <v>412319.48520314042</v>
      </c>
      <c r="H285" s="50">
        <v>0</v>
      </c>
      <c r="I285" s="50">
        <v>1064695.165163585</v>
      </c>
      <c r="J285" s="50">
        <v>2598806.284691656</v>
      </c>
    </row>
    <row r="286" spans="1:10" x14ac:dyDescent="0.2">
      <c r="A286" s="7">
        <v>284</v>
      </c>
      <c r="B286" s="50">
        <v>1138171.2309886289</v>
      </c>
      <c r="C286" s="50">
        <v>31016.381093510889</v>
      </c>
      <c r="D286" s="50">
        <v>0</v>
      </c>
      <c r="E286" s="50">
        <v>1135613.465883981</v>
      </c>
      <c r="F286" s="50">
        <v>4201.2421488165865</v>
      </c>
      <c r="G286" s="50">
        <v>444821.20362628723</v>
      </c>
      <c r="H286" s="50">
        <v>0</v>
      </c>
      <c r="I286" s="50">
        <v>1135613.465883981</v>
      </c>
      <c r="J286" s="50">
        <v>2777548.263951215</v>
      </c>
    </row>
    <row r="287" spans="1:10" x14ac:dyDescent="0.2">
      <c r="A287" s="7">
        <v>285</v>
      </c>
      <c r="B287" s="50">
        <v>1056240.4052937571</v>
      </c>
      <c r="C287" s="50">
        <v>67512.862856550608</v>
      </c>
      <c r="D287" s="50">
        <v>0</v>
      </c>
      <c r="E287" s="50">
        <v>1051992.231362724</v>
      </c>
      <c r="F287" s="50">
        <v>4035.8001294336282</v>
      </c>
      <c r="G287" s="50">
        <v>406386.11428743601</v>
      </c>
      <c r="H287" s="50">
        <v>0</v>
      </c>
      <c r="I287" s="50">
        <v>1051992.231362724</v>
      </c>
      <c r="J287" s="50">
        <v>2565964.6677291859</v>
      </c>
    </row>
    <row r="288" spans="1:10" x14ac:dyDescent="0.2">
      <c r="A288" s="7">
        <v>286</v>
      </c>
      <c r="B288" s="50">
        <v>1129808.750785782</v>
      </c>
      <c r="C288" s="50">
        <v>34665.170696030371</v>
      </c>
      <c r="D288" s="50">
        <v>0</v>
      </c>
      <c r="E288" s="50">
        <v>1127145.8503315831</v>
      </c>
      <c r="F288" s="50">
        <v>4186.0538190174848</v>
      </c>
      <c r="G288" s="50">
        <v>440891.55594279239</v>
      </c>
      <c r="H288" s="50">
        <v>0</v>
      </c>
      <c r="I288" s="50">
        <v>1127145.8503315831</v>
      </c>
      <c r="J288" s="50">
        <v>2756255.004864722</v>
      </c>
    </row>
    <row r="289" spans="1:10" x14ac:dyDescent="0.2">
      <c r="A289" s="7">
        <v>287</v>
      </c>
      <c r="B289" s="50">
        <v>1042651.093079355</v>
      </c>
      <c r="C289" s="50">
        <v>73226.68659508694</v>
      </c>
      <c r="D289" s="50">
        <v>0</v>
      </c>
      <c r="E289" s="50">
        <v>1037995.820718597</v>
      </c>
      <c r="F289" s="50">
        <v>4008.6769164381549</v>
      </c>
      <c r="G289" s="50">
        <v>399824.87337233027</v>
      </c>
      <c r="H289" s="50">
        <v>0</v>
      </c>
      <c r="I289" s="50">
        <v>1037995.820718597</v>
      </c>
      <c r="J289" s="50">
        <v>2529768.3754799562</v>
      </c>
    </row>
    <row r="290" spans="1:10" x14ac:dyDescent="0.2">
      <c r="A290" s="7">
        <v>288</v>
      </c>
      <c r="B290" s="50">
        <v>1120280.9602398539</v>
      </c>
      <c r="C290" s="50">
        <v>38812.373150598723</v>
      </c>
      <c r="D290" s="50">
        <v>0</v>
      </c>
      <c r="E290" s="50">
        <v>1117482.2428466431</v>
      </c>
      <c r="F290" s="50">
        <v>4168.4743967349641</v>
      </c>
      <c r="G290" s="50">
        <v>436398.58023439528</v>
      </c>
      <c r="H290" s="50">
        <v>0</v>
      </c>
      <c r="I290" s="50">
        <v>1117482.2428466431</v>
      </c>
      <c r="J290" s="50">
        <v>2731950.3446832122</v>
      </c>
    </row>
    <row r="291" spans="1:10" x14ac:dyDescent="0.2">
      <c r="A291" s="7">
        <v>289</v>
      </c>
      <c r="B291" s="50">
        <v>1027826.761397665</v>
      </c>
      <c r="C291" s="50">
        <v>79393.560660047457</v>
      </c>
      <c r="D291" s="50">
        <v>0</v>
      </c>
      <c r="E291" s="50">
        <v>1022683.660046638</v>
      </c>
      <c r="F291" s="50">
        <v>3978.627436671406</v>
      </c>
      <c r="G291" s="50">
        <v>392618.12019319087</v>
      </c>
      <c r="H291" s="50">
        <v>0</v>
      </c>
      <c r="I291" s="50">
        <v>1022683.660046638</v>
      </c>
      <c r="J291" s="50">
        <v>2490169.223058132</v>
      </c>
    </row>
    <row r="292" spans="1:10" x14ac:dyDescent="0.2">
      <c r="A292" s="7">
        <v>290</v>
      </c>
      <c r="B292" s="50">
        <v>1109500.9760910261</v>
      </c>
      <c r="C292" s="50">
        <v>43490.014181068167</v>
      </c>
      <c r="D292" s="50">
        <v>0</v>
      </c>
      <c r="E292" s="50">
        <v>1106527.663239487</v>
      </c>
      <c r="F292" s="50">
        <v>4148.2500144909136</v>
      </c>
      <c r="G292" s="50">
        <v>431302.41247646179</v>
      </c>
      <c r="H292" s="50">
        <v>0</v>
      </c>
      <c r="I292" s="50">
        <v>1106527.663239487</v>
      </c>
      <c r="J292" s="50">
        <v>2704393.802385712</v>
      </c>
    </row>
    <row r="293" spans="1:10" x14ac:dyDescent="0.2">
      <c r="A293" s="7">
        <v>291</v>
      </c>
      <c r="B293" s="50">
        <v>1011800.807770494</v>
      </c>
      <c r="C293" s="50">
        <v>85998.899628207553</v>
      </c>
      <c r="D293" s="50">
        <v>0</v>
      </c>
      <c r="E293" s="50">
        <v>1006076.727747708</v>
      </c>
      <c r="F293" s="50">
        <v>3945.4855467649181</v>
      </c>
      <c r="G293" s="50">
        <v>384771.74655119277</v>
      </c>
      <c r="H293" s="50">
        <v>0</v>
      </c>
      <c r="I293" s="50">
        <v>1006076.727747708</v>
      </c>
      <c r="J293" s="50">
        <v>2447215.7735817609</v>
      </c>
    </row>
    <row r="294" spans="1:10" x14ac:dyDescent="0.2">
      <c r="A294" s="7">
        <v>292</v>
      </c>
      <c r="B294" s="50">
        <v>1097561.1521940599</v>
      </c>
      <c r="C294" s="50">
        <v>48720.833139249589</v>
      </c>
      <c r="D294" s="50">
        <v>0</v>
      </c>
      <c r="E294" s="50">
        <v>1094365.0342030481</v>
      </c>
      <c r="F294" s="50">
        <v>4125.1570824552327</v>
      </c>
      <c r="G294" s="50">
        <v>425606.8048276864</v>
      </c>
      <c r="H294" s="50">
        <v>0</v>
      </c>
      <c r="I294" s="50">
        <v>1094365.0342030481</v>
      </c>
      <c r="J294" s="50">
        <v>2673283.4323248928</v>
      </c>
    </row>
    <row r="295" spans="1:10" x14ac:dyDescent="0.2">
      <c r="A295" s="7">
        <v>293</v>
      </c>
      <c r="B295" s="50">
        <v>994608.72677761817</v>
      </c>
      <c r="C295" s="50">
        <v>93030.071776735596</v>
      </c>
      <c r="D295" s="50">
        <v>0</v>
      </c>
      <c r="E295" s="50">
        <v>988196.26078461017</v>
      </c>
      <c r="F295" s="50">
        <v>3909.10413042549</v>
      </c>
      <c r="G295" s="50">
        <v>376302.11261392588</v>
      </c>
      <c r="H295" s="50">
        <v>0</v>
      </c>
      <c r="I295" s="50">
        <v>988196.26078461017</v>
      </c>
      <c r="J295" s="50">
        <v>2400917.5173301529</v>
      </c>
    </row>
    <row r="296" spans="1:10" x14ac:dyDescent="0.2">
      <c r="A296" s="7">
        <v>294</v>
      </c>
      <c r="B296" s="50">
        <v>1084385.7993857409</v>
      </c>
      <c r="C296" s="50">
        <v>54503.147481178399</v>
      </c>
      <c r="D296" s="50">
        <v>0</v>
      </c>
      <c r="E296" s="50">
        <v>1080908.284251624</v>
      </c>
      <c r="F296" s="50">
        <v>4099.090294870548</v>
      </c>
      <c r="G296" s="50">
        <v>419281.66383767169</v>
      </c>
      <c r="H296" s="50">
        <v>0</v>
      </c>
      <c r="I296" s="50">
        <v>1080908.284251624</v>
      </c>
      <c r="J296" s="50">
        <v>2638474.0955801192</v>
      </c>
    </row>
    <row r="297" spans="1:10" x14ac:dyDescent="0.2">
      <c r="A297" s="7">
        <v>295</v>
      </c>
      <c r="B297" s="50">
        <v>976138.94876029133</v>
      </c>
      <c r="C297" s="50">
        <v>100505.4761736956</v>
      </c>
      <c r="D297" s="50">
        <v>0</v>
      </c>
      <c r="E297" s="50">
        <v>968910.50210377551</v>
      </c>
      <c r="F297" s="50">
        <v>3869.21786088217</v>
      </c>
      <c r="G297" s="50">
        <v>367216.82319664402</v>
      </c>
      <c r="H297" s="50">
        <v>0</v>
      </c>
      <c r="I297" s="50">
        <v>968910.50210377551</v>
      </c>
      <c r="J297" s="50">
        <v>2351082.6028278321</v>
      </c>
    </row>
    <row r="298" spans="1:10" x14ac:dyDescent="0.2">
      <c r="A298" s="7">
        <v>296</v>
      </c>
      <c r="B298" s="50">
        <v>1069771.7493370529</v>
      </c>
      <c r="C298" s="50">
        <v>60842.401431431987</v>
      </c>
      <c r="D298" s="50">
        <v>0</v>
      </c>
      <c r="E298" s="50">
        <v>1065941.4460216281</v>
      </c>
      <c r="F298" s="50">
        <v>4069.882887379732</v>
      </c>
      <c r="G298" s="50">
        <v>412268.86376794992</v>
      </c>
      <c r="H298" s="50">
        <v>0</v>
      </c>
      <c r="I298" s="50">
        <v>1065941.4460216281</v>
      </c>
      <c r="J298" s="50">
        <v>2599794.3036473379</v>
      </c>
    </row>
    <row r="299" spans="1:10" x14ac:dyDescent="0.2">
      <c r="A299" s="7">
        <v>297</v>
      </c>
      <c r="B299" s="50">
        <v>956529.79885690613</v>
      </c>
      <c r="C299" s="50">
        <v>108329.714324024</v>
      </c>
      <c r="D299" s="50">
        <v>0</v>
      </c>
      <c r="E299" s="50">
        <v>948347.78076168173</v>
      </c>
      <c r="F299" s="50">
        <v>3826.1625392269339</v>
      </c>
      <c r="G299" s="50">
        <v>357596.97505365917</v>
      </c>
      <c r="H299" s="50">
        <v>0</v>
      </c>
      <c r="I299" s="50">
        <v>948347.78076168173</v>
      </c>
      <c r="J299" s="50">
        <v>2298078.9255249761</v>
      </c>
    </row>
    <row r="300" spans="1:10" x14ac:dyDescent="0.2">
      <c r="A300" s="7">
        <v>298</v>
      </c>
      <c r="B300" s="50">
        <v>1053703.3018758551</v>
      </c>
      <c r="C300" s="50">
        <v>67714.431614805479</v>
      </c>
      <c r="D300" s="50">
        <v>0</v>
      </c>
      <c r="E300" s="50">
        <v>1049435.733899276</v>
      </c>
      <c r="F300" s="50">
        <v>4037.4522248744029</v>
      </c>
      <c r="G300" s="50">
        <v>404554.72413795348</v>
      </c>
      <c r="H300" s="50">
        <v>0</v>
      </c>
      <c r="I300" s="50">
        <v>1049435.733899276</v>
      </c>
      <c r="J300" s="50">
        <v>2557190.7648981828</v>
      </c>
    </row>
    <row r="301" spans="1:10" x14ac:dyDescent="0.2">
      <c r="A301" s="7">
        <v>299</v>
      </c>
      <c r="B301" s="50">
        <v>935973.80981409457</v>
      </c>
      <c r="C301" s="50">
        <v>116372.6665671323</v>
      </c>
      <c r="D301" s="50">
        <v>0</v>
      </c>
      <c r="E301" s="50">
        <v>926696.68865386024</v>
      </c>
      <c r="F301" s="50">
        <v>3780.4797744276002</v>
      </c>
      <c r="G301" s="50">
        <v>347535.4608443398</v>
      </c>
      <c r="H301" s="50">
        <v>0</v>
      </c>
      <c r="I301" s="50">
        <v>926696.68865386024</v>
      </c>
      <c r="J301" s="50">
        <v>2242406.3150801929</v>
      </c>
    </row>
    <row r="302" spans="1:10" x14ac:dyDescent="0.2">
      <c r="A302" s="7">
        <v>300</v>
      </c>
      <c r="B302" s="50">
        <v>1036225.5569429121</v>
      </c>
      <c r="C302" s="50">
        <v>75065.917962558102</v>
      </c>
      <c r="D302" s="50">
        <v>0</v>
      </c>
      <c r="E302" s="50">
        <v>1031423.6307458041</v>
      </c>
      <c r="F302" s="50">
        <v>4001.8388846497978</v>
      </c>
      <c r="G302" s="50">
        <v>396138.64618305722</v>
      </c>
      <c r="H302" s="50">
        <v>0</v>
      </c>
      <c r="I302" s="50">
        <v>1031423.6307458041</v>
      </c>
      <c r="J302" s="50">
        <v>2510715.0519765508</v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B1:N313"/>
  <sheetViews>
    <sheetView showGridLines="0" workbookViewId="0">
      <pane ySplit="13" topLeftCell="A14" activePane="bottomLeft" state="frozen"/>
      <selection pane="bottomLeft"/>
    </sheetView>
  </sheetViews>
  <sheetFormatPr baseColWidth="10" defaultColWidth="8.83203125" defaultRowHeight="15" x14ac:dyDescent="0.2"/>
  <cols>
    <col min="1" max="1" width="3" customWidth="1"/>
    <col min="2" max="2" width="34" customWidth="1"/>
    <col min="3" max="4" width="15" customWidth="1"/>
    <col min="5" max="13" width="12" customWidth="1"/>
    <col min="14" max="14" width="11" customWidth="1"/>
  </cols>
  <sheetData>
    <row r="1" spans="2:14" x14ac:dyDescent="0.2">
      <c r="B1" s="3" t="s">
        <v>508</v>
      </c>
    </row>
    <row r="2" spans="2:14" x14ac:dyDescent="0.2">
      <c r="B2" s="12" t="s">
        <v>509</v>
      </c>
    </row>
    <row r="4" spans="2:14" x14ac:dyDescent="0.2">
      <c r="B4" s="5" t="s">
        <v>510</v>
      </c>
      <c r="C4" s="51">
        <v>300</v>
      </c>
    </row>
    <row r="5" spans="2:14" x14ac:dyDescent="0.2">
      <c r="B5" s="5" t="s">
        <v>511</v>
      </c>
      <c r="C5" s="51">
        <v>300</v>
      </c>
    </row>
    <row r="6" spans="2:14" x14ac:dyDescent="0.2">
      <c r="B6" s="5" t="s">
        <v>512</v>
      </c>
      <c r="C6" s="51">
        <v>0</v>
      </c>
    </row>
    <row r="7" spans="2:14" x14ac:dyDescent="0.2">
      <c r="B7" s="5" t="s">
        <v>513</v>
      </c>
      <c r="C7" s="51">
        <v>1.6985447639328864E-14</v>
      </c>
    </row>
    <row r="8" spans="2:14" x14ac:dyDescent="0.2">
      <c r="B8" s="5" t="s">
        <v>514</v>
      </c>
      <c r="C8" s="51">
        <v>4.7470922241709366E-13</v>
      </c>
    </row>
    <row r="9" spans="2:14" x14ac:dyDescent="0.2">
      <c r="B9" s="5" t="s">
        <v>515</v>
      </c>
      <c r="C9" s="51">
        <v>1.9078701267240604E-14</v>
      </c>
    </row>
    <row r="10" spans="2:14" x14ac:dyDescent="0.2">
      <c r="B10" s="5" t="s">
        <v>516</v>
      </c>
      <c r="C10" s="51">
        <v>5.9</v>
      </c>
    </row>
    <row r="11" spans="2:14" x14ac:dyDescent="0.2">
      <c r="B11" s="3" t="s">
        <v>517</v>
      </c>
      <c r="C11" s="52" t="s">
        <v>530</v>
      </c>
    </row>
    <row r="13" spans="2:14" x14ac:dyDescent="0.2">
      <c r="B13" s="10" t="s">
        <v>80</v>
      </c>
      <c r="C13" s="10" t="s">
        <v>518</v>
      </c>
      <c r="D13" s="10" t="s">
        <v>519</v>
      </c>
      <c r="E13" s="10" t="s">
        <v>520</v>
      </c>
      <c r="F13" s="10" t="s">
        <v>521</v>
      </c>
      <c r="G13" s="10" t="s">
        <v>522</v>
      </c>
      <c r="H13" s="10" t="s">
        <v>523</v>
      </c>
      <c r="I13" s="10" t="s">
        <v>524</v>
      </c>
      <c r="J13" s="10" t="s">
        <v>525</v>
      </c>
      <c r="K13" s="10" t="s">
        <v>526</v>
      </c>
      <c r="L13" s="10" t="s">
        <v>527</v>
      </c>
      <c r="M13" s="10" t="s">
        <v>528</v>
      </c>
      <c r="N13" s="10" t="s">
        <v>529</v>
      </c>
    </row>
    <row r="14" spans="2:14" x14ac:dyDescent="0.2">
      <c r="B14">
        <v>1</v>
      </c>
      <c r="C14">
        <v>5929.4376774848906</v>
      </c>
      <c r="D14">
        <v>5929.4376774848806</v>
      </c>
      <c r="E14">
        <v>1.6872496623905566E-15</v>
      </c>
      <c r="F14">
        <v>1.9220212286387051E-15</v>
      </c>
      <c r="G14">
        <v>0</v>
      </c>
      <c r="H14">
        <v>1.6329279890710282E-15</v>
      </c>
      <c r="I14">
        <v>3.6072004219362353E-15</v>
      </c>
      <c r="J14">
        <v>0</v>
      </c>
      <c r="K14">
        <v>1.6329279890710282E-15</v>
      </c>
      <c r="L14">
        <v>1.528786939639026E-15</v>
      </c>
      <c r="M14">
        <v>8.1259132691449157E-16</v>
      </c>
      <c r="N14" t="b">
        <v>1</v>
      </c>
    </row>
    <row r="15" spans="2:14" x14ac:dyDescent="0.2">
      <c r="B15">
        <v>2</v>
      </c>
      <c r="C15">
        <v>5230.1516019137371</v>
      </c>
      <c r="D15">
        <v>5230.1516019137398</v>
      </c>
      <c r="E15">
        <v>5.2168355967357013E-16</v>
      </c>
      <c r="F15">
        <v>1.0926380662890807E-14</v>
      </c>
      <c r="G15">
        <v>0</v>
      </c>
      <c r="H15">
        <v>4.1579476990825033E-16</v>
      </c>
      <c r="I15">
        <v>5.939840230850798E-16</v>
      </c>
      <c r="J15">
        <v>0</v>
      </c>
      <c r="K15">
        <v>4.1579476990825033E-16</v>
      </c>
      <c r="L15">
        <v>3.4025241692959451E-16</v>
      </c>
      <c r="M15">
        <v>0</v>
      </c>
      <c r="N15" t="b">
        <v>1</v>
      </c>
    </row>
    <row r="16" spans="2:14" x14ac:dyDescent="0.2">
      <c r="B16">
        <v>3</v>
      </c>
      <c r="C16">
        <v>6042.299294915465</v>
      </c>
      <c r="D16">
        <v>6042.2992949154523</v>
      </c>
      <c r="E16">
        <v>2.1072981001678705E-15</v>
      </c>
      <c r="F16">
        <v>5.8169308518321692E-15</v>
      </c>
      <c r="G16">
        <v>0</v>
      </c>
      <c r="H16">
        <v>1.7783610271762927E-15</v>
      </c>
      <c r="I16">
        <v>6.7225237769010384E-16</v>
      </c>
      <c r="J16">
        <v>0</v>
      </c>
      <c r="K16">
        <v>1.7783610271762927E-15</v>
      </c>
      <c r="L16">
        <v>2.207532221967327E-15</v>
      </c>
      <c r="M16">
        <v>1.5862288422411151E-15</v>
      </c>
      <c r="N16" t="b">
        <v>1</v>
      </c>
    </row>
    <row r="17" spans="2:14" x14ac:dyDescent="0.2">
      <c r="B17">
        <v>4</v>
      </c>
      <c r="C17">
        <v>5292.4422953418798</v>
      </c>
      <c r="D17">
        <v>5292.4422953418671</v>
      </c>
      <c r="E17">
        <v>2.4058695615874464E-15</v>
      </c>
      <c r="F17">
        <v>1.3490512978158766E-14</v>
      </c>
      <c r="G17">
        <v>0</v>
      </c>
      <c r="H17">
        <v>2.6674581167232758E-15</v>
      </c>
      <c r="I17">
        <v>3.1235005334334298E-15</v>
      </c>
      <c r="J17">
        <v>0</v>
      </c>
      <c r="K17">
        <v>2.6674581167232758E-15</v>
      </c>
      <c r="L17">
        <v>1.7009832863341134E-16</v>
      </c>
      <c r="M17">
        <v>2.0242559462323362E-15</v>
      </c>
      <c r="N17" t="b">
        <v>1</v>
      </c>
    </row>
    <row r="18" spans="2:14" x14ac:dyDescent="0.2">
      <c r="B18">
        <v>5</v>
      </c>
      <c r="C18">
        <v>6167.9972794492724</v>
      </c>
      <c r="D18">
        <v>6167.9972794492678</v>
      </c>
      <c r="E18">
        <v>7.3726905230909558E-16</v>
      </c>
      <c r="F18">
        <v>2.0776564998419546E-15</v>
      </c>
      <c r="G18">
        <v>0</v>
      </c>
      <c r="H18">
        <v>3.4801957910647107E-16</v>
      </c>
      <c r="I18">
        <v>1.3124208411863381E-15</v>
      </c>
      <c r="J18">
        <v>0</v>
      </c>
      <c r="K18">
        <v>3.4801957910647107E-16</v>
      </c>
      <c r="L18">
        <v>2.5461980341513953E-15</v>
      </c>
      <c r="M18">
        <v>1.1587715120970781E-15</v>
      </c>
      <c r="N18" t="b">
        <v>1</v>
      </c>
    </row>
    <row r="19" spans="2:14" x14ac:dyDescent="0.2">
      <c r="B19">
        <v>6</v>
      </c>
      <c r="C19">
        <v>5360.1318433611314</v>
      </c>
      <c r="D19">
        <v>5360.1318433611332</v>
      </c>
      <c r="E19">
        <v>3.3935534735004539E-16</v>
      </c>
      <c r="F19">
        <v>6.2478403392727019E-15</v>
      </c>
      <c r="G19">
        <v>0</v>
      </c>
      <c r="H19">
        <v>2.0233181728922484E-16</v>
      </c>
      <c r="I19">
        <v>5.7691285648485101E-16</v>
      </c>
      <c r="J19">
        <v>0</v>
      </c>
      <c r="K19">
        <v>2.0233181728922484E-16</v>
      </c>
      <c r="L19">
        <v>0</v>
      </c>
      <c r="M19">
        <v>1.1697993153343882E-16</v>
      </c>
      <c r="N19" t="b">
        <v>1</v>
      </c>
    </row>
    <row r="20" spans="2:14" x14ac:dyDescent="0.2">
      <c r="B20">
        <v>7</v>
      </c>
      <c r="C20">
        <v>6313.1580701380153</v>
      </c>
      <c r="D20">
        <v>6313.1580701379962</v>
      </c>
      <c r="E20">
        <v>3.0253303536900051E-15</v>
      </c>
      <c r="F20">
        <v>8.0855131726476272E-15</v>
      </c>
      <c r="G20">
        <v>0</v>
      </c>
      <c r="H20">
        <v>3.3956602908451789E-15</v>
      </c>
      <c r="I20">
        <v>2.8752786075317433E-15</v>
      </c>
      <c r="J20">
        <v>0</v>
      </c>
      <c r="K20">
        <v>3.3956602908451789E-15</v>
      </c>
      <c r="L20">
        <v>1.6967337407442047E-16</v>
      </c>
      <c r="M20">
        <v>3.0038155794881772E-15</v>
      </c>
      <c r="N20" t="b">
        <v>1</v>
      </c>
    </row>
    <row r="21" spans="2:14" x14ac:dyDescent="0.2">
      <c r="B21">
        <v>8</v>
      </c>
      <c r="C21">
        <v>5435.1148168323807</v>
      </c>
      <c r="D21">
        <v>5435.1148168323889</v>
      </c>
      <c r="E21">
        <v>1.5060311680272608E-15</v>
      </c>
      <c r="F21">
        <v>1.1561346473114859E-14</v>
      </c>
      <c r="G21">
        <v>0</v>
      </c>
      <c r="H21">
        <v>9.9632868166960695E-16</v>
      </c>
      <c r="I21">
        <v>2.4595727952907829E-15</v>
      </c>
      <c r="J21">
        <v>0</v>
      </c>
      <c r="K21">
        <v>9.9632868166960695E-16</v>
      </c>
      <c r="L21">
        <v>1.5303271840664171E-15</v>
      </c>
      <c r="M21">
        <v>9.1815938477312442E-16</v>
      </c>
      <c r="N21" t="b">
        <v>1</v>
      </c>
    </row>
    <row r="22" spans="2:14" x14ac:dyDescent="0.2">
      <c r="B22">
        <v>9</v>
      </c>
      <c r="C22">
        <v>6482.6829724957215</v>
      </c>
      <c r="D22">
        <v>6482.6829724957133</v>
      </c>
      <c r="E22">
        <v>1.2626642935779884E-15</v>
      </c>
      <c r="F22">
        <v>1.030180068526991E-14</v>
      </c>
      <c r="G22">
        <v>0</v>
      </c>
      <c r="H22">
        <v>9.9061767879173048E-16</v>
      </c>
      <c r="I22">
        <v>6.0484281897832398E-15</v>
      </c>
      <c r="J22">
        <v>0</v>
      </c>
      <c r="K22">
        <v>9.9061767879173048E-16</v>
      </c>
      <c r="L22">
        <v>3.3918288479574902E-16</v>
      </c>
      <c r="M22">
        <v>1.8192842824310731E-15</v>
      </c>
      <c r="N22" t="b">
        <v>1</v>
      </c>
    </row>
    <row r="23" spans="2:14" x14ac:dyDescent="0.2">
      <c r="B23">
        <v>10</v>
      </c>
      <c r="C23">
        <v>5519.5088782697621</v>
      </c>
      <c r="D23">
        <v>5519.5088782697594</v>
      </c>
      <c r="E23">
        <v>4.9433458039370022E-16</v>
      </c>
      <c r="F23">
        <v>2.66828021958976E-15</v>
      </c>
      <c r="G23">
        <v>0</v>
      </c>
      <c r="H23">
        <v>5.8779821726330735E-16</v>
      </c>
      <c r="I23">
        <v>5.5755540724229893E-16</v>
      </c>
      <c r="J23">
        <v>0</v>
      </c>
      <c r="K23">
        <v>5.8779821726330735E-16</v>
      </c>
      <c r="L23">
        <v>3.3999891272706661E-16</v>
      </c>
      <c r="M23">
        <v>6.7445869576697342E-16</v>
      </c>
      <c r="N23" t="b">
        <v>1</v>
      </c>
    </row>
    <row r="24" spans="2:14" x14ac:dyDescent="0.2">
      <c r="B24">
        <v>11</v>
      </c>
      <c r="C24">
        <v>6678.7285460598141</v>
      </c>
      <c r="D24">
        <v>6678.7285460598296</v>
      </c>
      <c r="E24">
        <v>2.3150229603599274E-15</v>
      </c>
      <c r="F24">
        <v>1.4672416518321026E-14</v>
      </c>
      <c r="G24">
        <v>0</v>
      </c>
      <c r="H24">
        <v>1.6002558999094311E-15</v>
      </c>
      <c r="I24">
        <v>3.0021453651522862E-15</v>
      </c>
      <c r="J24">
        <v>0</v>
      </c>
      <c r="K24">
        <v>1.6002558999094311E-15</v>
      </c>
      <c r="L24">
        <v>3.051015630872337E-15</v>
      </c>
      <c r="M24">
        <v>1.7561138900616575E-16</v>
      </c>
      <c r="N24" t="b">
        <v>1</v>
      </c>
    </row>
    <row r="25" spans="2:14" x14ac:dyDescent="0.2">
      <c r="B25">
        <v>12</v>
      </c>
      <c r="C25">
        <v>5613.3254135647476</v>
      </c>
      <c r="D25">
        <v>5613.3254135647512</v>
      </c>
      <c r="E25">
        <v>6.4809690140187484E-16</v>
      </c>
      <c r="F25">
        <v>2.456552782010664E-15</v>
      </c>
      <c r="G25">
        <v>0</v>
      </c>
      <c r="H25">
        <v>3.8475094270832117E-16</v>
      </c>
      <c r="I25">
        <v>9.1122351161334559E-16</v>
      </c>
      <c r="J25">
        <v>0</v>
      </c>
      <c r="K25">
        <v>3.8475094270832117E-16</v>
      </c>
      <c r="L25">
        <v>1.6995763977982176E-15</v>
      </c>
      <c r="M25">
        <v>2.1975269211497805E-16</v>
      </c>
      <c r="N25" t="b">
        <v>1</v>
      </c>
    </row>
    <row r="26" spans="2:14" x14ac:dyDescent="0.2">
      <c r="B26">
        <v>13</v>
      </c>
      <c r="C26">
        <v>6903.1775657372482</v>
      </c>
      <c r="D26">
        <v>6903.1775657372355</v>
      </c>
      <c r="E26">
        <v>1.8445021446382516E-15</v>
      </c>
      <c r="F26">
        <v>3.8720882253128746E-15</v>
      </c>
      <c r="G26">
        <v>0</v>
      </c>
      <c r="H26">
        <v>2.3192381809730656E-15</v>
      </c>
      <c r="I26">
        <v>1.3033516944308823E-15</v>
      </c>
      <c r="J26">
        <v>0</v>
      </c>
      <c r="K26">
        <v>2.3192381809730656E-15</v>
      </c>
      <c r="L26">
        <v>3.3879920376056363E-16</v>
      </c>
      <c r="M26">
        <v>2.5324757596154761E-15</v>
      </c>
      <c r="N26" t="b">
        <v>1</v>
      </c>
    </row>
    <row r="27" spans="2:14" x14ac:dyDescent="0.2">
      <c r="B27">
        <v>14</v>
      </c>
      <c r="C27">
        <v>5719.4664533747136</v>
      </c>
      <c r="D27">
        <v>5719.4664533747109</v>
      </c>
      <c r="E27">
        <v>4.7705220890121165E-16</v>
      </c>
      <c r="F27">
        <v>5.641089130188169E-15</v>
      </c>
      <c r="G27">
        <v>0</v>
      </c>
      <c r="H27">
        <v>5.6554472887495375E-16</v>
      </c>
      <c r="I27">
        <v>1.7834851750482824E-15</v>
      </c>
      <c r="J27">
        <v>0</v>
      </c>
      <c r="K27">
        <v>5.6554472887495375E-16</v>
      </c>
      <c r="L27">
        <v>1.3592714928723408E-15</v>
      </c>
      <c r="M27">
        <v>2.1437220777502215E-16</v>
      </c>
      <c r="N27" t="b">
        <v>1</v>
      </c>
    </row>
    <row r="28" spans="2:14" x14ac:dyDescent="0.2">
      <c r="B28">
        <v>15</v>
      </c>
      <c r="C28">
        <v>7154.8984103357661</v>
      </c>
      <c r="D28">
        <v>7154.898410335747</v>
      </c>
      <c r="E28">
        <v>2.6694143846460631E-15</v>
      </c>
      <c r="F28">
        <v>1.2205919268963297E-15</v>
      </c>
      <c r="G28">
        <v>0</v>
      </c>
      <c r="H28">
        <v>3.2782053628185425E-15</v>
      </c>
      <c r="I28">
        <v>2.7858904404517328E-15</v>
      </c>
      <c r="J28">
        <v>0</v>
      </c>
      <c r="K28">
        <v>3.2782053628185425E-15</v>
      </c>
      <c r="L28">
        <v>3.3857478709276281E-16</v>
      </c>
      <c r="M28">
        <v>3.2346658078762095E-15</v>
      </c>
      <c r="N28" t="b">
        <v>1</v>
      </c>
    </row>
    <row r="29" spans="2:14" x14ac:dyDescent="0.2">
      <c r="B29">
        <v>16</v>
      </c>
      <c r="C29">
        <v>5838.463289438133</v>
      </c>
      <c r="D29">
        <v>5838.4632894381366</v>
      </c>
      <c r="E29">
        <v>6.2310553766311563E-16</v>
      </c>
      <c r="F29">
        <v>3.1043489765584514E-15</v>
      </c>
      <c r="G29">
        <v>0</v>
      </c>
      <c r="H29">
        <v>3.6875904268717463E-16</v>
      </c>
      <c r="I29">
        <v>3.4843998898885126E-16</v>
      </c>
      <c r="J29">
        <v>0</v>
      </c>
      <c r="K29">
        <v>3.6875904268717463E-16</v>
      </c>
      <c r="L29">
        <v>3.3971111084528043E-16</v>
      </c>
      <c r="M29">
        <v>0</v>
      </c>
      <c r="N29" t="b">
        <v>1</v>
      </c>
    </row>
    <row r="30" spans="2:14" x14ac:dyDescent="0.2">
      <c r="B30">
        <v>17</v>
      </c>
      <c r="C30">
        <v>7434.0187628804288</v>
      </c>
      <c r="D30">
        <v>7434.0187628804106</v>
      </c>
      <c r="E30">
        <v>2.4468453222481033E-15</v>
      </c>
      <c r="F30">
        <v>3.0844335945629845E-15</v>
      </c>
      <c r="G30">
        <v>0</v>
      </c>
      <c r="H30">
        <v>2.8656543082580728E-15</v>
      </c>
      <c r="I30">
        <v>1.7372530311014017E-15</v>
      </c>
      <c r="J30">
        <v>0</v>
      </c>
      <c r="K30">
        <v>2.8656543082580728E-15</v>
      </c>
      <c r="L30">
        <v>2.3683011133075211E-15</v>
      </c>
      <c r="M30">
        <v>2.7812137191823534E-15</v>
      </c>
      <c r="N30" t="b">
        <v>1</v>
      </c>
    </row>
    <row r="31" spans="2:14" x14ac:dyDescent="0.2">
      <c r="B31">
        <v>18</v>
      </c>
      <c r="C31">
        <v>5969.419308585514</v>
      </c>
      <c r="D31">
        <v>5969.4193085855204</v>
      </c>
      <c r="E31">
        <v>1.0665129358987949E-15</v>
      </c>
      <c r="F31">
        <v>0</v>
      </c>
      <c r="G31">
        <v>0</v>
      </c>
      <c r="H31">
        <v>9.0028060176618936E-16</v>
      </c>
      <c r="I31">
        <v>5.0971562385281424E-16</v>
      </c>
      <c r="J31">
        <v>0</v>
      </c>
      <c r="K31">
        <v>9.0028060176618936E-16</v>
      </c>
      <c r="L31">
        <v>1.0187941579106127E-15</v>
      </c>
      <c r="M31">
        <v>6.0828984894370992E-16</v>
      </c>
      <c r="N31" t="b">
        <v>1</v>
      </c>
    </row>
    <row r="32" spans="2:14" x14ac:dyDescent="0.2">
      <c r="B32">
        <v>19</v>
      </c>
      <c r="C32">
        <v>7744.3808107486029</v>
      </c>
      <c r="D32">
        <v>7744.380810748602</v>
      </c>
      <c r="E32">
        <v>1.17439305219937E-16</v>
      </c>
      <c r="F32">
        <v>2.0203124408138838E-15</v>
      </c>
      <c r="G32">
        <v>0</v>
      </c>
      <c r="H32">
        <v>2.7485639471497534E-16</v>
      </c>
      <c r="I32">
        <v>5.1162228853535894E-16</v>
      </c>
      <c r="J32">
        <v>0</v>
      </c>
      <c r="K32">
        <v>2.7485639471497534E-16</v>
      </c>
      <c r="L32">
        <v>1.6903091667219697E-16</v>
      </c>
      <c r="M32">
        <v>1.472806778231077E-15</v>
      </c>
      <c r="N32" t="b">
        <v>1</v>
      </c>
    </row>
    <row r="33" spans="2:14" x14ac:dyDescent="0.2">
      <c r="B33">
        <v>20</v>
      </c>
      <c r="C33">
        <v>6113.7484134625238</v>
      </c>
      <c r="D33">
        <v>6113.7484134625438</v>
      </c>
      <c r="E33">
        <v>3.2727685350847331E-15</v>
      </c>
      <c r="F33">
        <v>5.4293936449396054E-15</v>
      </c>
      <c r="G33">
        <v>0</v>
      </c>
      <c r="H33">
        <v>4.0372989046213962E-15</v>
      </c>
      <c r="I33">
        <v>3.3091524506305587E-15</v>
      </c>
      <c r="J33">
        <v>0</v>
      </c>
      <c r="K33">
        <v>4.0372989046213962E-15</v>
      </c>
      <c r="L33">
        <v>1.6973992677734014E-16</v>
      </c>
      <c r="M33">
        <v>2.1630681201723758E-15</v>
      </c>
      <c r="N33" t="b">
        <v>1</v>
      </c>
    </row>
    <row r="34" spans="2:14" x14ac:dyDescent="0.2">
      <c r="B34">
        <v>21</v>
      </c>
      <c r="C34">
        <v>8089.8261142106576</v>
      </c>
      <c r="D34">
        <v>8089.8261142106358</v>
      </c>
      <c r="E34">
        <v>2.6981881358620685E-15</v>
      </c>
      <c r="F34">
        <v>1.4293053023449729E-15</v>
      </c>
      <c r="G34">
        <v>0</v>
      </c>
      <c r="H34">
        <v>3.6810591776069968E-15</v>
      </c>
      <c r="I34">
        <v>6.71851709894963E-15</v>
      </c>
      <c r="J34">
        <v>0</v>
      </c>
      <c r="K34">
        <v>3.6810591776069968E-15</v>
      </c>
      <c r="L34">
        <v>3.377774141155159E-16</v>
      </c>
      <c r="M34">
        <v>4.7616715679663517E-15</v>
      </c>
      <c r="N34" t="b">
        <v>1</v>
      </c>
    </row>
    <row r="35" spans="2:14" x14ac:dyDescent="0.2">
      <c r="B35">
        <v>22</v>
      </c>
      <c r="C35">
        <v>6269.7227065908601</v>
      </c>
      <c r="D35">
        <v>6269.7227065908583</v>
      </c>
      <c r="E35">
        <v>2.9012278352178132E-16</v>
      </c>
      <c r="F35">
        <v>1.593031935760612E-15</v>
      </c>
      <c r="G35">
        <v>0</v>
      </c>
      <c r="H35">
        <v>5.1276252526503972E-16</v>
      </c>
      <c r="I35">
        <v>1.4485792840926026E-15</v>
      </c>
      <c r="J35">
        <v>0</v>
      </c>
      <c r="K35">
        <v>5.1276252526503972E-16</v>
      </c>
      <c r="L35">
        <v>0</v>
      </c>
      <c r="M35">
        <v>9.5191544212868744E-16</v>
      </c>
      <c r="N35" t="b">
        <v>1</v>
      </c>
    </row>
    <row r="36" spans="2:14" x14ac:dyDescent="0.2">
      <c r="B36">
        <v>23</v>
      </c>
      <c r="C36">
        <v>8473.1923581288065</v>
      </c>
      <c r="D36">
        <v>8473.1923581287829</v>
      </c>
      <c r="E36">
        <v>2.7907854851672813E-15</v>
      </c>
      <c r="F36">
        <v>1.6709647330232824E-15</v>
      </c>
      <c r="G36">
        <v>0</v>
      </c>
      <c r="H36">
        <v>3.2616902066446443E-15</v>
      </c>
      <c r="I36">
        <v>4.6570570979549977E-15</v>
      </c>
      <c r="J36">
        <v>0</v>
      </c>
      <c r="K36">
        <v>3.2616902066446443E-15</v>
      </c>
      <c r="L36">
        <v>2.3623447760354541E-15</v>
      </c>
      <c r="M36">
        <v>2.3908694809810805E-15</v>
      </c>
      <c r="N36" t="b">
        <v>1</v>
      </c>
    </row>
    <row r="37" spans="2:14" x14ac:dyDescent="0.2">
      <c r="B37">
        <v>24</v>
      </c>
      <c r="C37">
        <v>6435.8902001114184</v>
      </c>
      <c r="D37">
        <v>6435.8902001114402</v>
      </c>
      <c r="E37">
        <v>3.3915856492039466E-15</v>
      </c>
      <c r="F37">
        <v>1.1523456496494337E-14</v>
      </c>
      <c r="G37">
        <v>0</v>
      </c>
      <c r="H37">
        <v>3.3257756049759265E-15</v>
      </c>
      <c r="I37">
        <v>4.6940924315551234E-15</v>
      </c>
      <c r="J37">
        <v>0</v>
      </c>
      <c r="K37">
        <v>3.3257756049759265E-15</v>
      </c>
      <c r="L37">
        <v>1.6962369697282714E-16</v>
      </c>
      <c r="M37">
        <v>2.2090945371424927E-15</v>
      </c>
      <c r="N37" t="b">
        <v>1</v>
      </c>
    </row>
    <row r="38" spans="2:14" x14ac:dyDescent="0.2">
      <c r="B38">
        <v>25</v>
      </c>
      <c r="C38">
        <v>8896.1466933405991</v>
      </c>
      <c r="D38">
        <v>8896.1466933405936</v>
      </c>
      <c r="E38">
        <v>6.1340807416344683E-16</v>
      </c>
      <c r="F38">
        <v>1.3503177722519307E-15</v>
      </c>
      <c r="G38">
        <v>0</v>
      </c>
      <c r="H38">
        <v>7.1667574572749918E-16</v>
      </c>
      <c r="I38">
        <v>2.6584341155570101E-15</v>
      </c>
      <c r="J38">
        <v>0</v>
      </c>
      <c r="K38">
        <v>7.1667574572749918E-16</v>
      </c>
      <c r="L38">
        <v>1.6858196225174982E-16</v>
      </c>
      <c r="M38">
        <v>3.3927659109198915E-15</v>
      </c>
      <c r="N38" t="b">
        <v>1</v>
      </c>
    </row>
    <row r="39" spans="2:14" x14ac:dyDescent="0.2">
      <c r="B39">
        <v>26</v>
      </c>
      <c r="C39">
        <v>6610.4605430121719</v>
      </c>
      <c r="D39">
        <v>6610.460543012161</v>
      </c>
      <c r="E39">
        <v>1.6510099939726788E-15</v>
      </c>
      <c r="F39">
        <v>6.7335463891747543E-15</v>
      </c>
      <c r="G39">
        <v>0</v>
      </c>
      <c r="H39">
        <v>1.455458803606221E-15</v>
      </c>
      <c r="I39">
        <v>4.2566705100078946E-15</v>
      </c>
      <c r="J39">
        <v>0</v>
      </c>
      <c r="K39">
        <v>1.455458803606221E-15</v>
      </c>
      <c r="L39">
        <v>0</v>
      </c>
      <c r="M39">
        <v>1.0668899183128749E-15</v>
      </c>
      <c r="N39" t="b">
        <v>1</v>
      </c>
    </row>
    <row r="40" spans="2:14" x14ac:dyDescent="0.2">
      <c r="B40">
        <v>27</v>
      </c>
      <c r="C40">
        <v>9359.9013787173844</v>
      </c>
      <c r="D40">
        <v>9359.9013787173662</v>
      </c>
      <c r="E40">
        <v>1.9433852237822633E-15</v>
      </c>
      <c r="F40">
        <v>1.2277251850067124E-15</v>
      </c>
      <c r="G40">
        <v>0</v>
      </c>
      <c r="H40">
        <v>2.4974461293124808E-15</v>
      </c>
      <c r="I40">
        <v>1.683421163099773E-15</v>
      </c>
      <c r="J40">
        <v>0</v>
      </c>
      <c r="K40">
        <v>2.4974461293124808E-15</v>
      </c>
      <c r="L40">
        <v>0</v>
      </c>
      <c r="M40">
        <v>2.6093052203160562E-15</v>
      </c>
      <c r="N40" t="b">
        <v>1</v>
      </c>
    </row>
    <row r="41" spans="2:14" x14ac:dyDescent="0.2">
      <c r="B41">
        <v>28</v>
      </c>
      <c r="C41">
        <v>6794.2268818878492</v>
      </c>
      <c r="D41">
        <v>6794.2268818878374</v>
      </c>
      <c r="E41">
        <v>1.7402172945632955E-15</v>
      </c>
      <c r="F41">
        <v>2.7954590184595503E-15</v>
      </c>
      <c r="G41">
        <v>0</v>
      </c>
      <c r="H41">
        <v>2.3578986584537997E-15</v>
      </c>
      <c r="I41">
        <v>5.4618956471612295E-15</v>
      </c>
      <c r="J41">
        <v>0</v>
      </c>
      <c r="K41">
        <v>2.3578986584537997E-15</v>
      </c>
      <c r="L41">
        <v>2.3731260033558059E-15</v>
      </c>
      <c r="M41">
        <v>1.544787780407537E-15</v>
      </c>
      <c r="N41" t="b">
        <v>1</v>
      </c>
    </row>
    <row r="42" spans="2:14" x14ac:dyDescent="0.2">
      <c r="B42">
        <v>29</v>
      </c>
      <c r="C42">
        <v>9862.6003623265078</v>
      </c>
      <c r="D42">
        <v>9862.6003623264824</v>
      </c>
      <c r="E42">
        <v>2.5820626116939071E-15</v>
      </c>
      <c r="F42">
        <v>4.3306033568532693E-15</v>
      </c>
      <c r="G42">
        <v>0</v>
      </c>
      <c r="H42">
        <v>2.5860995690066108E-15</v>
      </c>
      <c r="I42">
        <v>2.3960856430879978E-15</v>
      </c>
      <c r="J42">
        <v>0</v>
      </c>
      <c r="K42">
        <v>2.5860995690066108E-15</v>
      </c>
      <c r="L42">
        <v>3.364891560705568E-16</v>
      </c>
      <c r="M42">
        <v>2.68257082009164E-15</v>
      </c>
      <c r="N42" t="b">
        <v>1</v>
      </c>
    </row>
    <row r="43" spans="2:14" x14ac:dyDescent="0.2">
      <c r="B43">
        <v>30</v>
      </c>
      <c r="C43">
        <v>6990.9414350783691</v>
      </c>
      <c r="D43">
        <v>6990.9414350783718</v>
      </c>
      <c r="E43">
        <v>3.9028850844438478E-16</v>
      </c>
      <c r="F43">
        <v>6.0321036803431494E-15</v>
      </c>
      <c r="G43">
        <v>0</v>
      </c>
      <c r="H43">
        <v>1.5262841072638265E-16</v>
      </c>
      <c r="I43">
        <v>1.4325818272548213E-16</v>
      </c>
      <c r="J43">
        <v>0</v>
      </c>
      <c r="K43">
        <v>1.5262841072638265E-16</v>
      </c>
      <c r="L43">
        <v>0</v>
      </c>
      <c r="M43">
        <v>1.6560492011485795E-16</v>
      </c>
      <c r="N43" t="b">
        <v>1</v>
      </c>
    </row>
    <row r="44" spans="2:14" x14ac:dyDescent="0.2">
      <c r="B44">
        <v>31</v>
      </c>
      <c r="C44">
        <v>10404.851172643612</v>
      </c>
      <c r="D44">
        <v>10404.85117264361</v>
      </c>
      <c r="E44">
        <v>1.7482128032050432E-16</v>
      </c>
      <c r="F44">
        <v>2.0383237548142486E-15</v>
      </c>
      <c r="G44">
        <v>0</v>
      </c>
      <c r="H44">
        <v>8.1740987748659087E-16</v>
      </c>
      <c r="I44">
        <v>3.7872265241206943E-15</v>
      </c>
      <c r="J44">
        <v>0</v>
      </c>
      <c r="K44">
        <v>8.1740987748659087E-16</v>
      </c>
      <c r="L44">
        <v>3.3613556150396384E-16</v>
      </c>
      <c r="M44">
        <v>3.5779476429000934E-15</v>
      </c>
      <c r="N44" t="b">
        <v>1</v>
      </c>
    </row>
    <row r="45" spans="2:14" x14ac:dyDescent="0.2">
      <c r="B45">
        <v>32</v>
      </c>
      <c r="C45">
        <v>7202.4342873611213</v>
      </c>
      <c r="D45">
        <v>7202.4342873611076</v>
      </c>
      <c r="E45">
        <v>1.8941402284688328E-15</v>
      </c>
      <c r="F45">
        <v>9.3079465575879094E-16</v>
      </c>
      <c r="G45">
        <v>0</v>
      </c>
      <c r="H45">
        <v>2.072281979880702E-15</v>
      </c>
      <c r="I45">
        <v>4.584676780139002E-15</v>
      </c>
      <c r="J45">
        <v>0</v>
      </c>
      <c r="K45">
        <v>2.072281979880702E-15</v>
      </c>
      <c r="L45">
        <v>2.3713919624985675E-15</v>
      </c>
      <c r="M45">
        <v>1.9153743472130552E-15</v>
      </c>
      <c r="N45" t="b">
        <v>1</v>
      </c>
    </row>
    <row r="46" spans="2:14" x14ac:dyDescent="0.2">
      <c r="B46">
        <v>33</v>
      </c>
      <c r="C46">
        <v>10987.645959616699</v>
      </c>
      <c r="D46">
        <v>10987.64595961667</v>
      </c>
      <c r="E46">
        <v>2.6487775965570936E-15</v>
      </c>
      <c r="F46">
        <v>1.1634398156689354E-16</v>
      </c>
      <c r="G46">
        <v>0</v>
      </c>
      <c r="H46">
        <v>3.0981372312874245E-15</v>
      </c>
      <c r="I46">
        <v>2.8714003323219249E-15</v>
      </c>
      <c r="J46">
        <v>0</v>
      </c>
      <c r="K46">
        <v>3.0981372312874245E-15</v>
      </c>
      <c r="L46">
        <v>5.2043447730722571E-15</v>
      </c>
      <c r="M46">
        <v>3.9590941063518065E-15</v>
      </c>
      <c r="N46" t="b">
        <v>1</v>
      </c>
    </row>
    <row r="47" spans="2:14" x14ac:dyDescent="0.2">
      <c r="B47">
        <v>34</v>
      </c>
      <c r="C47">
        <v>7432.5212221173997</v>
      </c>
      <c r="D47">
        <v>7432.5212221173961</v>
      </c>
      <c r="E47">
        <v>4.8946766492451614E-16</v>
      </c>
      <c r="F47">
        <v>1.1082049798449313E-15</v>
      </c>
      <c r="G47">
        <v>0</v>
      </c>
      <c r="H47">
        <v>2.8664919941456274E-16</v>
      </c>
      <c r="I47">
        <v>1.3460400137224847E-16</v>
      </c>
      <c r="J47">
        <v>0</v>
      </c>
      <c r="K47">
        <v>2.8664919941456274E-16</v>
      </c>
      <c r="L47">
        <v>1.6931767603149641E-16</v>
      </c>
      <c r="M47">
        <v>3.072437350758157E-16</v>
      </c>
      <c r="N47" t="b">
        <v>1</v>
      </c>
    </row>
    <row r="48" spans="2:14" x14ac:dyDescent="0.2">
      <c r="B48">
        <v>35</v>
      </c>
      <c r="C48">
        <v>11615.737146902355</v>
      </c>
      <c r="D48">
        <v>11615.7371469023</v>
      </c>
      <c r="E48">
        <v>4.6979095184612029E-15</v>
      </c>
      <c r="F48">
        <v>5.1071848267170199E-15</v>
      </c>
      <c r="G48">
        <v>0</v>
      </c>
      <c r="H48">
        <v>4.0328144536888115E-15</v>
      </c>
      <c r="I48">
        <v>4.7582979622879163E-15</v>
      </c>
      <c r="J48">
        <v>0</v>
      </c>
      <c r="K48">
        <v>4.0328144536888115E-15</v>
      </c>
      <c r="L48">
        <v>1.0899240708857306E-14</v>
      </c>
      <c r="M48">
        <v>4.279031415892078E-15</v>
      </c>
      <c r="N48" t="b">
        <v>1</v>
      </c>
    </row>
    <row r="49" spans="2:14" x14ac:dyDescent="0.2">
      <c r="B49">
        <v>36</v>
      </c>
      <c r="C49">
        <v>7680.2480413161302</v>
      </c>
      <c r="D49">
        <v>7680.2480413161156</v>
      </c>
      <c r="E49">
        <v>1.8947194348521563E-15</v>
      </c>
      <c r="F49">
        <v>4.6717157350667125E-15</v>
      </c>
      <c r="G49">
        <v>0</v>
      </c>
      <c r="H49">
        <v>2.495245803255399E-15</v>
      </c>
      <c r="I49">
        <v>9.1177076775056479E-16</v>
      </c>
      <c r="J49">
        <v>0</v>
      </c>
      <c r="K49">
        <v>2.495245803255399E-15</v>
      </c>
      <c r="L49">
        <v>2.8771350784709763E-15</v>
      </c>
      <c r="M49">
        <v>4.1322051093366455E-15</v>
      </c>
      <c r="N49" t="b">
        <v>1</v>
      </c>
    </row>
    <row r="50" spans="2:14" x14ac:dyDescent="0.2">
      <c r="B50">
        <v>37</v>
      </c>
      <c r="C50">
        <v>12296.217125505633</v>
      </c>
      <c r="D50">
        <v>12296.217125505589</v>
      </c>
      <c r="E50">
        <v>3.5503395263366855E-15</v>
      </c>
      <c r="F50">
        <v>4.6758084726053268E-15</v>
      </c>
      <c r="G50">
        <v>0</v>
      </c>
      <c r="H50">
        <v>3.986413956183973E-15</v>
      </c>
      <c r="I50">
        <v>3.8580176761325707E-15</v>
      </c>
      <c r="J50">
        <v>0</v>
      </c>
      <c r="K50">
        <v>3.986413956183973E-15</v>
      </c>
      <c r="L50">
        <v>5.6935543607186732E-15</v>
      </c>
      <c r="M50">
        <v>4.3679724000845811E-15</v>
      </c>
      <c r="N50" t="b">
        <v>1</v>
      </c>
    </row>
    <row r="51" spans="2:14" x14ac:dyDescent="0.2">
      <c r="B51">
        <v>38</v>
      </c>
      <c r="C51">
        <v>7945.7782601325216</v>
      </c>
      <c r="D51">
        <v>7945.7782601325298</v>
      </c>
      <c r="E51">
        <v>1.0301636980012863E-15</v>
      </c>
      <c r="F51">
        <v>5.0602903473105089E-15</v>
      </c>
      <c r="G51">
        <v>0</v>
      </c>
      <c r="H51">
        <v>8.0370527012441269E-16</v>
      </c>
      <c r="I51">
        <v>1.2586360720879807E-16</v>
      </c>
      <c r="J51">
        <v>0</v>
      </c>
      <c r="K51">
        <v>8.0370527012441269E-16</v>
      </c>
      <c r="L51">
        <v>3.3831373332200636E-16</v>
      </c>
      <c r="M51">
        <v>1.981940460537783E-15</v>
      </c>
      <c r="N51" t="b">
        <v>1</v>
      </c>
    </row>
    <row r="52" spans="2:14" x14ac:dyDescent="0.2">
      <c r="B52">
        <v>39</v>
      </c>
      <c r="C52">
        <v>13037.715556967851</v>
      </c>
      <c r="D52">
        <v>13037.715556967811</v>
      </c>
      <c r="E52">
        <v>3.069384870620371E-15</v>
      </c>
      <c r="F52">
        <v>0</v>
      </c>
      <c r="G52">
        <v>0</v>
      </c>
      <c r="H52">
        <v>4.7453683633756963E-15</v>
      </c>
      <c r="I52">
        <v>4.858467133594051E-15</v>
      </c>
      <c r="J52">
        <v>0</v>
      </c>
      <c r="K52">
        <v>4.7453683633756963E-15</v>
      </c>
      <c r="L52">
        <v>0</v>
      </c>
      <c r="M52">
        <v>4.5891650630888682E-15</v>
      </c>
      <c r="N52" t="b">
        <v>1</v>
      </c>
    </row>
    <row r="53" spans="2:14" x14ac:dyDescent="0.2">
      <c r="B53">
        <v>40</v>
      </c>
      <c r="C53">
        <v>8230.2212192765237</v>
      </c>
      <c r="D53">
        <v>8230.2212192765201</v>
      </c>
      <c r="E53">
        <v>4.4202685567806774E-16</v>
      </c>
      <c r="F53">
        <v>9.3682034497560089E-15</v>
      </c>
      <c r="G53">
        <v>0</v>
      </c>
      <c r="H53">
        <v>1.8102942459996174E-15</v>
      </c>
      <c r="I53">
        <v>3.4001826026044261E-15</v>
      </c>
      <c r="J53">
        <v>0</v>
      </c>
      <c r="K53">
        <v>1.8102942459996174E-15</v>
      </c>
      <c r="L53">
        <v>2.8739364213074925E-15</v>
      </c>
      <c r="M53">
        <v>2.4420065009184359E-15</v>
      </c>
      <c r="N53" t="b">
        <v>1</v>
      </c>
    </row>
    <row r="54" spans="2:14" x14ac:dyDescent="0.2">
      <c r="B54">
        <v>41</v>
      </c>
      <c r="C54">
        <v>13840.658684691478</v>
      </c>
      <c r="D54">
        <v>13840.65868469144</v>
      </c>
      <c r="E54">
        <v>2.759895922924031E-15</v>
      </c>
      <c r="F54">
        <v>2.6157141583209459E-15</v>
      </c>
      <c r="G54">
        <v>0</v>
      </c>
      <c r="H54">
        <v>3.8583058549425766E-15</v>
      </c>
      <c r="I54">
        <v>0</v>
      </c>
      <c r="J54">
        <v>0</v>
      </c>
      <c r="K54">
        <v>3.8583058549425766E-15</v>
      </c>
      <c r="L54">
        <v>3.3383748459135765E-16</v>
      </c>
      <c r="M54">
        <v>4.4539757002426337E-15</v>
      </c>
      <c r="N54" t="b">
        <v>1</v>
      </c>
    </row>
    <row r="55" spans="2:14" x14ac:dyDescent="0.2">
      <c r="B55">
        <v>42</v>
      </c>
      <c r="C55">
        <v>8530.6214999907243</v>
      </c>
      <c r="D55">
        <v>8530.6214999906861</v>
      </c>
      <c r="E55">
        <v>4.4778422620795791E-15</v>
      </c>
      <c r="F55">
        <v>1.8077764697899628E-16</v>
      </c>
      <c r="G55">
        <v>0</v>
      </c>
      <c r="H55">
        <v>5.2406301442782886E-15</v>
      </c>
      <c r="I55">
        <v>1.0409440454102356E-14</v>
      </c>
      <c r="J55">
        <v>0</v>
      </c>
      <c r="K55">
        <v>5.2406301442782886E-15</v>
      </c>
      <c r="L55">
        <v>2.5340332508674639E-15</v>
      </c>
      <c r="M55">
        <v>5.1963329006523123E-15</v>
      </c>
      <c r="N55" t="b">
        <v>1</v>
      </c>
    </row>
    <row r="56" spans="2:14" x14ac:dyDescent="0.2">
      <c r="B56">
        <v>43</v>
      </c>
      <c r="C56">
        <v>14707.248622479048</v>
      </c>
      <c r="D56">
        <v>14707.248622478999</v>
      </c>
      <c r="E56">
        <v>3.3393542977625863E-15</v>
      </c>
      <c r="F56">
        <v>3.5989167930845876E-15</v>
      </c>
      <c r="G56">
        <v>0</v>
      </c>
      <c r="H56">
        <v>3.3448469740786642E-15</v>
      </c>
      <c r="I56">
        <v>1.0788441690332206E-15</v>
      </c>
      <c r="J56">
        <v>0</v>
      </c>
      <c r="K56">
        <v>3.3448469740786642E-15</v>
      </c>
      <c r="L56">
        <v>3.3320247474137222E-16</v>
      </c>
      <c r="M56">
        <v>3.5967422176982598E-15</v>
      </c>
      <c r="N56" t="b">
        <v>1</v>
      </c>
    </row>
    <row r="57" spans="2:14" x14ac:dyDescent="0.2">
      <c r="B57">
        <v>44</v>
      </c>
      <c r="C57">
        <v>8852.45358844574</v>
      </c>
      <c r="D57">
        <v>8852.4535884456764</v>
      </c>
      <c r="E57">
        <v>7.191749551469073E-15</v>
      </c>
      <c r="F57">
        <v>3.8592313796699382E-15</v>
      </c>
      <c r="G57">
        <v>0</v>
      </c>
      <c r="H57">
        <v>7.9372206769167173E-15</v>
      </c>
      <c r="I57">
        <v>7.1988064546187496E-15</v>
      </c>
      <c r="J57">
        <v>0</v>
      </c>
      <c r="K57">
        <v>7.9372206769167173E-15</v>
      </c>
      <c r="L57">
        <v>5.0639560614620964E-15</v>
      </c>
      <c r="M57">
        <v>6.4694690019007319E-15</v>
      </c>
      <c r="N57" t="b">
        <v>1</v>
      </c>
    </row>
    <row r="58" spans="2:14" x14ac:dyDescent="0.2">
      <c r="B58">
        <v>45</v>
      </c>
      <c r="C58">
        <v>15643.406014032806</v>
      </c>
      <c r="D58">
        <v>15643.406014032689</v>
      </c>
      <c r="E58">
        <v>7.4418142521204243E-15</v>
      </c>
      <c r="F58">
        <v>4.4065402171810473E-15</v>
      </c>
      <c r="G58">
        <v>0</v>
      </c>
      <c r="H58">
        <v>7.6665797082615676E-15</v>
      </c>
      <c r="I58">
        <v>6.0900652804224934E-15</v>
      </c>
      <c r="J58">
        <v>0</v>
      </c>
      <c r="K58">
        <v>7.6665797082615676E-15</v>
      </c>
      <c r="L58">
        <v>1.0972648397989986E-14</v>
      </c>
      <c r="M58">
        <v>5.5239320383680277E-15</v>
      </c>
      <c r="N58" t="b">
        <v>1</v>
      </c>
    </row>
    <row r="59" spans="2:14" x14ac:dyDescent="0.2">
      <c r="B59">
        <v>46</v>
      </c>
      <c r="C59">
        <v>9202.5626281408804</v>
      </c>
      <c r="D59">
        <v>9202.5626281408568</v>
      </c>
      <c r="E59">
        <v>2.5695953618164487E-15</v>
      </c>
      <c r="F59">
        <v>1.246444596921078E-15</v>
      </c>
      <c r="G59">
        <v>0</v>
      </c>
      <c r="H59">
        <v>3.4711930595808638E-15</v>
      </c>
      <c r="I59">
        <v>6.6928741867155613E-15</v>
      </c>
      <c r="J59">
        <v>0</v>
      </c>
      <c r="K59">
        <v>3.4711930595808638E-15</v>
      </c>
      <c r="L59">
        <v>1.6864310325554011E-16</v>
      </c>
      <c r="M59">
        <v>3.4525116593055589E-15</v>
      </c>
      <c r="N59" t="b">
        <v>1</v>
      </c>
    </row>
    <row r="60" spans="2:14" x14ac:dyDescent="0.2">
      <c r="B60">
        <v>47</v>
      </c>
      <c r="C60">
        <v>16657.839773294672</v>
      </c>
      <c r="D60">
        <v>16657.839773294651</v>
      </c>
      <c r="E60">
        <v>1.3103663584004493E-15</v>
      </c>
      <c r="F60">
        <v>4.0498111181062921E-15</v>
      </c>
      <c r="G60">
        <v>0</v>
      </c>
      <c r="H60">
        <v>2.7033329607614673E-15</v>
      </c>
      <c r="I60">
        <v>1.9075877115548791E-15</v>
      </c>
      <c r="J60">
        <v>0</v>
      </c>
      <c r="K60">
        <v>2.7033329607614673E-15</v>
      </c>
      <c r="L60">
        <v>3.3174047319182501E-16</v>
      </c>
      <c r="M60">
        <v>3.6572106798510149E-15</v>
      </c>
      <c r="N60" t="b">
        <v>1</v>
      </c>
    </row>
    <row r="61" spans="2:14" x14ac:dyDescent="0.2">
      <c r="B61">
        <v>48</v>
      </c>
      <c r="C61">
        <v>9586.6275402964911</v>
      </c>
      <c r="D61">
        <v>9586.6275402964875</v>
      </c>
      <c r="E61">
        <v>3.79484734522105E-16</v>
      </c>
      <c r="F61">
        <v>4.7715272911000809E-15</v>
      </c>
      <c r="G61">
        <v>0</v>
      </c>
      <c r="H61">
        <v>1.7775438877708891E-15</v>
      </c>
      <c r="I61">
        <v>4.1338115280949243E-15</v>
      </c>
      <c r="J61">
        <v>0</v>
      </c>
      <c r="K61">
        <v>1.7775438877708891E-15</v>
      </c>
      <c r="L61">
        <v>5.7279314124846568E-15</v>
      </c>
      <c r="M61">
        <v>2.5025917650076373E-15</v>
      </c>
      <c r="N61" t="b">
        <v>1</v>
      </c>
    </row>
    <row r="62" spans="2:14" x14ac:dyDescent="0.2">
      <c r="B62">
        <v>49</v>
      </c>
      <c r="C62">
        <v>17763.432545047053</v>
      </c>
      <c r="D62">
        <v>17763.432545046981</v>
      </c>
      <c r="E62">
        <v>4.0960313248760007E-15</v>
      </c>
      <c r="F62">
        <v>4.6544186179523867E-15</v>
      </c>
      <c r="G62">
        <v>0</v>
      </c>
      <c r="H62">
        <v>3.746735657944502E-15</v>
      </c>
      <c r="I62">
        <v>6.2654309458458809E-15</v>
      </c>
      <c r="J62">
        <v>0</v>
      </c>
      <c r="K62">
        <v>3.746735657944502E-15</v>
      </c>
      <c r="L62">
        <v>1.6545248493644451E-16</v>
      </c>
      <c r="M62">
        <v>3.8926016741920517E-15</v>
      </c>
      <c r="N62" t="b">
        <v>1</v>
      </c>
    </row>
    <row r="63" spans="2:14" x14ac:dyDescent="0.2">
      <c r="B63">
        <v>50</v>
      </c>
      <c r="C63">
        <v>10017.6830870622</v>
      </c>
      <c r="D63">
        <v>10017.68308706216</v>
      </c>
      <c r="E63">
        <v>3.9947128023736147E-15</v>
      </c>
      <c r="F63">
        <v>2.2782833977886811E-15</v>
      </c>
      <c r="G63">
        <v>0</v>
      </c>
      <c r="H63">
        <v>4.678473772429644E-15</v>
      </c>
      <c r="I63">
        <v>7.8925568865088491E-15</v>
      </c>
      <c r="J63">
        <v>0</v>
      </c>
      <c r="K63">
        <v>4.678473772429644E-15</v>
      </c>
      <c r="L63">
        <v>5.3847264678310578E-15</v>
      </c>
      <c r="M63">
        <v>5.2070206224868917E-15</v>
      </c>
      <c r="N63" t="b">
        <v>1</v>
      </c>
    </row>
    <row r="64" spans="2:14" x14ac:dyDescent="0.2">
      <c r="B64">
        <v>51</v>
      </c>
      <c r="C64">
        <v>18970.763130586911</v>
      </c>
      <c r="D64">
        <v>18970.76313058686</v>
      </c>
      <c r="E64">
        <v>2.6847472054071455E-15</v>
      </c>
      <c r="F64">
        <v>1.7119437751870376E-15</v>
      </c>
      <c r="G64">
        <v>0</v>
      </c>
      <c r="H64">
        <v>3.1723669648318993E-15</v>
      </c>
      <c r="I64">
        <v>8.3884701117250503E-16</v>
      </c>
      <c r="J64">
        <v>0</v>
      </c>
      <c r="K64">
        <v>3.1723669648318993E-15</v>
      </c>
      <c r="L64">
        <v>1.650004020886875E-16</v>
      </c>
      <c r="M64">
        <v>2.8658120525435186E-15</v>
      </c>
      <c r="N64" t="b">
        <v>1</v>
      </c>
    </row>
    <row r="65" spans="2:14" x14ac:dyDescent="0.2">
      <c r="B65">
        <v>52</v>
      </c>
      <c r="C65">
        <v>10506.937747545266</v>
      </c>
      <c r="D65">
        <v>10506.937747545249</v>
      </c>
      <c r="E65">
        <v>1.5581042759806458E-15</v>
      </c>
      <c r="F65">
        <v>1.2390647585145844E-16</v>
      </c>
      <c r="G65">
        <v>0</v>
      </c>
      <c r="H65">
        <v>2.0276702790366403E-15</v>
      </c>
      <c r="I65">
        <v>7.5112567199045692E-16</v>
      </c>
      <c r="J65">
        <v>0</v>
      </c>
      <c r="K65">
        <v>2.0276702790366403E-15</v>
      </c>
      <c r="L65">
        <v>3.3611428850724321E-16</v>
      </c>
      <c r="M65">
        <v>2.4753990712089338E-15</v>
      </c>
      <c r="N65" t="b">
        <v>1</v>
      </c>
    </row>
    <row r="66" spans="2:14" x14ac:dyDescent="0.2">
      <c r="B66">
        <v>53</v>
      </c>
      <c r="C66">
        <v>20288.348885643911</v>
      </c>
      <c r="D66">
        <v>20288.348885643831</v>
      </c>
      <c r="E66">
        <v>3.9449012932073227E-15</v>
      </c>
      <c r="F66">
        <v>3.1484328453172148E-15</v>
      </c>
      <c r="G66">
        <v>0</v>
      </c>
      <c r="H66">
        <v>4.4543447027752652E-15</v>
      </c>
      <c r="I66">
        <v>2.3559021354728794E-15</v>
      </c>
      <c r="J66">
        <v>0</v>
      </c>
      <c r="K66">
        <v>4.4543447027752652E-15</v>
      </c>
      <c r="L66">
        <v>1.6451755984392222E-16</v>
      </c>
      <c r="M66">
        <v>3.9097895691759205E-15</v>
      </c>
      <c r="N66" t="b">
        <v>1</v>
      </c>
    </row>
    <row r="67" spans="2:14" x14ac:dyDescent="0.2">
      <c r="B67">
        <v>54</v>
      </c>
      <c r="C67">
        <v>11061.578719505649</v>
      </c>
      <c r="D67">
        <v>11061.578719505609</v>
      </c>
      <c r="E67">
        <v>3.6177265373018483E-15</v>
      </c>
      <c r="F67">
        <v>6.3931750547531311E-15</v>
      </c>
      <c r="G67">
        <v>0</v>
      </c>
      <c r="H67">
        <v>3.8526931197030145E-15</v>
      </c>
      <c r="I67">
        <v>5.6997527626599663E-15</v>
      </c>
      <c r="J67">
        <v>0</v>
      </c>
      <c r="K67">
        <v>3.8526931197030145E-15</v>
      </c>
      <c r="L67">
        <v>3.3564193310168429E-16</v>
      </c>
      <c r="M67">
        <v>4.4937219287263308E-15</v>
      </c>
      <c r="N67" t="b">
        <v>1</v>
      </c>
    </row>
    <row r="68" spans="2:14" x14ac:dyDescent="0.2">
      <c r="B68">
        <v>55</v>
      </c>
      <c r="C68">
        <v>21723.200075471148</v>
      </c>
      <c r="D68">
        <v>21723.200075471079</v>
      </c>
      <c r="E68">
        <v>3.1819251811242922E-15</v>
      </c>
      <c r="F68">
        <v>4.8851191473976861E-15</v>
      </c>
      <c r="G68">
        <v>0</v>
      </c>
      <c r="H68">
        <v>4.5613663625771408E-15</v>
      </c>
      <c r="I68">
        <v>2.9378123577440308E-15</v>
      </c>
      <c r="J68">
        <v>0</v>
      </c>
      <c r="K68">
        <v>4.5613663625771408E-15</v>
      </c>
      <c r="L68">
        <v>1.066025123730641E-14</v>
      </c>
      <c r="M68">
        <v>3.2618606358284215E-15</v>
      </c>
      <c r="N68" t="b">
        <v>1</v>
      </c>
    </row>
    <row r="69" spans="2:14" x14ac:dyDescent="0.2">
      <c r="B69">
        <v>56</v>
      </c>
      <c r="C69">
        <v>11687.500018794459</v>
      </c>
      <c r="D69">
        <v>11687.500018794421</v>
      </c>
      <c r="E69">
        <v>3.2683445914897407E-15</v>
      </c>
      <c r="F69">
        <v>0</v>
      </c>
      <c r="G69">
        <v>0</v>
      </c>
      <c r="H69">
        <v>4.3773235426674023E-15</v>
      </c>
      <c r="I69">
        <v>5.5566983423944658E-15</v>
      </c>
      <c r="J69">
        <v>0</v>
      </c>
      <c r="K69">
        <v>4.3773235426674023E-15</v>
      </c>
      <c r="L69">
        <v>1.6755997721975675E-16</v>
      </c>
      <c r="M69">
        <v>5.5299132575605504E-15</v>
      </c>
      <c r="N69" t="b">
        <v>1</v>
      </c>
    </row>
    <row r="70" spans="2:14" x14ac:dyDescent="0.2">
      <c r="B70">
        <v>57</v>
      </c>
      <c r="C70">
        <v>23296.63176045919</v>
      </c>
      <c r="D70">
        <v>23296.631760459179</v>
      </c>
      <c r="E70">
        <v>4.6847701133341969E-16</v>
      </c>
      <c r="F70">
        <v>1.330931068970537E-15</v>
      </c>
      <c r="G70">
        <v>0</v>
      </c>
      <c r="H70">
        <v>1.2956596668091475E-15</v>
      </c>
      <c r="I70">
        <v>5.6621635050160019E-15</v>
      </c>
      <c r="J70">
        <v>0</v>
      </c>
      <c r="K70">
        <v>1.2956596668091475E-15</v>
      </c>
      <c r="L70">
        <v>1.0624674463183144E-14</v>
      </c>
      <c r="M70">
        <v>1.7874463845586861E-15</v>
      </c>
      <c r="N70" t="b">
        <v>1</v>
      </c>
    </row>
    <row r="71" spans="2:14" x14ac:dyDescent="0.2">
      <c r="B71">
        <v>58</v>
      </c>
      <c r="C71">
        <v>12394.418722534163</v>
      </c>
      <c r="D71">
        <v>12394.418722534159</v>
      </c>
      <c r="E71">
        <v>2.9351750078263392E-16</v>
      </c>
      <c r="F71">
        <v>7.6807328512994156E-15</v>
      </c>
      <c r="G71">
        <v>0</v>
      </c>
      <c r="H71">
        <v>1.7207004983564135E-15</v>
      </c>
      <c r="I71">
        <v>6.3470933997379723E-16</v>
      </c>
      <c r="J71">
        <v>0</v>
      </c>
      <c r="K71">
        <v>1.7207004983564135E-15</v>
      </c>
      <c r="L71">
        <v>5.5199184717855238E-15</v>
      </c>
      <c r="M71">
        <v>4.6789860563527377E-15</v>
      </c>
      <c r="N71" t="b">
        <v>1</v>
      </c>
    </row>
    <row r="72" spans="2:14" x14ac:dyDescent="0.2">
      <c r="B72">
        <v>59</v>
      </c>
      <c r="C72">
        <v>25033.023812754152</v>
      </c>
      <c r="D72">
        <v>25033.023812754091</v>
      </c>
      <c r="E72">
        <v>2.470562093623278E-15</v>
      </c>
      <c r="F72">
        <v>1.6816098608853733E-15</v>
      </c>
      <c r="G72">
        <v>0</v>
      </c>
      <c r="H72">
        <v>4.1372917514916826E-15</v>
      </c>
      <c r="I72">
        <v>6.4073220804237569E-15</v>
      </c>
      <c r="J72">
        <v>0</v>
      </c>
      <c r="K72">
        <v>4.1372917514916826E-15</v>
      </c>
      <c r="L72">
        <v>2.0521990300980793E-14</v>
      </c>
      <c r="M72">
        <v>4.9878058315400569E-15</v>
      </c>
      <c r="N72" t="b">
        <v>1</v>
      </c>
    </row>
    <row r="73" spans="2:14" x14ac:dyDescent="0.2">
      <c r="B73">
        <v>60</v>
      </c>
      <c r="C73">
        <v>13197.589006671824</v>
      </c>
      <c r="D73">
        <v>13197.58900667176</v>
      </c>
      <c r="E73">
        <v>4.8239590649413827E-15</v>
      </c>
      <c r="F73">
        <v>2.8057266050807921E-15</v>
      </c>
      <c r="G73">
        <v>0</v>
      </c>
      <c r="H73">
        <v>5.335600216276213E-15</v>
      </c>
      <c r="I73">
        <v>7.3028019933327858E-15</v>
      </c>
      <c r="J73">
        <v>0</v>
      </c>
      <c r="K73">
        <v>5.335600216276213E-15</v>
      </c>
      <c r="L73">
        <v>0</v>
      </c>
      <c r="M73">
        <v>4.2203980802223255E-15</v>
      </c>
      <c r="N73" t="b">
        <v>1</v>
      </c>
    </row>
    <row r="74" spans="2:14" x14ac:dyDescent="0.2">
      <c r="B74">
        <v>61</v>
      </c>
      <c r="C74">
        <v>26944.494441131239</v>
      </c>
      <c r="D74">
        <v>26944.494441131141</v>
      </c>
      <c r="E74">
        <v>3.6454730299757929E-15</v>
      </c>
      <c r="F74">
        <v>8.4193985262554964E-16</v>
      </c>
      <c r="G74">
        <v>0</v>
      </c>
      <c r="H74">
        <v>4.6484150907752294E-15</v>
      </c>
      <c r="I74">
        <v>4.7809306605816966E-15</v>
      </c>
      <c r="J74">
        <v>0</v>
      </c>
      <c r="K74">
        <v>4.6484150907752294E-15</v>
      </c>
      <c r="L74">
        <v>0</v>
      </c>
      <c r="M74">
        <v>5.2480946915207712E-15</v>
      </c>
      <c r="N74" t="b">
        <v>1</v>
      </c>
    </row>
    <row r="75" spans="2:14" x14ac:dyDescent="0.2">
      <c r="B75">
        <v>62</v>
      </c>
      <c r="C75">
        <v>14108.326931372163</v>
      </c>
      <c r="D75">
        <v>14108.32693137213</v>
      </c>
      <c r="E75">
        <v>2.3207435880308916E-15</v>
      </c>
      <c r="F75">
        <v>6.3853796309735661E-15</v>
      </c>
      <c r="G75">
        <v>0</v>
      </c>
      <c r="H75">
        <v>4.5407012520095423E-15</v>
      </c>
      <c r="I75">
        <v>3.3479922206416159E-15</v>
      </c>
      <c r="J75">
        <v>0</v>
      </c>
      <c r="K75">
        <v>4.5407012520095423E-15</v>
      </c>
      <c r="L75">
        <v>3.3316142318083248E-16</v>
      </c>
      <c r="M75">
        <v>5.6028947845564572E-15</v>
      </c>
      <c r="N75" t="b">
        <v>1</v>
      </c>
    </row>
    <row r="76" spans="2:14" x14ac:dyDescent="0.2">
      <c r="B76">
        <v>63</v>
      </c>
      <c r="C76">
        <v>29033.276329481661</v>
      </c>
      <c r="D76">
        <v>29033.276329481621</v>
      </c>
      <c r="E76">
        <v>1.3783414046651396E-15</v>
      </c>
      <c r="F76">
        <v>1.287192107268985E-15</v>
      </c>
      <c r="G76">
        <v>0</v>
      </c>
      <c r="H76">
        <v>2.3824182745126387E-15</v>
      </c>
      <c r="I76">
        <v>2.2283280175705001E-15</v>
      </c>
      <c r="J76">
        <v>0</v>
      </c>
      <c r="K76">
        <v>2.3824182745126387E-15</v>
      </c>
      <c r="L76">
        <v>2.0682968600431629E-14</v>
      </c>
      <c r="M76">
        <v>2.8619057148085525E-15</v>
      </c>
      <c r="N76" t="b">
        <v>1</v>
      </c>
    </row>
    <row r="77" spans="2:14" x14ac:dyDescent="0.2">
      <c r="B77">
        <v>64</v>
      </c>
      <c r="C77">
        <v>15139.597076049735</v>
      </c>
      <c r="D77">
        <v>15139.5970760497</v>
      </c>
      <c r="E77">
        <v>2.2828083530733599E-15</v>
      </c>
      <c r="F77">
        <v>1.1592281980698156E-15</v>
      </c>
      <c r="G77">
        <v>0</v>
      </c>
      <c r="H77">
        <v>2.6823202412358947E-15</v>
      </c>
      <c r="I77">
        <v>7.2865929597652612E-15</v>
      </c>
      <c r="J77">
        <v>0</v>
      </c>
      <c r="K77">
        <v>2.6823202412358947E-15</v>
      </c>
      <c r="L77">
        <v>0</v>
      </c>
      <c r="M77">
        <v>4.5032127601980242E-15</v>
      </c>
      <c r="N77" t="b">
        <v>1</v>
      </c>
    </row>
    <row r="78" spans="2:14" x14ac:dyDescent="0.2">
      <c r="B78">
        <v>65</v>
      </c>
      <c r="C78">
        <v>31298.188239564694</v>
      </c>
      <c r="D78">
        <v>31298.188239564639</v>
      </c>
      <c r="E78">
        <v>1.7435412455406321E-15</v>
      </c>
      <c r="F78">
        <v>4.8417325884381061E-15</v>
      </c>
      <c r="G78">
        <v>0</v>
      </c>
      <c r="H78">
        <v>1.6592455495127105E-15</v>
      </c>
      <c r="I78">
        <v>2.4665191611284038E-15</v>
      </c>
      <c r="J78">
        <v>0</v>
      </c>
      <c r="K78">
        <v>1.6592455495127105E-15</v>
      </c>
      <c r="L78">
        <v>2.0914197781401248E-14</v>
      </c>
      <c r="M78">
        <v>2.9164979228416891E-15</v>
      </c>
      <c r="N78" t="b">
        <v>1</v>
      </c>
    </row>
    <row r="79" spans="2:14" x14ac:dyDescent="0.2">
      <c r="B79">
        <v>66</v>
      </c>
      <c r="C79">
        <v>16299.578917295798</v>
      </c>
      <c r="D79">
        <v>16299.578917295739</v>
      </c>
      <c r="E79">
        <v>3.5711143955812467E-15</v>
      </c>
      <c r="F79">
        <v>5.2489545502182181E-15</v>
      </c>
      <c r="G79">
        <v>0</v>
      </c>
      <c r="H79">
        <v>2.4943003105996738E-15</v>
      </c>
      <c r="I79">
        <v>6.7737912735876453E-15</v>
      </c>
      <c r="J79">
        <v>0</v>
      </c>
      <c r="K79">
        <v>2.4943003105996738E-15</v>
      </c>
      <c r="L79">
        <v>1.0769761190270571E-14</v>
      </c>
      <c r="M79">
        <v>4.9524661851785757E-15</v>
      </c>
      <c r="N79" t="b">
        <v>1</v>
      </c>
    </row>
    <row r="80" spans="2:14" x14ac:dyDescent="0.2">
      <c r="B80">
        <v>67</v>
      </c>
      <c r="C80">
        <v>33737.928947952285</v>
      </c>
      <c r="D80">
        <v>33737.928947952241</v>
      </c>
      <c r="E80">
        <v>1.2939663769061996E-15</v>
      </c>
      <c r="F80">
        <v>1.7342329456493006E-15</v>
      </c>
      <c r="G80">
        <v>0</v>
      </c>
      <c r="H80">
        <v>2.696927843244242E-15</v>
      </c>
      <c r="I80">
        <v>4.8403287196444996E-15</v>
      </c>
      <c r="J80">
        <v>0</v>
      </c>
      <c r="K80">
        <v>2.696927843244242E-15</v>
      </c>
      <c r="L80">
        <v>3.2022989075704062E-16</v>
      </c>
      <c r="M80">
        <v>3.9290815549720831E-15</v>
      </c>
      <c r="N80" t="b">
        <v>1</v>
      </c>
    </row>
    <row r="81" spans="2:14" x14ac:dyDescent="0.2">
      <c r="B81">
        <v>68</v>
      </c>
      <c r="C81">
        <v>17602.650658003062</v>
      </c>
      <c r="D81">
        <v>17602.650658002942</v>
      </c>
      <c r="E81">
        <v>6.820183105744077E-15</v>
      </c>
      <c r="F81">
        <v>2.8475464766486058E-15</v>
      </c>
      <c r="G81">
        <v>0</v>
      </c>
      <c r="H81">
        <v>7.4245917928050615E-15</v>
      </c>
      <c r="I81">
        <v>8.1824375308229327E-15</v>
      </c>
      <c r="J81">
        <v>0</v>
      </c>
      <c r="K81">
        <v>7.4245917928050615E-15</v>
      </c>
      <c r="L81">
        <v>1.040397495282843E-14</v>
      </c>
      <c r="M81">
        <v>6.6200417126174301E-15</v>
      </c>
      <c r="N81" t="b">
        <v>1</v>
      </c>
    </row>
    <row r="82" spans="2:14" x14ac:dyDescent="0.2">
      <c r="B82">
        <v>69</v>
      </c>
      <c r="C82">
        <v>36363.885977254045</v>
      </c>
      <c r="D82">
        <v>36363.8859772539</v>
      </c>
      <c r="E82">
        <v>4.0017492182956661E-15</v>
      </c>
      <c r="F82">
        <v>0</v>
      </c>
      <c r="G82">
        <v>0</v>
      </c>
      <c r="H82">
        <v>4.6521506141805545E-15</v>
      </c>
      <c r="I82">
        <v>8.3484530848559008E-15</v>
      </c>
      <c r="J82">
        <v>0</v>
      </c>
      <c r="K82">
        <v>4.6521506141805545E-15</v>
      </c>
      <c r="L82">
        <v>2.0228539059697782E-14</v>
      </c>
      <c r="M82">
        <v>5.0059122869102256E-15</v>
      </c>
      <c r="N82" t="b">
        <v>1</v>
      </c>
    </row>
    <row r="83" spans="2:14" x14ac:dyDescent="0.2">
      <c r="B83">
        <v>70</v>
      </c>
      <c r="C83">
        <v>19068.886456920478</v>
      </c>
      <c r="D83">
        <v>19068.88645692046</v>
      </c>
      <c r="E83">
        <v>9.539043654464211E-16</v>
      </c>
      <c r="F83">
        <v>1.714104713748448E-15</v>
      </c>
      <c r="G83">
        <v>0</v>
      </c>
      <c r="H83">
        <v>2.1375114178635415E-15</v>
      </c>
      <c r="I83">
        <v>2.4847980221248529E-15</v>
      </c>
      <c r="J83">
        <v>0</v>
      </c>
      <c r="K83">
        <v>2.1375114178635415E-15</v>
      </c>
      <c r="L83">
        <v>1.0528906257994092E-14</v>
      </c>
      <c r="M83">
        <v>3.9916792627404171E-15</v>
      </c>
      <c r="N83" t="b">
        <v>1</v>
      </c>
    </row>
    <row r="84" spans="2:14" x14ac:dyDescent="0.2">
      <c r="B84">
        <v>71</v>
      </c>
      <c r="C84">
        <v>39201.909978948948</v>
      </c>
      <c r="D84">
        <v>39201.909978948883</v>
      </c>
      <c r="E84">
        <v>1.6704190832236241E-15</v>
      </c>
      <c r="F84">
        <v>2.9314141819165968E-15</v>
      </c>
      <c r="G84">
        <v>0</v>
      </c>
      <c r="H84">
        <v>2.6579988062359147E-15</v>
      </c>
      <c r="I84">
        <v>3.366317851611649E-15</v>
      </c>
      <c r="J84">
        <v>0</v>
      </c>
      <c r="K84">
        <v>2.6579988062359147E-15</v>
      </c>
      <c r="L84">
        <v>1.9953746822857583E-14</v>
      </c>
      <c r="M84">
        <v>3.3751702972860794E-15</v>
      </c>
      <c r="N84" t="b">
        <v>1</v>
      </c>
    </row>
    <row r="85" spans="2:14" x14ac:dyDescent="0.2">
      <c r="B85">
        <v>72</v>
      </c>
      <c r="C85">
        <v>20727.217982847826</v>
      </c>
      <c r="D85">
        <v>20727.217982847789</v>
      </c>
      <c r="E85">
        <v>1.7551698496644447E-15</v>
      </c>
      <c r="F85">
        <v>4.6379261526221199E-15</v>
      </c>
      <c r="G85">
        <v>0</v>
      </c>
      <c r="H85">
        <v>3.1084476511114895E-15</v>
      </c>
      <c r="I85">
        <v>0</v>
      </c>
      <c r="J85">
        <v>0</v>
      </c>
      <c r="K85">
        <v>3.1084476511114895E-15</v>
      </c>
      <c r="L85">
        <v>1.0646823330582108E-14</v>
      </c>
      <c r="M85">
        <v>3.057048540485688E-15</v>
      </c>
      <c r="N85" t="b">
        <v>1</v>
      </c>
    </row>
    <row r="86" spans="2:14" x14ac:dyDescent="0.2">
      <c r="B86">
        <v>73</v>
      </c>
      <c r="C86">
        <v>42270.43789177281</v>
      </c>
      <c r="D86">
        <v>42270.437891772926</v>
      </c>
      <c r="E86">
        <v>2.7540599916423544E-15</v>
      </c>
      <c r="F86">
        <v>9.4456173001599056E-15</v>
      </c>
      <c r="G86">
        <v>0</v>
      </c>
      <c r="H86">
        <v>4.1113249435109552E-16</v>
      </c>
      <c r="I86">
        <v>1.5699214963117002E-15</v>
      </c>
      <c r="J86">
        <v>0</v>
      </c>
      <c r="K86">
        <v>4.1113249435109552E-16</v>
      </c>
      <c r="L86">
        <v>0</v>
      </c>
      <c r="M86">
        <v>2.7387559699530355E-15</v>
      </c>
      <c r="N86" t="b">
        <v>1</v>
      </c>
    </row>
    <row r="87" spans="2:14" x14ac:dyDescent="0.2">
      <c r="B87">
        <v>74</v>
      </c>
      <c r="C87">
        <v>22601.637687899085</v>
      </c>
      <c r="D87">
        <v>22601.63768789903</v>
      </c>
      <c r="E87">
        <v>2.4144127456565871E-15</v>
      </c>
      <c r="F87">
        <v>2.610566204709997E-15</v>
      </c>
      <c r="G87">
        <v>0</v>
      </c>
      <c r="H87">
        <v>4.5658219083258204E-15</v>
      </c>
      <c r="I87">
        <v>2.8015822860213272E-15</v>
      </c>
      <c r="J87">
        <v>0</v>
      </c>
      <c r="K87">
        <v>4.5658219083258204E-15</v>
      </c>
      <c r="L87">
        <v>1.0431324242263615E-14</v>
      </c>
      <c r="M87">
        <v>5.603778424940329E-15</v>
      </c>
      <c r="N87" t="b">
        <v>1</v>
      </c>
    </row>
    <row r="88" spans="2:14" x14ac:dyDescent="0.2">
      <c r="B88">
        <v>75</v>
      </c>
      <c r="C88">
        <v>45583.304266932668</v>
      </c>
      <c r="D88">
        <v>45583.304266932573</v>
      </c>
      <c r="E88">
        <v>2.0750459078281642E-15</v>
      </c>
      <c r="F88">
        <v>2.6418824147778988E-15</v>
      </c>
      <c r="G88">
        <v>0</v>
      </c>
      <c r="H88">
        <v>3.0517618539735458E-15</v>
      </c>
      <c r="I88">
        <v>1.8312007415471983E-16</v>
      </c>
      <c r="J88">
        <v>0</v>
      </c>
      <c r="K88">
        <v>3.0517618539735458E-15</v>
      </c>
      <c r="L88">
        <v>4.0169289166688186E-14</v>
      </c>
      <c r="M88">
        <v>2.1774870560094559E-15</v>
      </c>
      <c r="N88" t="b">
        <v>1</v>
      </c>
    </row>
    <row r="89" spans="2:14" x14ac:dyDescent="0.2">
      <c r="B89">
        <v>76</v>
      </c>
      <c r="C89">
        <v>24716.000472557047</v>
      </c>
      <c r="D89">
        <v>24716.000472556949</v>
      </c>
      <c r="E89">
        <v>3.9741635342878156E-15</v>
      </c>
      <c r="F89">
        <v>3.1313922158625032E-16</v>
      </c>
      <c r="G89">
        <v>0</v>
      </c>
      <c r="H89">
        <v>5.3980515439243739E-15</v>
      </c>
      <c r="I89">
        <v>2.5666736773204112E-15</v>
      </c>
      <c r="J89">
        <v>0</v>
      </c>
      <c r="K89">
        <v>5.3980515439243739E-15</v>
      </c>
      <c r="L89">
        <v>1.6209094691278941E-16</v>
      </c>
      <c r="M89">
        <v>5.1236736940451667E-15</v>
      </c>
      <c r="N89" t="b">
        <v>1</v>
      </c>
    </row>
    <row r="90" spans="2:14" x14ac:dyDescent="0.2">
      <c r="B90">
        <v>77</v>
      </c>
      <c r="C90">
        <v>49137.048700243569</v>
      </c>
      <c r="D90">
        <v>49137.048700243511</v>
      </c>
      <c r="E90">
        <v>1.1845982299132049E-15</v>
      </c>
      <c r="F90">
        <v>2.2934167961518962E-15</v>
      </c>
      <c r="G90">
        <v>0</v>
      </c>
      <c r="H90">
        <v>3.5404937343882737E-15</v>
      </c>
      <c r="I90">
        <v>1.5393767755644944E-15</v>
      </c>
      <c r="J90">
        <v>0</v>
      </c>
      <c r="K90">
        <v>3.5404937343882737E-15</v>
      </c>
      <c r="L90">
        <v>3.9569815134532128E-14</v>
      </c>
      <c r="M90">
        <v>3.0312927166715453E-15</v>
      </c>
      <c r="N90" t="b">
        <v>1</v>
      </c>
    </row>
    <row r="91" spans="2:14" x14ac:dyDescent="0.2">
      <c r="B91">
        <v>78</v>
      </c>
      <c r="C91">
        <v>27088.191896498414</v>
      </c>
      <c r="D91">
        <v>27088.19189649828</v>
      </c>
      <c r="E91">
        <v>4.9691473087871157E-15</v>
      </c>
      <c r="F91">
        <v>3.0968773330953849E-15</v>
      </c>
      <c r="G91">
        <v>0</v>
      </c>
      <c r="H91">
        <v>5.0885662258328151E-15</v>
      </c>
      <c r="I91">
        <v>2.6412271096356936E-15</v>
      </c>
      <c r="J91">
        <v>0</v>
      </c>
      <c r="K91">
        <v>5.0885662258328151E-15</v>
      </c>
      <c r="L91">
        <v>2.094408862628894E-14</v>
      </c>
      <c r="M91">
        <v>4.2076387540548658E-15</v>
      </c>
      <c r="N91" t="b">
        <v>1</v>
      </c>
    </row>
    <row r="92" spans="2:14" x14ac:dyDescent="0.2">
      <c r="B92">
        <v>79</v>
      </c>
      <c r="C92">
        <v>52933.654035028107</v>
      </c>
      <c r="D92">
        <v>52933.654035028012</v>
      </c>
      <c r="E92">
        <v>1.786905716385889E-15</v>
      </c>
      <c r="F92">
        <v>3.0454309096402925E-15</v>
      </c>
      <c r="G92">
        <v>0</v>
      </c>
      <c r="H92">
        <v>2.6300347094444544E-15</v>
      </c>
      <c r="I92">
        <v>3.8400551289910718E-15</v>
      </c>
      <c r="J92">
        <v>0</v>
      </c>
      <c r="K92">
        <v>2.6300347094444544E-15</v>
      </c>
      <c r="L92">
        <v>3.9427996063098103E-14</v>
      </c>
      <c r="M92">
        <v>3.7546112975139698E-15</v>
      </c>
      <c r="N92" t="b">
        <v>1</v>
      </c>
    </row>
    <row r="93" spans="2:14" x14ac:dyDescent="0.2">
      <c r="B93">
        <v>80</v>
      </c>
      <c r="C93">
        <v>29746.346906434726</v>
      </c>
      <c r="D93">
        <v>29746.346906434501</v>
      </c>
      <c r="E93">
        <v>7.5826012097941321E-15</v>
      </c>
      <c r="F93">
        <v>6.2008108630613535E-15</v>
      </c>
      <c r="G93">
        <v>0</v>
      </c>
      <c r="H93">
        <v>7.534897958146157E-15</v>
      </c>
      <c r="I93">
        <v>8.5825469168821933E-15</v>
      </c>
      <c r="J93">
        <v>0</v>
      </c>
      <c r="K93">
        <v>7.534897958146157E-15</v>
      </c>
      <c r="L93">
        <v>2.0485896549229228E-14</v>
      </c>
      <c r="M93">
        <v>6.8150163389957508E-15</v>
      </c>
      <c r="N93" t="b">
        <v>1</v>
      </c>
    </row>
    <row r="94" spans="2:14" x14ac:dyDescent="0.2">
      <c r="B94">
        <v>81</v>
      </c>
      <c r="C94">
        <v>56982.256684241765</v>
      </c>
      <c r="D94">
        <v>56982.25668424154</v>
      </c>
      <c r="E94">
        <v>3.9583319293506225E-15</v>
      </c>
      <c r="F94">
        <v>2.8177711660248579E-15</v>
      </c>
      <c r="G94">
        <v>0</v>
      </c>
      <c r="H94">
        <v>3.665111990026963E-15</v>
      </c>
      <c r="I94">
        <v>4.7989111729613084E-15</v>
      </c>
      <c r="J94">
        <v>0</v>
      </c>
      <c r="K94">
        <v>3.665111990026963E-15</v>
      </c>
      <c r="L94">
        <v>3.9281500125588359E-14</v>
      </c>
      <c r="M94">
        <v>5.3829794891042278E-15</v>
      </c>
      <c r="N94" t="b">
        <v>1</v>
      </c>
    </row>
    <row r="95" spans="2:14" x14ac:dyDescent="0.2">
      <c r="B95">
        <v>82</v>
      </c>
      <c r="C95">
        <v>32715.201540611513</v>
      </c>
      <c r="D95">
        <v>32715.201540611441</v>
      </c>
      <c r="E95">
        <v>2.2240295861088679E-15</v>
      </c>
      <c r="F95">
        <v>1.5926383327186609E-15</v>
      </c>
      <c r="G95">
        <v>0</v>
      </c>
      <c r="H95">
        <v>3.5591758029955087E-15</v>
      </c>
      <c r="I95">
        <v>1.9603151607207581E-15</v>
      </c>
      <c r="J95">
        <v>0</v>
      </c>
      <c r="K95">
        <v>3.5591758029955087E-15</v>
      </c>
      <c r="L95">
        <v>3.1782026675402217E-16</v>
      </c>
      <c r="M95">
        <v>4.6500657305829724E-15</v>
      </c>
      <c r="N95" t="b">
        <v>1</v>
      </c>
    </row>
    <row r="96" spans="2:14" x14ac:dyDescent="0.2">
      <c r="B96">
        <v>83</v>
      </c>
      <c r="C96">
        <v>61288.570239704182</v>
      </c>
      <c r="D96">
        <v>61288.570239704182</v>
      </c>
      <c r="E96">
        <v>0</v>
      </c>
      <c r="F96">
        <v>5.562195950720489E-15</v>
      </c>
      <c r="G96">
        <v>0</v>
      </c>
      <c r="H96">
        <v>2.2717225024468388E-15</v>
      </c>
      <c r="I96">
        <v>1.2678153277664796E-15</v>
      </c>
      <c r="J96">
        <v>0</v>
      </c>
      <c r="K96">
        <v>2.2717225024468388E-15</v>
      </c>
      <c r="L96">
        <v>1.5168820960647891E-16</v>
      </c>
      <c r="M96">
        <v>3.9272952007857589E-15</v>
      </c>
      <c r="N96" t="b">
        <v>1</v>
      </c>
    </row>
    <row r="97" spans="2:14" x14ac:dyDescent="0.2">
      <c r="B97">
        <v>84</v>
      </c>
      <c r="C97">
        <v>36015.385950942014</v>
      </c>
      <c r="D97">
        <v>36015.38595094192</v>
      </c>
      <c r="E97">
        <v>2.6263066877369049E-15</v>
      </c>
      <c r="F97">
        <v>1.8412596686615755E-15</v>
      </c>
      <c r="G97">
        <v>0</v>
      </c>
      <c r="H97">
        <v>4.4324664146052302E-15</v>
      </c>
      <c r="I97">
        <v>2.9112326653282104E-15</v>
      </c>
      <c r="J97">
        <v>0</v>
      </c>
      <c r="K97">
        <v>4.4324664146052302E-15</v>
      </c>
      <c r="L97">
        <v>0</v>
      </c>
      <c r="M97">
        <v>5.6346623868849732E-15</v>
      </c>
      <c r="N97" t="b">
        <v>1</v>
      </c>
    </row>
    <row r="98" spans="2:14" x14ac:dyDescent="0.2">
      <c r="B98">
        <v>85</v>
      </c>
      <c r="C98">
        <v>65856.547172552077</v>
      </c>
      <c r="D98">
        <v>65856.547172551873</v>
      </c>
      <c r="E98">
        <v>3.0934936911184819E-15</v>
      </c>
      <c r="F98">
        <v>0</v>
      </c>
      <c r="G98">
        <v>0</v>
      </c>
      <c r="H98">
        <v>4.3602049346647002E-15</v>
      </c>
      <c r="I98">
        <v>6.4996234774961924E-15</v>
      </c>
      <c r="J98">
        <v>0</v>
      </c>
      <c r="K98">
        <v>4.3602049346647002E-15</v>
      </c>
      <c r="L98">
        <v>3.0109989237250999E-16</v>
      </c>
      <c r="M98">
        <v>3.9115388938028498E-15</v>
      </c>
      <c r="N98" t="b">
        <v>1</v>
      </c>
    </row>
    <row r="99" spans="2:14" x14ac:dyDescent="0.2">
      <c r="B99">
        <v>86</v>
      </c>
      <c r="C99">
        <v>39669.355030349958</v>
      </c>
      <c r="D99">
        <v>39669.355030349849</v>
      </c>
      <c r="E99">
        <v>2.7512260819277775E-15</v>
      </c>
      <c r="F99">
        <v>3.1297392071436605E-15</v>
      </c>
      <c r="G99">
        <v>0</v>
      </c>
      <c r="H99">
        <v>4.3519135580862427E-15</v>
      </c>
      <c r="I99">
        <v>6.5553382395513528E-15</v>
      </c>
      <c r="J99">
        <v>0</v>
      </c>
      <c r="K99">
        <v>4.3519135580862427E-15</v>
      </c>
      <c r="L99">
        <v>2.0022866109953176E-14</v>
      </c>
      <c r="M99">
        <v>5.5448537620777487E-15</v>
      </c>
      <c r="N99" t="b">
        <v>1</v>
      </c>
    </row>
    <row r="100" spans="2:14" x14ac:dyDescent="0.2">
      <c r="B100">
        <v>87</v>
      </c>
      <c r="C100">
        <v>70679.227710927211</v>
      </c>
      <c r="D100">
        <v>70679.227710927094</v>
      </c>
      <c r="E100">
        <v>1.6470938576616177E-15</v>
      </c>
      <c r="F100">
        <v>3.1317135387196108E-15</v>
      </c>
      <c r="G100">
        <v>0</v>
      </c>
      <c r="H100">
        <v>3.5700670743843341E-15</v>
      </c>
      <c r="I100">
        <v>2.129159122324685E-15</v>
      </c>
      <c r="J100">
        <v>0</v>
      </c>
      <c r="K100">
        <v>3.5700670743843341E-15</v>
      </c>
      <c r="L100">
        <v>1.4944392850458705E-16</v>
      </c>
      <c r="M100">
        <v>5.0608546266078698E-15</v>
      </c>
      <c r="N100" t="b">
        <v>1</v>
      </c>
    </row>
    <row r="101" spans="2:14" x14ac:dyDescent="0.2">
      <c r="B101">
        <v>88</v>
      </c>
      <c r="C101">
        <v>43684.947886698712</v>
      </c>
      <c r="D101">
        <v>43684.947886698603</v>
      </c>
      <c r="E101">
        <v>2.4983288178760231E-15</v>
      </c>
      <c r="F101">
        <v>1.3270363323445473E-15</v>
      </c>
      <c r="G101">
        <v>0</v>
      </c>
      <c r="H101">
        <v>3.7552847731286457E-15</v>
      </c>
      <c r="I101">
        <v>6.0070939365388803E-15</v>
      </c>
      <c r="J101">
        <v>0</v>
      </c>
      <c r="K101">
        <v>3.7552847731286457E-15</v>
      </c>
      <c r="L101">
        <v>3.9860976843464482E-14</v>
      </c>
      <c r="M101">
        <v>3.4872313841683247E-15</v>
      </c>
      <c r="N101" t="b">
        <v>1</v>
      </c>
    </row>
    <row r="102" spans="2:14" x14ac:dyDescent="0.2">
      <c r="B102">
        <v>89</v>
      </c>
      <c r="C102">
        <v>75746.899822382489</v>
      </c>
      <c r="D102">
        <v>75746.899822382082</v>
      </c>
      <c r="E102">
        <v>5.3791459102577735E-15</v>
      </c>
      <c r="F102">
        <v>4.3721589083009599E-15</v>
      </c>
      <c r="G102">
        <v>0</v>
      </c>
      <c r="H102">
        <v>5.9729903657392763E-15</v>
      </c>
      <c r="I102">
        <v>9.6079039670627378E-15</v>
      </c>
      <c r="J102">
        <v>0</v>
      </c>
      <c r="K102">
        <v>5.9729903657392763E-15</v>
      </c>
      <c r="L102">
        <v>1.4837918296534292E-16</v>
      </c>
      <c r="M102">
        <v>5.9360213162504032E-15</v>
      </c>
      <c r="N102" t="b">
        <v>1</v>
      </c>
    </row>
    <row r="103" spans="2:14" x14ac:dyDescent="0.2">
      <c r="B103">
        <v>90</v>
      </c>
      <c r="C103">
        <v>48062.990974600172</v>
      </c>
      <c r="D103">
        <v>48062.990974600019</v>
      </c>
      <c r="E103">
        <v>3.179059538317122E-15</v>
      </c>
      <c r="F103">
        <v>3.593739596203315E-15</v>
      </c>
      <c r="G103">
        <v>0</v>
      </c>
      <c r="H103">
        <v>2.3358560699486629E-15</v>
      </c>
      <c r="I103">
        <v>3.9665507169208996E-15</v>
      </c>
      <c r="J103">
        <v>0</v>
      </c>
      <c r="K103">
        <v>2.3358560699486629E-15</v>
      </c>
      <c r="L103">
        <v>3.9356583176074908E-14</v>
      </c>
      <c r="M103">
        <v>3.1703310012530691E-15</v>
      </c>
      <c r="N103" t="b">
        <v>1</v>
      </c>
    </row>
    <row r="104" spans="2:14" x14ac:dyDescent="0.2">
      <c r="B104">
        <v>91</v>
      </c>
      <c r="C104">
        <v>81051.916052491346</v>
      </c>
      <c r="D104">
        <v>81051.916052491084</v>
      </c>
      <c r="E104">
        <v>3.2316876252619191E-15</v>
      </c>
      <c r="F104">
        <v>1.3588530973818442E-15</v>
      </c>
      <c r="G104">
        <v>0</v>
      </c>
      <c r="H104">
        <v>5.5818057766658808E-15</v>
      </c>
      <c r="I104">
        <v>9.0167541868174319E-15</v>
      </c>
      <c r="J104">
        <v>0</v>
      </c>
      <c r="K104">
        <v>5.5818057766658808E-15</v>
      </c>
      <c r="L104">
        <v>3.7431391304512193E-14</v>
      </c>
      <c r="M104">
        <v>5.1413773686086572E-15</v>
      </c>
      <c r="N104" t="b">
        <v>1</v>
      </c>
    </row>
    <row r="105" spans="2:14" x14ac:dyDescent="0.2">
      <c r="B105">
        <v>92</v>
      </c>
      <c r="C105">
        <v>52788.75020855241</v>
      </c>
      <c r="D105">
        <v>52788.75020855217</v>
      </c>
      <c r="E105">
        <v>4.5484426192979656E-15</v>
      </c>
      <c r="F105">
        <v>4.2005033166315779E-15</v>
      </c>
      <c r="G105">
        <v>0</v>
      </c>
      <c r="H105">
        <v>3.927150142720412E-15</v>
      </c>
      <c r="I105">
        <v>3.6561060264734361E-15</v>
      </c>
      <c r="J105">
        <v>0</v>
      </c>
      <c r="K105">
        <v>3.927150142720412E-15</v>
      </c>
      <c r="L105">
        <v>3.8698322742646544E-14</v>
      </c>
      <c r="M105">
        <v>3.2071184886440169E-15</v>
      </c>
      <c r="N105" t="b">
        <v>1</v>
      </c>
    </row>
    <row r="106" spans="2:14" x14ac:dyDescent="0.2">
      <c r="B106">
        <v>93</v>
      </c>
      <c r="C106">
        <v>86612.900111768729</v>
      </c>
      <c r="D106">
        <v>86612.90011176838</v>
      </c>
      <c r="E106">
        <v>4.0322626887002397E-15</v>
      </c>
      <c r="F106">
        <v>1.5866600144760744E-16</v>
      </c>
      <c r="G106">
        <v>0</v>
      </c>
      <c r="H106">
        <v>5.6242642375790699E-15</v>
      </c>
      <c r="I106">
        <v>1.203697900010198E-14</v>
      </c>
      <c r="J106">
        <v>0</v>
      </c>
      <c r="K106">
        <v>5.6242642375790699E-15</v>
      </c>
      <c r="L106">
        <v>1.4639035956542837E-16</v>
      </c>
      <c r="M106">
        <v>6.9362737392254738E-15</v>
      </c>
      <c r="N106" t="b">
        <v>1</v>
      </c>
    </row>
    <row r="107" spans="2:14" x14ac:dyDescent="0.2">
      <c r="B107">
        <v>94</v>
      </c>
      <c r="C107">
        <v>57853.441757490924</v>
      </c>
      <c r="D107">
        <v>57853.441757490873</v>
      </c>
      <c r="E107">
        <v>8.8035736080799961E-16</v>
      </c>
      <c r="F107">
        <v>1.8447768811560837E-15</v>
      </c>
      <c r="G107">
        <v>0</v>
      </c>
      <c r="H107">
        <v>1.7919427369265541E-15</v>
      </c>
      <c r="I107">
        <v>4.7070003541511487E-15</v>
      </c>
      <c r="J107">
        <v>0</v>
      </c>
      <c r="K107">
        <v>1.7919427369265541E-15</v>
      </c>
      <c r="L107">
        <v>0</v>
      </c>
      <c r="M107">
        <v>4.0965729396838298E-15</v>
      </c>
      <c r="N107" t="b">
        <v>1</v>
      </c>
    </row>
    <row r="108" spans="2:14" x14ac:dyDescent="0.2">
      <c r="B108">
        <v>95</v>
      </c>
      <c r="C108">
        <v>92386.698187845017</v>
      </c>
      <c r="D108">
        <v>92386.698187845046</v>
      </c>
      <c r="E108">
        <v>3.1502187032984345E-16</v>
      </c>
      <c r="F108">
        <v>2.3747540709382836E-15</v>
      </c>
      <c r="G108">
        <v>0</v>
      </c>
      <c r="H108">
        <v>1.506603774527745E-15</v>
      </c>
      <c r="I108">
        <v>1.6454680896874987E-15</v>
      </c>
      <c r="J108">
        <v>0</v>
      </c>
      <c r="K108">
        <v>1.506603774527745E-15</v>
      </c>
      <c r="L108">
        <v>7.4211104280396933E-14</v>
      </c>
      <c r="M108">
        <v>3.0727417376571304E-15</v>
      </c>
      <c r="N108" t="b">
        <v>1</v>
      </c>
    </row>
    <row r="109" spans="2:14" x14ac:dyDescent="0.2">
      <c r="B109">
        <v>96</v>
      </c>
      <c r="C109">
        <v>63226.863418610112</v>
      </c>
      <c r="D109">
        <v>63226.863418610112</v>
      </c>
      <c r="E109">
        <v>0</v>
      </c>
      <c r="F109">
        <v>1.6801880536677385E-15</v>
      </c>
      <c r="G109">
        <v>0</v>
      </c>
      <c r="H109">
        <v>4.0996313986994734E-16</v>
      </c>
      <c r="I109">
        <v>2.187748673953602E-15</v>
      </c>
      <c r="J109">
        <v>0</v>
      </c>
      <c r="K109">
        <v>4.0996313986994734E-16</v>
      </c>
      <c r="L109">
        <v>0</v>
      </c>
      <c r="M109">
        <v>1.4722816956357158E-15</v>
      </c>
      <c r="N109" t="b">
        <v>1</v>
      </c>
    </row>
    <row r="110" spans="2:14" x14ac:dyDescent="0.2">
      <c r="B110">
        <v>97</v>
      </c>
      <c r="C110">
        <v>98324.847660066458</v>
      </c>
      <c r="D110">
        <v>98324.847660066196</v>
      </c>
      <c r="E110">
        <v>2.6639703019543636E-15</v>
      </c>
      <c r="F110">
        <v>1.1126327101740018E-15</v>
      </c>
      <c r="G110">
        <v>0</v>
      </c>
      <c r="H110">
        <v>4.2483117872393618E-15</v>
      </c>
      <c r="I110">
        <v>6.3213220384591215E-15</v>
      </c>
      <c r="J110">
        <v>0</v>
      </c>
      <c r="K110">
        <v>4.2483117872393618E-15</v>
      </c>
      <c r="L110">
        <v>2.8947182268387131E-16</v>
      </c>
      <c r="M110">
        <v>6.2843658049798312E-15</v>
      </c>
      <c r="N110" t="b">
        <v>1</v>
      </c>
    </row>
    <row r="111" spans="2:14" x14ac:dyDescent="0.2">
      <c r="B111">
        <v>98</v>
      </c>
      <c r="C111">
        <v>68855.601786102721</v>
      </c>
      <c r="D111">
        <v>68855.601786102328</v>
      </c>
      <c r="E111">
        <v>5.7061691565261646E-15</v>
      </c>
      <c r="F111">
        <v>3.4824819966467572E-15</v>
      </c>
      <c r="G111">
        <v>0</v>
      </c>
      <c r="H111">
        <v>7.5301432237971062E-15</v>
      </c>
      <c r="I111">
        <v>1.0349507701098314E-14</v>
      </c>
      <c r="J111">
        <v>0</v>
      </c>
      <c r="K111">
        <v>7.5301432237971062E-15</v>
      </c>
      <c r="L111">
        <v>3.7659051632568477E-14</v>
      </c>
      <c r="M111">
        <v>5.5281713341747772E-15</v>
      </c>
      <c r="N111" t="b">
        <v>1</v>
      </c>
    </row>
    <row r="112" spans="2:14" x14ac:dyDescent="0.2">
      <c r="B112">
        <v>99</v>
      </c>
      <c r="C112">
        <v>104369.8180535274</v>
      </c>
      <c r="D112">
        <v>104369.8180535273</v>
      </c>
      <c r="E112">
        <v>9.7598528481027064E-16</v>
      </c>
      <c r="F112">
        <v>4.1792433475221309E-15</v>
      </c>
      <c r="G112">
        <v>0</v>
      </c>
      <c r="H112">
        <v>3.3372922242023952E-15</v>
      </c>
      <c r="I112">
        <v>1.713888018513231E-15</v>
      </c>
      <c r="J112">
        <v>0</v>
      </c>
      <c r="K112">
        <v>3.3372922242023952E-15</v>
      </c>
      <c r="L112">
        <v>2.8811710807772486E-16</v>
      </c>
      <c r="M112">
        <v>3.9985279554314788E-15</v>
      </c>
      <c r="N112" t="b">
        <v>1</v>
      </c>
    </row>
    <row r="113" spans="2:14" x14ac:dyDescent="0.2">
      <c r="B113">
        <v>100</v>
      </c>
      <c r="C113">
        <v>74688.794603526694</v>
      </c>
      <c r="D113">
        <v>74688.794603526709</v>
      </c>
      <c r="E113">
        <v>1.9483398153114295E-16</v>
      </c>
      <c r="F113">
        <v>4.5155064124926693E-15</v>
      </c>
      <c r="G113">
        <v>0</v>
      </c>
      <c r="H113">
        <v>1.3886309851264543E-15</v>
      </c>
      <c r="I113">
        <v>1.8012101633618912E-15</v>
      </c>
      <c r="J113">
        <v>0</v>
      </c>
      <c r="K113">
        <v>1.3886309851264543E-15</v>
      </c>
      <c r="L113">
        <v>1.4703939442408042E-16</v>
      </c>
      <c r="M113">
        <v>4.6409598551058356E-15</v>
      </c>
      <c r="N113" t="b">
        <v>1</v>
      </c>
    </row>
    <row r="114" spans="2:14" x14ac:dyDescent="0.2">
      <c r="B114">
        <v>101</v>
      </c>
      <c r="C114">
        <v>11300.148013354412</v>
      </c>
      <c r="D114">
        <v>11300.14801335443</v>
      </c>
      <c r="E114">
        <v>1.6097040511294086E-15</v>
      </c>
      <c r="F114">
        <v>1.8347906629971587E-14</v>
      </c>
      <c r="G114">
        <v>0</v>
      </c>
      <c r="H114">
        <v>2.2218257952477576E-15</v>
      </c>
      <c r="I114">
        <v>1.1853475115149303E-15</v>
      </c>
      <c r="J114">
        <v>0</v>
      </c>
      <c r="K114">
        <v>2.2218257952477576E-15</v>
      </c>
      <c r="L114">
        <v>1.8813576515256238E-16</v>
      </c>
      <c r="M114">
        <v>4.5281328413875148E-15</v>
      </c>
      <c r="N114" t="b">
        <v>1</v>
      </c>
    </row>
    <row r="115" spans="2:14" x14ac:dyDescent="0.2">
      <c r="B115">
        <v>102</v>
      </c>
      <c r="C115">
        <v>10571.183964367436</v>
      </c>
      <c r="D115">
        <v>10571.18396436749</v>
      </c>
      <c r="E115">
        <v>5.1621163996686518E-15</v>
      </c>
      <c r="F115">
        <v>1.8741007567402558E-13</v>
      </c>
      <c r="G115">
        <v>0</v>
      </c>
      <c r="H115">
        <v>5.584479495823348E-15</v>
      </c>
      <c r="I115">
        <v>5.2740250574835538E-15</v>
      </c>
      <c r="J115">
        <v>0</v>
      </c>
      <c r="K115">
        <v>5.584479495823348E-15</v>
      </c>
      <c r="L115">
        <v>0</v>
      </c>
      <c r="M115">
        <v>6.3960542690493558E-15</v>
      </c>
      <c r="N115" t="b">
        <v>1</v>
      </c>
    </row>
    <row r="116" spans="2:14" x14ac:dyDescent="0.2">
      <c r="B116">
        <v>103</v>
      </c>
      <c r="C116">
        <v>11408.954356507704</v>
      </c>
      <c r="D116">
        <v>11408.95435650772</v>
      </c>
      <c r="E116">
        <v>1.434917181746342E-15</v>
      </c>
      <c r="F116">
        <v>5.1240743128001653E-14</v>
      </c>
      <c r="G116">
        <v>0</v>
      </c>
      <c r="H116">
        <v>2.1984864181607185E-15</v>
      </c>
      <c r="I116">
        <v>2.3384835324488663E-15</v>
      </c>
      <c r="J116">
        <v>0</v>
      </c>
      <c r="K116">
        <v>2.1984864181607185E-15</v>
      </c>
      <c r="L116">
        <v>6.0218730589755975E-15</v>
      </c>
      <c r="M116">
        <v>2.6965295293904657E-16</v>
      </c>
      <c r="N116" t="b">
        <v>1</v>
      </c>
    </row>
    <row r="117" spans="2:14" x14ac:dyDescent="0.2">
      <c r="B117">
        <v>104</v>
      </c>
      <c r="C117">
        <v>10641.896781148018</v>
      </c>
      <c r="D117">
        <v>10641.89678114804</v>
      </c>
      <c r="E117">
        <v>2.0511261564966527E-15</v>
      </c>
      <c r="F117">
        <v>6.9513584501357605E-14</v>
      </c>
      <c r="G117">
        <v>0</v>
      </c>
      <c r="H117">
        <v>3.1670517664279386E-15</v>
      </c>
      <c r="I117">
        <v>9.1342955325728503E-15</v>
      </c>
      <c r="J117">
        <v>0</v>
      </c>
      <c r="K117">
        <v>3.1670517664279386E-15</v>
      </c>
      <c r="L117">
        <v>5.8208032610877142E-15</v>
      </c>
      <c r="M117">
        <v>3.5416483555404527E-15</v>
      </c>
      <c r="N117" t="b">
        <v>1</v>
      </c>
    </row>
    <row r="118" spans="2:14" x14ac:dyDescent="0.2">
      <c r="B118">
        <v>105</v>
      </c>
      <c r="C118">
        <v>11515.299844624016</v>
      </c>
      <c r="D118">
        <v>11515.299844624011</v>
      </c>
      <c r="E118">
        <v>4.7388850349261112E-16</v>
      </c>
      <c r="F118">
        <v>8.0205305130396662E-14</v>
      </c>
      <c r="G118">
        <v>0</v>
      </c>
      <c r="H118">
        <v>2.9014893306872133E-15</v>
      </c>
      <c r="I118">
        <v>6.9193678291927167E-15</v>
      </c>
      <c r="J118">
        <v>0</v>
      </c>
      <c r="K118">
        <v>2.9014893306872133E-15</v>
      </c>
      <c r="L118">
        <v>6.2116647984213982E-15</v>
      </c>
      <c r="M118">
        <v>1.0606324070813718E-15</v>
      </c>
      <c r="N118" t="b">
        <v>1</v>
      </c>
    </row>
    <row r="119" spans="2:14" x14ac:dyDescent="0.2">
      <c r="B119">
        <v>106</v>
      </c>
      <c r="C119">
        <v>10712.880936522</v>
      </c>
      <c r="D119">
        <v>10712.88093652203</v>
      </c>
      <c r="E119">
        <v>2.716713704668723E-15</v>
      </c>
      <c r="F119">
        <v>1.6319056121780447E-13</v>
      </c>
      <c r="G119">
        <v>0</v>
      </c>
      <c r="H119">
        <v>2.3574101745951552E-15</v>
      </c>
      <c r="I119">
        <v>2.5825175448231721E-15</v>
      </c>
      <c r="J119">
        <v>0</v>
      </c>
      <c r="K119">
        <v>2.3574101745951552E-15</v>
      </c>
      <c r="L119">
        <v>1.877544382341877E-16</v>
      </c>
      <c r="M119">
        <v>5.1685300140060412E-15</v>
      </c>
      <c r="N119" t="b">
        <v>1</v>
      </c>
    </row>
    <row r="120" spans="2:14" x14ac:dyDescent="0.2">
      <c r="B120">
        <v>107</v>
      </c>
      <c r="C120">
        <v>11618.455262133803</v>
      </c>
      <c r="D120">
        <v>11618.455262133841</v>
      </c>
      <c r="E120">
        <v>3.2877673161042422E-15</v>
      </c>
      <c r="F120">
        <v>0</v>
      </c>
      <c r="G120">
        <v>0</v>
      </c>
      <c r="H120">
        <v>3.411732146387013E-15</v>
      </c>
      <c r="I120">
        <v>4.549670260297946E-15</v>
      </c>
      <c r="J120">
        <v>0</v>
      </c>
      <c r="K120">
        <v>3.411732146387013E-15</v>
      </c>
      <c r="L120">
        <v>0</v>
      </c>
      <c r="M120">
        <v>6.5237707904489277E-16</v>
      </c>
      <c r="N120" t="b">
        <v>1</v>
      </c>
    </row>
    <row r="121" spans="2:14" x14ac:dyDescent="0.2">
      <c r="B121">
        <v>108</v>
      </c>
      <c r="C121">
        <v>10784.941063397941</v>
      </c>
      <c r="D121">
        <v>10784.94106339799</v>
      </c>
      <c r="E121">
        <v>4.5538231138246278E-15</v>
      </c>
      <c r="F121">
        <v>3.0560147521010161E-14</v>
      </c>
      <c r="G121">
        <v>0</v>
      </c>
      <c r="H121">
        <v>4.6790498946082282E-15</v>
      </c>
      <c r="I121">
        <v>2.7145043285481088E-15</v>
      </c>
      <c r="J121">
        <v>0</v>
      </c>
      <c r="K121">
        <v>4.6790498946082282E-15</v>
      </c>
      <c r="L121">
        <v>5.8200659664889677E-15</v>
      </c>
      <c r="M121">
        <v>8.2538527699380508E-15</v>
      </c>
      <c r="N121" t="b">
        <v>1</v>
      </c>
    </row>
    <row r="122" spans="2:14" x14ac:dyDescent="0.2">
      <c r="B122">
        <v>109</v>
      </c>
      <c r="C122">
        <v>11720.31334529493</v>
      </c>
      <c r="D122">
        <v>11720.313345294901</v>
      </c>
      <c r="E122">
        <v>2.4831955937779927E-15</v>
      </c>
      <c r="F122">
        <v>1.4499636766258523E-14</v>
      </c>
      <c r="G122">
        <v>0</v>
      </c>
      <c r="H122">
        <v>1.7783784346418151E-15</v>
      </c>
      <c r="I122">
        <v>4.4865009911514289E-15</v>
      </c>
      <c r="J122">
        <v>0</v>
      </c>
      <c r="K122">
        <v>1.7783784346418151E-15</v>
      </c>
      <c r="L122">
        <v>5.8383286366044222E-15</v>
      </c>
      <c r="M122">
        <v>7.7079716014781127E-16</v>
      </c>
      <c r="N122" t="b">
        <v>1</v>
      </c>
    </row>
    <row r="123" spans="2:14" x14ac:dyDescent="0.2">
      <c r="B123">
        <v>110</v>
      </c>
      <c r="C123">
        <v>10858.698445295238</v>
      </c>
      <c r="D123">
        <v>10858.6984452953</v>
      </c>
      <c r="E123">
        <v>5.6954928836203849E-15</v>
      </c>
      <c r="F123">
        <v>1.1591196771873277E-13</v>
      </c>
      <c r="G123">
        <v>0</v>
      </c>
      <c r="H123">
        <v>6.1906150392555501E-15</v>
      </c>
      <c r="I123">
        <v>7.5808484624249801E-15</v>
      </c>
      <c r="J123">
        <v>0</v>
      </c>
      <c r="K123">
        <v>6.1906150392555501E-15</v>
      </c>
      <c r="L123">
        <v>1.8773717856645306E-16</v>
      </c>
      <c r="M123">
        <v>3.4069701612550069E-15</v>
      </c>
      <c r="N123" t="b">
        <v>1</v>
      </c>
    </row>
    <row r="124" spans="2:14" x14ac:dyDescent="0.2">
      <c r="B124">
        <v>111</v>
      </c>
      <c r="C124">
        <v>11823.29648504169</v>
      </c>
      <c r="D124">
        <v>11823.29648504171</v>
      </c>
      <c r="E124">
        <v>1.6923269634926891E-15</v>
      </c>
      <c r="F124">
        <v>9.735689552808598E-14</v>
      </c>
      <c r="G124">
        <v>0</v>
      </c>
      <c r="H124">
        <v>3.522432509777842E-16</v>
      </c>
      <c r="I124">
        <v>0</v>
      </c>
      <c r="J124">
        <v>0</v>
      </c>
      <c r="K124">
        <v>3.522432509777842E-16</v>
      </c>
      <c r="L124">
        <v>6.0285196715508836E-15</v>
      </c>
      <c r="M124">
        <v>1.7709571588480406E-15</v>
      </c>
      <c r="N124" t="b">
        <v>1</v>
      </c>
    </row>
    <row r="125" spans="2:14" x14ac:dyDescent="0.2">
      <c r="B125">
        <v>112</v>
      </c>
      <c r="C125">
        <v>10935.694144255092</v>
      </c>
      <c r="D125">
        <v>10935.694144255131</v>
      </c>
      <c r="E125">
        <v>3.4930363789051308E-15</v>
      </c>
      <c r="F125">
        <v>5.4694340176154047E-14</v>
      </c>
      <c r="G125">
        <v>0</v>
      </c>
      <c r="H125">
        <v>3.07061503186585E-15</v>
      </c>
      <c r="I125">
        <v>4.9964351581213172E-15</v>
      </c>
      <c r="J125">
        <v>0</v>
      </c>
      <c r="K125">
        <v>3.07061503186585E-15</v>
      </c>
      <c r="L125">
        <v>0</v>
      </c>
      <c r="M125">
        <v>1.4615554014946388E-16</v>
      </c>
      <c r="N125" t="b">
        <v>1</v>
      </c>
    </row>
    <row r="126" spans="2:14" x14ac:dyDescent="0.2">
      <c r="B126">
        <v>113</v>
      </c>
      <c r="C126">
        <v>11930.445833644973</v>
      </c>
      <c r="D126">
        <v>11930.445833644881</v>
      </c>
      <c r="E126">
        <v>7.7757747593324356E-15</v>
      </c>
      <c r="F126">
        <v>5.3129672471080418E-14</v>
      </c>
      <c r="G126">
        <v>0</v>
      </c>
      <c r="H126">
        <v>7.1492445647535781E-15</v>
      </c>
      <c r="I126">
        <v>1.0759008203237832E-14</v>
      </c>
      <c r="J126">
        <v>0</v>
      </c>
      <c r="K126">
        <v>7.1492445647535781E-15</v>
      </c>
      <c r="L126">
        <v>6.2191727169801828E-15</v>
      </c>
      <c r="M126">
        <v>1.1330492972171072E-14</v>
      </c>
      <c r="N126" t="b">
        <v>1</v>
      </c>
    </row>
    <row r="127" spans="2:14" x14ac:dyDescent="0.2">
      <c r="B127">
        <v>114</v>
      </c>
      <c r="C127">
        <v>11015.341915445735</v>
      </c>
      <c r="D127">
        <v>11015.341915445741</v>
      </c>
      <c r="E127">
        <v>4.9539707913975818E-16</v>
      </c>
      <c r="F127">
        <v>0</v>
      </c>
      <c r="G127">
        <v>0</v>
      </c>
      <c r="H127">
        <v>7.6137317385322916E-16</v>
      </c>
      <c r="I127">
        <v>0</v>
      </c>
      <c r="J127">
        <v>0</v>
      </c>
      <c r="K127">
        <v>7.6137317385322916E-16</v>
      </c>
      <c r="L127">
        <v>1.8774210417166645E-16</v>
      </c>
      <c r="M127">
        <v>3.3158795001731868E-15</v>
      </c>
      <c r="N127" t="b">
        <v>1</v>
      </c>
    </row>
    <row r="128" spans="2:14" x14ac:dyDescent="0.2">
      <c r="B128">
        <v>115</v>
      </c>
      <c r="C128">
        <v>12043.054877513969</v>
      </c>
      <c r="D128">
        <v>12043.05487751388</v>
      </c>
      <c r="E128">
        <v>7.4009860189349821E-15</v>
      </c>
      <c r="F128">
        <v>1.2500611951329031E-14</v>
      </c>
      <c r="G128">
        <v>0</v>
      </c>
      <c r="H128">
        <v>8.2835070913760433E-15</v>
      </c>
      <c r="I128">
        <v>2.1456451325654145E-15</v>
      </c>
      <c r="J128">
        <v>0</v>
      </c>
      <c r="K128">
        <v>8.2835070913760433E-15</v>
      </c>
      <c r="L128">
        <v>0</v>
      </c>
      <c r="M128">
        <v>8.6967939924435423E-15</v>
      </c>
      <c r="N128" t="b">
        <v>1</v>
      </c>
    </row>
    <row r="129" spans="2:14" x14ac:dyDescent="0.2">
      <c r="B129">
        <v>116</v>
      </c>
      <c r="C129">
        <v>11098.145678194309</v>
      </c>
      <c r="D129">
        <v>11098.145678194331</v>
      </c>
      <c r="E129">
        <v>1.966803597238568E-15</v>
      </c>
      <c r="F129">
        <v>2.4430063986546559E-14</v>
      </c>
      <c r="G129">
        <v>0</v>
      </c>
      <c r="H129">
        <v>2.2648612052930757E-15</v>
      </c>
      <c r="I129">
        <v>1.2194407678047948E-15</v>
      </c>
      <c r="J129">
        <v>0</v>
      </c>
      <c r="K129">
        <v>2.2648612052930757E-15</v>
      </c>
      <c r="L129">
        <v>0</v>
      </c>
      <c r="M129">
        <v>1.9902158505486474E-15</v>
      </c>
      <c r="N129" t="b">
        <v>1</v>
      </c>
    </row>
    <row r="130" spans="2:14" x14ac:dyDescent="0.2">
      <c r="B130">
        <v>117</v>
      </c>
      <c r="C130">
        <v>12161.656713967885</v>
      </c>
      <c r="D130">
        <v>12161.65671396785</v>
      </c>
      <c r="E130">
        <v>2.8417837701073789E-15</v>
      </c>
      <c r="F130">
        <v>3.6188887440247526E-14</v>
      </c>
      <c r="G130">
        <v>0</v>
      </c>
      <c r="H130">
        <v>3.7558830337039481E-15</v>
      </c>
      <c r="I130">
        <v>1.6890268466240783E-14</v>
      </c>
      <c r="J130">
        <v>0</v>
      </c>
      <c r="K130">
        <v>3.7558830337039481E-15</v>
      </c>
      <c r="L130">
        <v>6.0363600578747173E-15</v>
      </c>
      <c r="M130">
        <v>1.1802323229169871E-14</v>
      </c>
      <c r="N130" t="b">
        <v>1</v>
      </c>
    </row>
    <row r="131" spans="2:14" x14ac:dyDescent="0.2">
      <c r="B131">
        <v>118</v>
      </c>
      <c r="C131">
        <v>11184.951093343694</v>
      </c>
      <c r="D131">
        <v>11184.95109334369</v>
      </c>
      <c r="E131">
        <v>3.2525656810933412E-16</v>
      </c>
      <c r="F131">
        <v>6.9213044262696699E-14</v>
      </c>
      <c r="G131">
        <v>0</v>
      </c>
      <c r="H131">
        <v>7.4834940667120028E-16</v>
      </c>
      <c r="I131">
        <v>7.3744506302652667E-15</v>
      </c>
      <c r="J131">
        <v>0</v>
      </c>
      <c r="K131">
        <v>7.4834940667120028E-16</v>
      </c>
      <c r="L131">
        <v>1.8777434695696477E-16</v>
      </c>
      <c r="M131">
        <v>2.9423042546431404E-15</v>
      </c>
      <c r="N131" t="b">
        <v>1</v>
      </c>
    </row>
    <row r="132" spans="2:14" x14ac:dyDescent="0.2">
      <c r="B132">
        <v>119</v>
      </c>
      <c r="C132">
        <v>12287.433287733327</v>
      </c>
      <c r="D132">
        <v>12287.433287733231</v>
      </c>
      <c r="E132">
        <v>7.8459378887675991E-15</v>
      </c>
      <c r="F132">
        <v>1.1201685624686949E-14</v>
      </c>
      <c r="G132">
        <v>0</v>
      </c>
      <c r="H132">
        <v>8.4402749756720039E-15</v>
      </c>
      <c r="I132">
        <v>1.2456808052384446E-14</v>
      </c>
      <c r="J132">
        <v>0</v>
      </c>
      <c r="K132">
        <v>8.4402749756720039E-15</v>
      </c>
      <c r="L132">
        <v>6.2286400051590337E-15</v>
      </c>
      <c r="M132">
        <v>1.1358938821317111E-14</v>
      </c>
      <c r="N132" t="b">
        <v>1</v>
      </c>
    </row>
    <row r="133" spans="2:14" x14ac:dyDescent="0.2">
      <c r="B133">
        <v>120</v>
      </c>
      <c r="C133">
        <v>11275.833956852257</v>
      </c>
      <c r="D133">
        <v>11275.833956852221</v>
      </c>
      <c r="E133">
        <v>3.2263501050234485E-15</v>
      </c>
      <c r="F133">
        <v>2.1795963773075392E-14</v>
      </c>
      <c r="G133">
        <v>0</v>
      </c>
      <c r="H133">
        <v>4.4493654518975552E-15</v>
      </c>
      <c r="I133">
        <v>0</v>
      </c>
      <c r="J133">
        <v>0</v>
      </c>
      <c r="K133">
        <v>4.4493654518975552E-15</v>
      </c>
      <c r="L133">
        <v>1.8780272186279629E-16</v>
      </c>
      <c r="M133">
        <v>5.1069163033579549E-15</v>
      </c>
      <c r="N133" t="b">
        <v>1</v>
      </c>
    </row>
    <row r="134" spans="2:14" x14ac:dyDescent="0.2">
      <c r="B134">
        <v>121</v>
      </c>
      <c r="C134">
        <v>12423.273759726606</v>
      </c>
      <c r="D134">
        <v>12423.273759726449</v>
      </c>
      <c r="E134">
        <v>1.2591937659143092E-14</v>
      </c>
      <c r="F134">
        <v>6.559461771140684E-14</v>
      </c>
      <c r="G134">
        <v>0</v>
      </c>
      <c r="H134">
        <v>1.2008964463204371E-14</v>
      </c>
      <c r="I134">
        <v>8.1599467154958064E-15</v>
      </c>
      <c r="J134">
        <v>0</v>
      </c>
      <c r="K134">
        <v>1.2008964463204371E-14</v>
      </c>
      <c r="L134">
        <v>1.2276944365795152E-14</v>
      </c>
      <c r="M134">
        <v>1.3702728309205015E-14</v>
      </c>
      <c r="N134" t="b">
        <v>1</v>
      </c>
    </row>
    <row r="135" spans="2:14" x14ac:dyDescent="0.2">
      <c r="B135">
        <v>122</v>
      </c>
      <c r="C135">
        <v>11372.631345071241</v>
      </c>
      <c r="D135">
        <v>11372.63134507116</v>
      </c>
      <c r="E135">
        <v>7.0375563339353886E-15</v>
      </c>
      <c r="F135">
        <v>1.4368450203021391E-13</v>
      </c>
      <c r="G135">
        <v>0</v>
      </c>
      <c r="H135">
        <v>7.3448336194720067E-15</v>
      </c>
      <c r="I135">
        <v>4.6883318758821144E-15</v>
      </c>
      <c r="J135">
        <v>0</v>
      </c>
      <c r="K135">
        <v>7.3448336194720067E-15</v>
      </c>
      <c r="L135">
        <v>0</v>
      </c>
      <c r="M135">
        <v>6.7934912284497531E-15</v>
      </c>
      <c r="N135" t="b">
        <v>1</v>
      </c>
    </row>
    <row r="136" spans="2:14" x14ac:dyDescent="0.2">
      <c r="B136">
        <v>123</v>
      </c>
      <c r="C136">
        <v>12571.511095737049</v>
      </c>
      <c r="D136">
        <v>12571.511095736891</v>
      </c>
      <c r="E136">
        <v>1.2588150851821956E-14</v>
      </c>
      <c r="F136">
        <v>1.0400839648001763E-13</v>
      </c>
      <c r="G136">
        <v>0</v>
      </c>
      <c r="H136">
        <v>1.0867394107177523E-14</v>
      </c>
      <c r="I136">
        <v>1.4019941367355547E-14</v>
      </c>
      <c r="J136">
        <v>0</v>
      </c>
      <c r="K136">
        <v>1.0867394107177523E-14</v>
      </c>
      <c r="L136">
        <v>1.1908716603131955E-14</v>
      </c>
      <c r="M136">
        <v>1.7186540428393466E-14</v>
      </c>
      <c r="N136" t="b">
        <v>1</v>
      </c>
    </row>
    <row r="137" spans="2:14" x14ac:dyDescent="0.2">
      <c r="B137">
        <v>124</v>
      </c>
      <c r="C137">
        <v>11475.346628962569</v>
      </c>
      <c r="D137">
        <v>11475.34662896253</v>
      </c>
      <c r="E137">
        <v>3.3287689435065444E-15</v>
      </c>
      <c r="F137">
        <v>9.6500124948041016E-14</v>
      </c>
      <c r="G137">
        <v>0</v>
      </c>
      <c r="H137">
        <v>4.9081497657586254E-15</v>
      </c>
      <c r="I137">
        <v>6.9331553330151172E-15</v>
      </c>
      <c r="J137">
        <v>0</v>
      </c>
      <c r="K137">
        <v>4.9081497657586254E-15</v>
      </c>
      <c r="L137">
        <v>1.8789308722234455E-16</v>
      </c>
      <c r="M137">
        <v>7.2172787111176351E-15</v>
      </c>
      <c r="N137" t="b">
        <v>1</v>
      </c>
    </row>
    <row r="138" spans="2:14" x14ac:dyDescent="0.2">
      <c r="B138">
        <v>125</v>
      </c>
      <c r="C138">
        <v>12734.205818133809</v>
      </c>
      <c r="D138">
        <v>12734.205818133671</v>
      </c>
      <c r="E138">
        <v>1.0856051538967984E-14</v>
      </c>
      <c r="F138">
        <v>3.8871766855406592E-14</v>
      </c>
      <c r="G138">
        <v>0</v>
      </c>
      <c r="H138">
        <v>1.1529792928223517E-14</v>
      </c>
      <c r="I138">
        <v>5.8937840034092976E-15</v>
      </c>
      <c r="J138">
        <v>0</v>
      </c>
      <c r="K138">
        <v>1.1529792928223517E-14</v>
      </c>
      <c r="L138">
        <v>0</v>
      </c>
      <c r="M138">
        <v>1.5817742773113353E-14</v>
      </c>
      <c r="N138" t="b">
        <v>1</v>
      </c>
    </row>
    <row r="139" spans="2:14" x14ac:dyDescent="0.2">
      <c r="B139">
        <v>126</v>
      </c>
      <c r="C139">
        <v>11585.165342684411</v>
      </c>
      <c r="D139">
        <v>11585.16534268444</v>
      </c>
      <c r="E139">
        <v>2.5121635812570932E-15</v>
      </c>
      <c r="F139">
        <v>1.8089862763823121E-14</v>
      </c>
      <c r="G139">
        <v>0</v>
      </c>
      <c r="H139">
        <v>2.1583798101708355E-15</v>
      </c>
      <c r="I139">
        <v>1.4231051039552462E-16</v>
      </c>
      <c r="J139">
        <v>0</v>
      </c>
      <c r="K139">
        <v>2.1583798101708355E-15</v>
      </c>
      <c r="L139">
        <v>6.2025840204825265E-15</v>
      </c>
      <c r="M139">
        <v>2.6272295578925999E-16</v>
      </c>
      <c r="N139" t="b">
        <v>1</v>
      </c>
    </row>
    <row r="140" spans="2:14" x14ac:dyDescent="0.2">
      <c r="B140">
        <v>127</v>
      </c>
      <c r="C140">
        <v>12911.236997526663</v>
      </c>
      <c r="D140">
        <v>12911.23699752659</v>
      </c>
      <c r="E140">
        <v>5.63536833502265E-15</v>
      </c>
      <c r="F140">
        <v>5.4824368666598152E-14</v>
      </c>
      <c r="G140">
        <v>0</v>
      </c>
      <c r="H140">
        <v>7.6805000479925037E-15</v>
      </c>
      <c r="I140">
        <v>1.9252431575668117E-15</v>
      </c>
      <c r="J140">
        <v>0</v>
      </c>
      <c r="K140">
        <v>7.6805000479925037E-15</v>
      </c>
      <c r="L140">
        <v>0</v>
      </c>
      <c r="M140">
        <v>1.197615556481583E-14</v>
      </c>
      <c r="N140" t="b">
        <v>1</v>
      </c>
    </row>
    <row r="141" spans="2:14" x14ac:dyDescent="0.2">
      <c r="B141">
        <v>128</v>
      </c>
      <c r="C141">
        <v>11701.645329847857</v>
      </c>
      <c r="D141">
        <v>11701.64532984779</v>
      </c>
      <c r="E141">
        <v>5.751550831875378E-15</v>
      </c>
      <c r="F141">
        <v>5.0778164705695158E-14</v>
      </c>
      <c r="G141">
        <v>0</v>
      </c>
      <c r="H141">
        <v>7.4709431170935281E-15</v>
      </c>
      <c r="I141">
        <v>4.4840722540147805E-15</v>
      </c>
      <c r="J141">
        <v>0</v>
      </c>
      <c r="K141">
        <v>7.4709431170935281E-15</v>
      </c>
      <c r="L141">
        <v>1.8803432812943432E-16</v>
      </c>
      <c r="M141">
        <v>1.2127487179709574E-14</v>
      </c>
      <c r="N141" t="b">
        <v>1</v>
      </c>
    </row>
    <row r="142" spans="2:14" x14ac:dyDescent="0.2">
      <c r="B142">
        <v>129</v>
      </c>
      <c r="C142">
        <v>13100.875879621677</v>
      </c>
      <c r="D142">
        <v>13100.875879621641</v>
      </c>
      <c r="E142">
        <v>2.7768973926014932E-15</v>
      </c>
      <c r="F142">
        <v>1.343272737060833E-16</v>
      </c>
      <c r="G142">
        <v>0</v>
      </c>
      <c r="H142">
        <v>3.9387165071219531E-15</v>
      </c>
      <c r="I142">
        <v>3.7703032865872528E-15</v>
      </c>
      <c r="J142">
        <v>0</v>
      </c>
      <c r="K142">
        <v>3.9387165071219531E-15</v>
      </c>
      <c r="L142">
        <v>0</v>
      </c>
      <c r="M142">
        <v>6.8036296456858007E-15</v>
      </c>
      <c r="N142" t="b">
        <v>1</v>
      </c>
    </row>
    <row r="143" spans="2:14" x14ac:dyDescent="0.2">
      <c r="B143">
        <v>130</v>
      </c>
      <c r="C143">
        <v>11824.579707059307</v>
      </c>
      <c r="D143">
        <v>11824.579707059191</v>
      </c>
      <c r="E143">
        <v>9.845197437117845E-15</v>
      </c>
      <c r="F143">
        <v>1.5828657751397588E-14</v>
      </c>
      <c r="G143">
        <v>0</v>
      </c>
      <c r="H143">
        <v>1.1253502602042395E-14</v>
      </c>
      <c r="I143">
        <v>6.6194079329208668E-15</v>
      </c>
      <c r="J143">
        <v>0</v>
      </c>
      <c r="K143">
        <v>1.1253502602042395E-14</v>
      </c>
      <c r="L143">
        <v>0</v>
      </c>
      <c r="M143">
        <v>1.2283150898225509E-14</v>
      </c>
      <c r="N143" t="b">
        <v>1</v>
      </c>
    </row>
    <row r="144" spans="2:14" x14ac:dyDescent="0.2">
      <c r="B144">
        <v>131</v>
      </c>
      <c r="C144">
        <v>13343.50161488493</v>
      </c>
      <c r="D144">
        <v>13343.50161488495</v>
      </c>
      <c r="E144">
        <v>1.4995226902572636E-15</v>
      </c>
      <c r="F144">
        <v>8.0654575518354473E-14</v>
      </c>
      <c r="G144">
        <v>0</v>
      </c>
      <c r="H144">
        <v>1.3902215293924326E-15</v>
      </c>
      <c r="I144">
        <v>1.1054322566154084E-14</v>
      </c>
      <c r="J144">
        <v>0</v>
      </c>
      <c r="K144">
        <v>1.3902215293924326E-15</v>
      </c>
      <c r="L144">
        <v>1.2342136718303351E-14</v>
      </c>
      <c r="M144">
        <v>1.6613280847634388E-15</v>
      </c>
      <c r="N144" t="b">
        <v>1</v>
      </c>
    </row>
    <row r="145" spans="2:14" x14ac:dyDescent="0.2">
      <c r="B145">
        <v>132</v>
      </c>
      <c r="C145">
        <v>11954.629525957023</v>
      </c>
      <c r="D145">
        <v>11954.629525957031</v>
      </c>
      <c r="E145">
        <v>6.0863095743662934E-16</v>
      </c>
      <c r="F145">
        <v>4.4375435546762798E-14</v>
      </c>
      <c r="G145">
        <v>0</v>
      </c>
      <c r="H145">
        <v>1.7373009590011105E-15</v>
      </c>
      <c r="I145">
        <v>0</v>
      </c>
      <c r="J145">
        <v>0</v>
      </c>
      <c r="K145">
        <v>1.7373009590011105E-15</v>
      </c>
      <c r="L145">
        <v>6.0233472817120191E-15</v>
      </c>
      <c r="M145">
        <v>5.9617228153054079E-15</v>
      </c>
      <c r="N145" t="b">
        <v>1</v>
      </c>
    </row>
    <row r="146" spans="2:14" x14ac:dyDescent="0.2">
      <c r="B146">
        <v>133</v>
      </c>
      <c r="C146">
        <v>13614.534550856521</v>
      </c>
      <c r="D146">
        <v>13614.534550856341</v>
      </c>
      <c r="E146">
        <v>1.3227036905181085E-14</v>
      </c>
      <c r="F146">
        <v>3.008770935207339E-14</v>
      </c>
      <c r="G146">
        <v>0</v>
      </c>
      <c r="H146">
        <v>1.345340700215172E-14</v>
      </c>
      <c r="I146">
        <v>1.6188866041346059E-14</v>
      </c>
      <c r="J146">
        <v>0</v>
      </c>
      <c r="K146">
        <v>1.345340700215172E-14</v>
      </c>
      <c r="L146">
        <v>1.2169682222262203E-14</v>
      </c>
      <c r="M146">
        <v>8.3138023507880814E-15</v>
      </c>
      <c r="N146" t="b">
        <v>1</v>
      </c>
    </row>
    <row r="147" spans="2:14" x14ac:dyDescent="0.2">
      <c r="B147">
        <v>134</v>
      </c>
      <c r="C147">
        <v>12092.245932987156</v>
      </c>
      <c r="D147">
        <v>12092.24593298714</v>
      </c>
      <c r="E147">
        <v>1.3538349056607894E-15</v>
      </c>
      <c r="F147">
        <v>1.3810653669655934E-14</v>
      </c>
      <c r="G147">
        <v>0</v>
      </c>
      <c r="H147">
        <v>8.5781286351670475E-16</v>
      </c>
      <c r="I147">
        <v>6.4002387384043035E-15</v>
      </c>
      <c r="J147">
        <v>0</v>
      </c>
      <c r="K147">
        <v>8.5781286351670475E-16</v>
      </c>
      <c r="L147">
        <v>1.883501135719963E-16</v>
      </c>
      <c r="M147">
        <v>4.7476905072901558E-15</v>
      </c>
      <c r="N147" t="b">
        <v>1</v>
      </c>
    </row>
    <row r="148" spans="2:14" x14ac:dyDescent="0.2">
      <c r="B148">
        <v>135</v>
      </c>
      <c r="C148">
        <v>13899.864512460616</v>
      </c>
      <c r="D148">
        <v>13899.86451246045</v>
      </c>
      <c r="E148">
        <v>1.1908607855442499E-14</v>
      </c>
      <c r="F148">
        <v>5.626351673892583E-14</v>
      </c>
      <c r="G148">
        <v>0</v>
      </c>
      <c r="H148">
        <v>1.0496883611072622E-14</v>
      </c>
      <c r="I148">
        <v>1.930444481146009E-14</v>
      </c>
      <c r="J148">
        <v>0</v>
      </c>
      <c r="K148">
        <v>1.0496883611072622E-14</v>
      </c>
      <c r="L148">
        <v>1.2188800403257468E-14</v>
      </c>
      <c r="M148">
        <v>1.5826442844210513E-15</v>
      </c>
      <c r="N148" t="b">
        <v>1</v>
      </c>
    </row>
    <row r="149" spans="2:14" x14ac:dyDescent="0.2">
      <c r="B149">
        <v>136</v>
      </c>
      <c r="C149">
        <v>12237.322410466109</v>
      </c>
      <c r="D149">
        <v>12237.32241046596</v>
      </c>
      <c r="E149">
        <v>1.2188706490497767E-14</v>
      </c>
      <c r="F149">
        <v>6.427181488060509E-14</v>
      </c>
      <c r="G149">
        <v>0</v>
      </c>
      <c r="H149">
        <v>1.4732695827893785E-14</v>
      </c>
      <c r="I149">
        <v>1.8864348988766069E-14</v>
      </c>
      <c r="J149">
        <v>0</v>
      </c>
      <c r="K149">
        <v>1.4732695827893785E-14</v>
      </c>
      <c r="L149">
        <v>1.225162145600252E-14</v>
      </c>
      <c r="M149">
        <v>1.9078701267240604E-14</v>
      </c>
      <c r="N149" t="b">
        <v>1</v>
      </c>
    </row>
    <row r="150" spans="2:14" x14ac:dyDescent="0.2">
      <c r="B150">
        <v>137</v>
      </c>
      <c r="C150">
        <v>14205.609155391936</v>
      </c>
      <c r="D150">
        <v>14205.6091553919</v>
      </c>
      <c r="E150">
        <v>2.5609453049824877E-15</v>
      </c>
      <c r="F150">
        <v>0</v>
      </c>
      <c r="G150">
        <v>0</v>
      </c>
      <c r="H150">
        <v>4.6225103939486892E-15</v>
      </c>
      <c r="I150">
        <v>5.1330497205772057E-15</v>
      </c>
      <c r="J150">
        <v>0</v>
      </c>
      <c r="K150">
        <v>4.6225103939486892E-15</v>
      </c>
      <c r="L150">
        <v>1.2209681085900861E-14</v>
      </c>
      <c r="M150">
        <v>6.1712659846516151E-15</v>
      </c>
      <c r="N150" t="b">
        <v>1</v>
      </c>
    </row>
    <row r="151" spans="2:14" x14ac:dyDescent="0.2">
      <c r="B151">
        <v>138</v>
      </c>
      <c r="C151">
        <v>12390.647159429911</v>
      </c>
      <c r="D151">
        <v>12390.64715942988</v>
      </c>
      <c r="E151">
        <v>2.4956581736528428E-15</v>
      </c>
      <c r="F151">
        <v>3.6109804191945813E-14</v>
      </c>
      <c r="G151">
        <v>0</v>
      </c>
      <c r="H151">
        <v>1.3364982669043884E-15</v>
      </c>
      <c r="I151">
        <v>3.9877317360712276E-15</v>
      </c>
      <c r="J151">
        <v>0</v>
      </c>
      <c r="K151">
        <v>1.3364982669043884E-15</v>
      </c>
      <c r="L151">
        <v>1.2072968278207768E-14</v>
      </c>
      <c r="M151">
        <v>2.8012409943881614E-15</v>
      </c>
      <c r="N151" t="b">
        <v>1</v>
      </c>
    </row>
    <row r="152" spans="2:14" x14ac:dyDescent="0.2">
      <c r="B152">
        <v>139</v>
      </c>
      <c r="C152">
        <v>14534.409562191171</v>
      </c>
      <c r="D152">
        <v>14534.409562191029</v>
      </c>
      <c r="E152">
        <v>9.7617431839583125E-15</v>
      </c>
      <c r="F152">
        <v>1.2271964639659599E-14</v>
      </c>
      <c r="G152">
        <v>0</v>
      </c>
      <c r="H152">
        <v>9.0234191405465926E-15</v>
      </c>
      <c r="I152">
        <v>8.3347105500678215E-15</v>
      </c>
      <c r="J152">
        <v>0</v>
      </c>
      <c r="K152">
        <v>9.0234191405465926E-15</v>
      </c>
      <c r="L152">
        <v>1.2232625558964548E-14</v>
      </c>
      <c r="M152">
        <v>8.8256735283389033E-15</v>
      </c>
      <c r="N152" t="b">
        <v>1</v>
      </c>
    </row>
    <row r="153" spans="2:14" x14ac:dyDescent="0.2">
      <c r="B153">
        <v>140</v>
      </c>
      <c r="C153">
        <v>12553.10878729757</v>
      </c>
      <c r="D153">
        <v>12553.10878729766</v>
      </c>
      <c r="E153">
        <v>7.2451750174684618E-15</v>
      </c>
      <c r="F153">
        <v>7.8789070628338933E-14</v>
      </c>
      <c r="G153">
        <v>0</v>
      </c>
      <c r="H153">
        <v>6.7535680051625063E-15</v>
      </c>
      <c r="I153">
        <v>4.0397554227170658E-15</v>
      </c>
      <c r="J153">
        <v>0</v>
      </c>
      <c r="K153">
        <v>6.7535680051625063E-15</v>
      </c>
      <c r="L153">
        <v>0</v>
      </c>
      <c r="M153">
        <v>4.7948182750058096E-15</v>
      </c>
      <c r="N153" t="b">
        <v>1</v>
      </c>
    </row>
    <row r="154" spans="2:14" x14ac:dyDescent="0.2">
      <c r="B154">
        <v>141</v>
      </c>
      <c r="C154">
        <v>14886.27819000694</v>
      </c>
      <c r="D154">
        <v>14886.278190006869</v>
      </c>
      <c r="E154">
        <v>4.7655018825263313E-15</v>
      </c>
      <c r="F154">
        <v>1.1429884708132656E-14</v>
      </c>
      <c r="G154">
        <v>0</v>
      </c>
      <c r="H154">
        <v>6.4618026267172E-15</v>
      </c>
      <c r="I154">
        <v>9.7367405900505845E-15</v>
      </c>
      <c r="J154">
        <v>0</v>
      </c>
      <c r="K154">
        <v>6.4618026267172E-15</v>
      </c>
      <c r="L154">
        <v>1.2257878750582853E-14</v>
      </c>
      <c r="M154">
        <v>4.5646515082430903E-15</v>
      </c>
      <c r="N154" t="b">
        <v>1</v>
      </c>
    </row>
    <row r="155" spans="2:14" x14ac:dyDescent="0.2">
      <c r="B155">
        <v>142</v>
      </c>
      <c r="C155">
        <v>12725.420792144781</v>
      </c>
      <c r="D155">
        <v>12725.420792144871</v>
      </c>
      <c r="E155">
        <v>7.0041283686874467E-15</v>
      </c>
      <c r="F155">
        <v>6.2828793828671628E-14</v>
      </c>
      <c r="G155">
        <v>0</v>
      </c>
      <c r="H155">
        <v>6.3303975877246373E-15</v>
      </c>
      <c r="I155">
        <v>9.905325264252763E-15</v>
      </c>
      <c r="J155">
        <v>0</v>
      </c>
      <c r="K155">
        <v>6.3303975877246373E-15</v>
      </c>
      <c r="L155">
        <v>1.8900543902548053E-16</v>
      </c>
      <c r="M155">
        <v>5.1325047833239195E-15</v>
      </c>
      <c r="N155" t="b">
        <v>1</v>
      </c>
    </row>
    <row r="156" spans="2:14" x14ac:dyDescent="0.2">
      <c r="B156">
        <v>143</v>
      </c>
      <c r="C156">
        <v>15260.912319997195</v>
      </c>
      <c r="D156">
        <v>15260.91231999714</v>
      </c>
      <c r="E156">
        <v>3.5757811172842072E-15</v>
      </c>
      <c r="F156">
        <v>2.1419527111756055E-14</v>
      </c>
      <c r="G156">
        <v>0</v>
      </c>
      <c r="H156">
        <v>2.9471678001218144E-15</v>
      </c>
      <c r="I156">
        <v>0</v>
      </c>
      <c r="J156">
        <v>0</v>
      </c>
      <c r="K156">
        <v>2.9471678001218144E-15</v>
      </c>
      <c r="L156">
        <v>1.9196174722836216E-16</v>
      </c>
      <c r="M156">
        <v>3.0139490245672457E-15</v>
      </c>
      <c r="N156" t="b">
        <v>1</v>
      </c>
    </row>
    <row r="157" spans="2:14" x14ac:dyDescent="0.2">
      <c r="B157">
        <v>144</v>
      </c>
      <c r="C157">
        <v>12917.278197785425</v>
      </c>
      <c r="D157">
        <v>12917.278197785559</v>
      </c>
      <c r="E157">
        <v>1.0420555615614835E-14</v>
      </c>
      <c r="F157">
        <v>7.7952624930620023E-14</v>
      </c>
      <c r="G157">
        <v>0</v>
      </c>
      <c r="H157">
        <v>8.6249665284855378E-15</v>
      </c>
      <c r="I157">
        <v>1.9292635641174596E-14</v>
      </c>
      <c r="J157">
        <v>0</v>
      </c>
      <c r="K157">
        <v>8.6249665284855378E-15</v>
      </c>
      <c r="L157">
        <v>1.2299254842591468E-14</v>
      </c>
      <c r="M157">
        <v>1.0681840998568154E-14</v>
      </c>
      <c r="N157" t="b">
        <v>1</v>
      </c>
    </row>
    <row r="158" spans="2:14" x14ac:dyDescent="0.2">
      <c r="B158">
        <v>145</v>
      </c>
      <c r="C158">
        <v>15656.853472061364</v>
      </c>
      <c r="D158">
        <v>15656.85347206123</v>
      </c>
      <c r="E158">
        <v>8.5972073573140852E-15</v>
      </c>
      <c r="F158">
        <v>2.9453761806234804E-14</v>
      </c>
      <c r="G158">
        <v>0</v>
      </c>
      <c r="H158">
        <v>7.0445265290056037E-15</v>
      </c>
      <c r="I158">
        <v>1.3813820442684986E-14</v>
      </c>
      <c r="J158">
        <v>0</v>
      </c>
      <c r="K158">
        <v>7.0445265290056037E-15</v>
      </c>
      <c r="L158">
        <v>1.2508123368999397E-14</v>
      </c>
      <c r="M158">
        <v>7.0494460693083371E-15</v>
      </c>
      <c r="N158" t="b">
        <v>1</v>
      </c>
    </row>
    <row r="159" spans="2:14" x14ac:dyDescent="0.2">
      <c r="B159">
        <v>146</v>
      </c>
      <c r="C159">
        <v>13169.219343169067</v>
      </c>
      <c r="D159">
        <v>13169.219343169179</v>
      </c>
      <c r="E159">
        <v>8.5637075426449072E-15</v>
      </c>
      <c r="F159">
        <v>9.0999200344840443E-14</v>
      </c>
      <c r="G159">
        <v>0</v>
      </c>
      <c r="H159">
        <v>7.1941818813006756E-15</v>
      </c>
      <c r="I159">
        <v>3.7977137344779248E-15</v>
      </c>
      <c r="J159">
        <v>0</v>
      </c>
      <c r="K159">
        <v>7.1941818813006756E-15</v>
      </c>
      <c r="L159">
        <v>0</v>
      </c>
      <c r="M159">
        <v>3.4091303645064004E-15</v>
      </c>
      <c r="N159" t="b">
        <v>1</v>
      </c>
    </row>
    <row r="160" spans="2:14" x14ac:dyDescent="0.2">
      <c r="B160">
        <v>147</v>
      </c>
      <c r="C160">
        <v>16075.0816844156</v>
      </c>
      <c r="D160">
        <v>16075.08168441546</v>
      </c>
      <c r="E160">
        <v>8.7129998355665617E-15</v>
      </c>
      <c r="F160">
        <v>1.8329043458327354E-14</v>
      </c>
      <c r="G160">
        <v>0</v>
      </c>
      <c r="H160">
        <v>6.0942579360950069E-15</v>
      </c>
      <c r="I160">
        <v>1.4914279165277558E-15</v>
      </c>
      <c r="J160">
        <v>0</v>
      </c>
      <c r="K160">
        <v>6.0942579360950069E-15</v>
      </c>
      <c r="L160">
        <v>2.4503604664200461E-14</v>
      </c>
      <c r="M160">
        <v>5.1641088516692672E-15</v>
      </c>
      <c r="N160" t="b">
        <v>1</v>
      </c>
    </row>
    <row r="161" spans="2:14" x14ac:dyDescent="0.2">
      <c r="B161">
        <v>148</v>
      </c>
      <c r="C161">
        <v>13434.260697458507</v>
      </c>
      <c r="D161">
        <v>13434.26069745846</v>
      </c>
      <c r="E161">
        <v>3.5203816240620861E-15</v>
      </c>
      <c r="F161">
        <v>6.7949593872479487E-14</v>
      </c>
      <c r="G161">
        <v>0</v>
      </c>
      <c r="H161">
        <v>3.9794244780959701E-15</v>
      </c>
      <c r="I161">
        <v>1.4849678030847417E-14</v>
      </c>
      <c r="J161">
        <v>0</v>
      </c>
      <c r="K161">
        <v>3.9794244780959701E-15</v>
      </c>
      <c r="L161">
        <v>1.2141916717706478E-14</v>
      </c>
      <c r="M161">
        <v>3.5372677809459483E-15</v>
      </c>
      <c r="N161" t="b">
        <v>1</v>
      </c>
    </row>
    <row r="162" spans="2:14" x14ac:dyDescent="0.2">
      <c r="B162">
        <v>149</v>
      </c>
      <c r="C162">
        <v>16519.712578926014</v>
      </c>
      <c r="D162">
        <v>16519.712578925981</v>
      </c>
      <c r="E162">
        <v>1.9819841966012042E-15</v>
      </c>
      <c r="F162">
        <v>2.5403720566647434E-14</v>
      </c>
      <c r="G162">
        <v>0</v>
      </c>
      <c r="H162">
        <v>3.7040490362710664E-15</v>
      </c>
      <c r="I162">
        <v>4.5265113115448697E-15</v>
      </c>
      <c r="J162">
        <v>0</v>
      </c>
      <c r="K162">
        <v>3.7040490362710664E-15</v>
      </c>
      <c r="L162">
        <v>1.9348992281236074E-16</v>
      </c>
      <c r="M162">
        <v>3.7090174981078478E-15</v>
      </c>
      <c r="N162" t="b">
        <v>1</v>
      </c>
    </row>
    <row r="163" spans="2:14" x14ac:dyDescent="0.2">
      <c r="B163">
        <v>150</v>
      </c>
      <c r="C163">
        <v>13714.581055019349</v>
      </c>
      <c r="D163">
        <v>13714.58105501952</v>
      </c>
      <c r="E163">
        <v>1.246738804833781E-14</v>
      </c>
      <c r="F163">
        <v>3.1584365175198465E-14</v>
      </c>
      <c r="G163">
        <v>0</v>
      </c>
      <c r="H163">
        <v>1.227410614848685E-14</v>
      </c>
      <c r="I163">
        <v>3.7404427275037625E-15</v>
      </c>
      <c r="J163">
        <v>0</v>
      </c>
      <c r="K163">
        <v>1.227410614848685E-14</v>
      </c>
      <c r="L163">
        <v>1.2160294725807197E-14</v>
      </c>
      <c r="M163">
        <v>7.9182969393458149E-15</v>
      </c>
      <c r="N163" t="b">
        <v>1</v>
      </c>
    </row>
    <row r="164" spans="2:14" x14ac:dyDescent="0.2">
      <c r="B164">
        <v>151</v>
      </c>
      <c r="C164">
        <v>16993.964333714463</v>
      </c>
      <c r="D164">
        <v>16993.96433371447</v>
      </c>
      <c r="E164">
        <v>4.2814951657563454E-16</v>
      </c>
      <c r="F164">
        <v>1.235268813757185E-16</v>
      </c>
      <c r="G164">
        <v>0</v>
      </c>
      <c r="H164">
        <v>1.0796729688043824E-15</v>
      </c>
      <c r="I164">
        <v>1.5818286860605698E-15</v>
      </c>
      <c r="J164">
        <v>0</v>
      </c>
      <c r="K164">
        <v>1.0796729688043824E-15</v>
      </c>
      <c r="L164">
        <v>1.9408044273678583E-16</v>
      </c>
      <c r="M164">
        <v>1.4036407136542182E-15</v>
      </c>
      <c r="N164" t="b">
        <v>1</v>
      </c>
    </row>
    <row r="165" spans="2:14" x14ac:dyDescent="0.2">
      <c r="B165">
        <v>152</v>
      </c>
      <c r="C165">
        <v>14009.913163297904</v>
      </c>
      <c r="D165">
        <v>14009.913163297961</v>
      </c>
      <c r="E165">
        <v>4.0249122783747183E-15</v>
      </c>
      <c r="F165">
        <v>2.2975367418974303E-16</v>
      </c>
      <c r="G165">
        <v>0</v>
      </c>
      <c r="H165">
        <v>4.6817128836044818E-15</v>
      </c>
      <c r="I165">
        <v>5.3127593623700475E-15</v>
      </c>
      <c r="J165">
        <v>0</v>
      </c>
      <c r="K165">
        <v>4.6817128836044818E-15</v>
      </c>
      <c r="L165">
        <v>0</v>
      </c>
      <c r="M165">
        <v>3.167037892873647E-15</v>
      </c>
      <c r="N165" t="b">
        <v>1</v>
      </c>
    </row>
    <row r="166" spans="2:14" x14ac:dyDescent="0.2">
      <c r="B166">
        <v>153</v>
      </c>
      <c r="C166">
        <v>17499.65809026486</v>
      </c>
      <c r="D166">
        <v>17499.658090264809</v>
      </c>
      <c r="E166">
        <v>2.910439908972717E-15</v>
      </c>
      <c r="F166">
        <v>7.3394796349019319E-15</v>
      </c>
      <c r="G166">
        <v>0</v>
      </c>
      <c r="H166">
        <v>3.8431893379859333E-15</v>
      </c>
      <c r="I166">
        <v>8.3559378378832742E-15</v>
      </c>
      <c r="J166">
        <v>0</v>
      </c>
      <c r="K166">
        <v>3.8431893379859333E-15</v>
      </c>
      <c r="L166">
        <v>1.9471689500512006E-16</v>
      </c>
      <c r="M166">
        <v>1.2053629992451887E-15</v>
      </c>
      <c r="N166" t="b">
        <v>1</v>
      </c>
    </row>
    <row r="167" spans="2:14" x14ac:dyDescent="0.2">
      <c r="B167">
        <v>154</v>
      </c>
      <c r="C167">
        <v>14320.765465096385</v>
      </c>
      <c r="D167">
        <v>14320.76546509642</v>
      </c>
      <c r="E167">
        <v>2.4133345910597649E-15</v>
      </c>
      <c r="F167">
        <v>5.454797503334723E-14</v>
      </c>
      <c r="G167">
        <v>0</v>
      </c>
      <c r="H167">
        <v>4.4305083985467981E-15</v>
      </c>
      <c r="I167">
        <v>8.6420701471387711E-15</v>
      </c>
      <c r="J167">
        <v>0</v>
      </c>
      <c r="K167">
        <v>4.4305083985467981E-15</v>
      </c>
      <c r="L167">
        <v>1.9066377890591857E-16</v>
      </c>
      <c r="M167">
        <v>6.1701078691305017E-15</v>
      </c>
      <c r="N167" t="b">
        <v>1</v>
      </c>
    </row>
    <row r="168" spans="2:14" x14ac:dyDescent="0.2">
      <c r="B168">
        <v>155</v>
      </c>
      <c r="C168">
        <v>18037.74122287783</v>
      </c>
      <c r="D168">
        <v>18037.741222877859</v>
      </c>
      <c r="E168">
        <v>1.6134963960909007E-15</v>
      </c>
      <c r="F168">
        <v>1.3621986180036812E-14</v>
      </c>
      <c r="G168">
        <v>0</v>
      </c>
      <c r="H168">
        <v>1.1297376643789796E-15</v>
      </c>
      <c r="I168">
        <v>5.4576159640138052E-15</v>
      </c>
      <c r="J168">
        <v>0</v>
      </c>
      <c r="K168">
        <v>1.1297376643789796E-15</v>
      </c>
      <c r="L168">
        <v>0</v>
      </c>
      <c r="M168">
        <v>1.3086029176138203E-15</v>
      </c>
      <c r="N168" t="b">
        <v>1</v>
      </c>
    </row>
    <row r="169" spans="2:14" x14ac:dyDescent="0.2">
      <c r="B169">
        <v>156</v>
      </c>
      <c r="C169">
        <v>14645.806793824739</v>
      </c>
      <c r="D169">
        <v>14645.80679382479</v>
      </c>
      <c r="E169">
        <v>3.4775621456892807E-15</v>
      </c>
      <c r="F169">
        <v>1.2549798048640655E-14</v>
      </c>
      <c r="G169">
        <v>0</v>
      </c>
      <c r="H169">
        <v>3.7681098839327773E-15</v>
      </c>
      <c r="I169">
        <v>0</v>
      </c>
      <c r="J169">
        <v>0</v>
      </c>
      <c r="K169">
        <v>3.7681098839327773E-15</v>
      </c>
      <c r="L169">
        <v>0</v>
      </c>
      <c r="M169">
        <v>3.0028882212767758E-15</v>
      </c>
      <c r="N169" t="b">
        <v>1</v>
      </c>
    </row>
    <row r="170" spans="2:14" x14ac:dyDescent="0.2">
      <c r="B170">
        <v>157</v>
      </c>
      <c r="C170">
        <v>18608.155226400522</v>
      </c>
      <c r="D170">
        <v>18608.15522640077</v>
      </c>
      <c r="E170">
        <v>1.3294308644376338E-14</v>
      </c>
      <c r="F170">
        <v>3.1596864472076702E-14</v>
      </c>
      <c r="G170">
        <v>0</v>
      </c>
      <c r="H170">
        <v>1.3361881473024216E-14</v>
      </c>
      <c r="I170">
        <v>1.330736724515977E-14</v>
      </c>
      <c r="J170">
        <v>0</v>
      </c>
      <c r="K170">
        <v>1.3361881473024216E-14</v>
      </c>
      <c r="L170">
        <v>1.9613738880889968E-16</v>
      </c>
      <c r="M170">
        <v>2.3829061593077909E-15</v>
      </c>
      <c r="N170" t="b">
        <v>1</v>
      </c>
    </row>
    <row r="171" spans="2:14" x14ac:dyDescent="0.2">
      <c r="B171">
        <v>158</v>
      </c>
      <c r="C171">
        <v>14986.213331210351</v>
      </c>
      <c r="D171">
        <v>14986.213331210351</v>
      </c>
      <c r="E171">
        <v>0</v>
      </c>
      <c r="F171">
        <v>2.3579222671856857E-14</v>
      </c>
      <c r="G171">
        <v>0</v>
      </c>
      <c r="H171">
        <v>2.0432686471528428E-15</v>
      </c>
      <c r="I171">
        <v>3.2881783153874767E-15</v>
      </c>
      <c r="J171">
        <v>0</v>
      </c>
      <c r="K171">
        <v>2.0432686471528428E-15</v>
      </c>
      <c r="L171">
        <v>1.2252379879357757E-14</v>
      </c>
      <c r="M171">
        <v>7.4856062434013289E-15</v>
      </c>
      <c r="N171" t="b">
        <v>1</v>
      </c>
    </row>
    <row r="172" spans="2:14" x14ac:dyDescent="0.2">
      <c r="B172">
        <v>159</v>
      </c>
      <c r="C172">
        <v>19211.530650326615</v>
      </c>
      <c r="D172">
        <v>19211.53065032656</v>
      </c>
      <c r="E172">
        <v>2.8404650883685894E-15</v>
      </c>
      <c r="F172">
        <v>2.9322391110048804E-14</v>
      </c>
      <c r="G172">
        <v>0</v>
      </c>
      <c r="H172">
        <v>5.3060057489925185E-15</v>
      </c>
      <c r="I172">
        <v>1.2896875054020849E-14</v>
      </c>
      <c r="J172">
        <v>0</v>
      </c>
      <c r="K172">
        <v>5.3060057489925185E-15</v>
      </c>
      <c r="L172">
        <v>1.260313424520915E-14</v>
      </c>
      <c r="M172">
        <v>3.1053009062857127E-15</v>
      </c>
      <c r="N172" t="b">
        <v>1</v>
      </c>
    </row>
    <row r="173" spans="2:14" x14ac:dyDescent="0.2">
      <c r="B173">
        <v>160</v>
      </c>
      <c r="C173">
        <v>15346.311708957359</v>
      </c>
      <c r="D173">
        <v>15346.311708957321</v>
      </c>
      <c r="E173">
        <v>2.489117789270966E-15</v>
      </c>
      <c r="F173">
        <v>4.4514073047646924E-14</v>
      </c>
      <c r="G173">
        <v>0</v>
      </c>
      <c r="H173">
        <v>9.300261058900946E-16</v>
      </c>
      <c r="I173">
        <v>1.2819120088382E-14</v>
      </c>
      <c r="J173">
        <v>0</v>
      </c>
      <c r="K173">
        <v>9.300261058900946E-16</v>
      </c>
      <c r="L173">
        <v>0</v>
      </c>
      <c r="M173">
        <v>4.4378762178200611E-15</v>
      </c>
      <c r="N173" t="b">
        <v>1</v>
      </c>
    </row>
    <row r="174" spans="2:14" x14ac:dyDescent="0.2">
      <c r="B174">
        <v>161</v>
      </c>
      <c r="C174">
        <v>19850.448567424522</v>
      </c>
      <c r="D174">
        <v>19850.448567424351</v>
      </c>
      <c r="E174">
        <v>8.6136594522053298E-15</v>
      </c>
      <c r="F174">
        <v>1.6335357063658689E-14</v>
      </c>
      <c r="G174">
        <v>0</v>
      </c>
      <c r="H174">
        <v>9.0429027960833748E-15</v>
      </c>
      <c r="I174">
        <v>1.4603789997863936E-14</v>
      </c>
      <c r="J174">
        <v>0</v>
      </c>
      <c r="K174">
        <v>9.0429027960833748E-15</v>
      </c>
      <c r="L174">
        <v>0</v>
      </c>
      <c r="M174">
        <v>6.3676262330487561E-15</v>
      </c>
      <c r="N174" t="b">
        <v>1</v>
      </c>
    </row>
    <row r="175" spans="2:14" x14ac:dyDescent="0.2">
      <c r="B175">
        <v>162</v>
      </c>
      <c r="C175">
        <v>15727.568276625267</v>
      </c>
      <c r="D175">
        <v>15727.568276625419</v>
      </c>
      <c r="E175">
        <v>9.7151134371445487E-15</v>
      </c>
      <c r="F175">
        <v>0</v>
      </c>
      <c r="G175">
        <v>0</v>
      </c>
      <c r="H175">
        <v>1.126599726750989E-14</v>
      </c>
      <c r="I175">
        <v>2.1853736731899537E-14</v>
      </c>
      <c r="J175">
        <v>0</v>
      </c>
      <c r="K175">
        <v>1.126599726750989E-14</v>
      </c>
      <c r="L175">
        <v>1.9235418936864049E-16</v>
      </c>
      <c r="M175">
        <v>1.2589949299707288E-14</v>
      </c>
      <c r="N175" t="b">
        <v>1</v>
      </c>
    </row>
    <row r="176" spans="2:14" x14ac:dyDescent="0.2">
      <c r="B176">
        <v>163</v>
      </c>
      <c r="C176">
        <v>20523.548513271562</v>
      </c>
      <c r="D176">
        <v>20523.548513271449</v>
      </c>
      <c r="E176">
        <v>5.4950216307338958E-15</v>
      </c>
      <c r="F176">
        <v>2.0233494031596377E-14</v>
      </c>
      <c r="G176">
        <v>0</v>
      </c>
      <c r="H176">
        <v>3.9786969712469164E-15</v>
      </c>
      <c r="I176">
        <v>4.5212250288755786E-15</v>
      </c>
      <c r="J176">
        <v>0</v>
      </c>
      <c r="K176">
        <v>3.9786969712469164E-15</v>
      </c>
      <c r="L176">
        <v>0</v>
      </c>
      <c r="M176">
        <v>4.1247998492083106E-15</v>
      </c>
      <c r="N176" t="b">
        <v>1</v>
      </c>
    </row>
    <row r="177" spans="2:14" x14ac:dyDescent="0.2">
      <c r="B177">
        <v>164</v>
      </c>
      <c r="C177">
        <v>16132.434877148853</v>
      </c>
      <c r="D177">
        <v>16132.434877148809</v>
      </c>
      <c r="E177">
        <v>2.7060853502615297E-15</v>
      </c>
      <c r="F177">
        <v>2.8945773773329215E-14</v>
      </c>
      <c r="G177">
        <v>0</v>
      </c>
      <c r="H177">
        <v>2.1439385201673389E-15</v>
      </c>
      <c r="I177">
        <v>4.5596659057079152E-15</v>
      </c>
      <c r="J177">
        <v>0</v>
      </c>
      <c r="K177">
        <v>2.1439385201673389E-15</v>
      </c>
      <c r="L177">
        <v>0</v>
      </c>
      <c r="M177">
        <v>2.678663638333498E-15</v>
      </c>
      <c r="N177" t="b">
        <v>1</v>
      </c>
    </row>
    <row r="178" spans="2:14" x14ac:dyDescent="0.2">
      <c r="B178">
        <v>165</v>
      </c>
      <c r="C178">
        <v>21232.416724109913</v>
      </c>
      <c r="D178">
        <v>21232.416724109771</v>
      </c>
      <c r="E178">
        <v>6.6822903544215156E-15</v>
      </c>
      <c r="F178">
        <v>1.8666022433719327E-14</v>
      </c>
      <c r="G178">
        <v>0</v>
      </c>
      <c r="H178">
        <v>4.8120436584726999E-15</v>
      </c>
      <c r="I178">
        <v>1.1301249500817178E-14</v>
      </c>
      <c r="J178">
        <v>0</v>
      </c>
      <c r="K178">
        <v>4.8120436584726999E-15</v>
      </c>
      <c r="L178">
        <v>1.2774599158721939E-14</v>
      </c>
      <c r="M178">
        <v>3.9655005100620922E-15</v>
      </c>
      <c r="N178" t="b">
        <v>1</v>
      </c>
    </row>
    <row r="179" spans="2:14" x14ac:dyDescent="0.2">
      <c r="B179">
        <v>166</v>
      </c>
      <c r="C179">
        <v>16558.063145352215</v>
      </c>
      <c r="D179">
        <v>16558.063145352291</v>
      </c>
      <c r="E179">
        <v>4.613918565129408E-15</v>
      </c>
      <c r="F179">
        <v>8.8560860890178988E-15</v>
      </c>
      <c r="G179">
        <v>0</v>
      </c>
      <c r="H179">
        <v>6.8748378269280091E-15</v>
      </c>
      <c r="I179">
        <v>2.9583014715018812E-15</v>
      </c>
      <c r="J179">
        <v>0</v>
      </c>
      <c r="K179">
        <v>6.8748378269280091E-15</v>
      </c>
      <c r="L179">
        <v>1.2379018408093951E-14</v>
      </c>
      <c r="M179">
        <v>4.0590106173185572E-15</v>
      </c>
      <c r="N179" t="b">
        <v>1</v>
      </c>
    </row>
    <row r="180" spans="2:14" x14ac:dyDescent="0.2">
      <c r="B180">
        <v>167</v>
      </c>
      <c r="C180">
        <v>21980.117678882722</v>
      </c>
      <c r="D180">
        <v>21980.117678882791</v>
      </c>
      <c r="E180">
        <v>3.1447328146541512E-15</v>
      </c>
      <c r="F180">
        <v>8.7546270764648009E-15</v>
      </c>
      <c r="G180">
        <v>0</v>
      </c>
      <c r="H180">
        <v>1.3030443790298429E-15</v>
      </c>
      <c r="I180">
        <v>8.6193881299365158E-15</v>
      </c>
      <c r="J180">
        <v>0</v>
      </c>
      <c r="K180">
        <v>1.3030443790298429E-15</v>
      </c>
      <c r="L180">
        <v>1.3039425519961208E-14</v>
      </c>
      <c r="M180">
        <v>2.886993348908976E-15</v>
      </c>
      <c r="N180" t="b">
        <v>1</v>
      </c>
    </row>
    <row r="181" spans="2:14" x14ac:dyDescent="0.2">
      <c r="B181">
        <v>168</v>
      </c>
      <c r="C181">
        <v>17003.460425705172</v>
      </c>
      <c r="D181">
        <v>17003.460425705151</v>
      </c>
      <c r="E181">
        <v>1.2837312109452599E-15</v>
      </c>
      <c r="F181">
        <v>1.3111289324833542E-16</v>
      </c>
      <c r="G181">
        <v>0</v>
      </c>
      <c r="H181">
        <v>1.1946312527504146E-16</v>
      </c>
      <c r="I181">
        <v>2.5180421979846783E-15</v>
      </c>
      <c r="J181">
        <v>0</v>
      </c>
      <c r="K181">
        <v>1.1946312527504146E-16</v>
      </c>
      <c r="L181">
        <v>1.2417290787231325E-14</v>
      </c>
      <c r="M181">
        <v>4.8776775055006605E-15</v>
      </c>
      <c r="N181" t="b">
        <v>1</v>
      </c>
    </row>
    <row r="182" spans="2:14" x14ac:dyDescent="0.2">
      <c r="B182">
        <v>169</v>
      </c>
      <c r="C182">
        <v>22767.803320903142</v>
      </c>
      <c r="D182">
        <v>22767.8033209032</v>
      </c>
      <c r="E182">
        <v>2.5565778170626916E-15</v>
      </c>
      <c r="F182">
        <v>1.2232186884889598E-14</v>
      </c>
      <c r="G182">
        <v>0</v>
      </c>
      <c r="H182">
        <v>1.2596594844636966E-15</v>
      </c>
      <c r="I182">
        <v>4.239843784971347E-15</v>
      </c>
      <c r="J182">
        <v>0</v>
      </c>
      <c r="K182">
        <v>1.2596594844636966E-15</v>
      </c>
      <c r="L182">
        <v>2.016687324062596E-16</v>
      </c>
      <c r="M182">
        <v>3.3278996944199919E-15</v>
      </c>
      <c r="N182" t="b">
        <v>1</v>
      </c>
    </row>
    <row r="183" spans="2:14" x14ac:dyDescent="0.2">
      <c r="B183">
        <v>170</v>
      </c>
      <c r="C183">
        <v>17469.360102654398</v>
      </c>
      <c r="D183">
        <v>17469.360102654529</v>
      </c>
      <c r="E183">
        <v>7.4969681937806502E-15</v>
      </c>
      <c r="F183">
        <v>3.9290846725747131E-14</v>
      </c>
      <c r="G183">
        <v>0</v>
      </c>
      <c r="H183">
        <v>5.4617795004841715E-15</v>
      </c>
      <c r="I183">
        <v>5.9464028812903035E-15</v>
      </c>
      <c r="J183">
        <v>0</v>
      </c>
      <c r="K183">
        <v>5.4617795004841715E-15</v>
      </c>
      <c r="L183">
        <v>1.2652973965510794E-14</v>
      </c>
      <c r="M183">
        <v>3.8102354567373101E-15</v>
      </c>
      <c r="N183" t="b">
        <v>1</v>
      </c>
    </row>
    <row r="184" spans="2:14" x14ac:dyDescent="0.2">
      <c r="B184">
        <v>171</v>
      </c>
      <c r="C184">
        <v>23592.001299042557</v>
      </c>
      <c r="D184">
        <v>23592.001299042429</v>
      </c>
      <c r="E184">
        <v>5.3971367937055043E-15</v>
      </c>
      <c r="F184">
        <v>3.8012719584100532E-15</v>
      </c>
      <c r="G184">
        <v>0</v>
      </c>
      <c r="H184">
        <v>4.3484705537620312E-15</v>
      </c>
      <c r="I184">
        <v>1.0392641286528425E-14</v>
      </c>
      <c r="J184">
        <v>0</v>
      </c>
      <c r="K184">
        <v>4.3484705537620312E-15</v>
      </c>
      <c r="L184">
        <v>2.5754536646773893E-14</v>
      </c>
      <c r="M184">
        <v>4.2608587731284944E-15</v>
      </c>
      <c r="N184" t="b">
        <v>1</v>
      </c>
    </row>
    <row r="185" spans="2:14" x14ac:dyDescent="0.2">
      <c r="B185">
        <v>172</v>
      </c>
      <c r="C185">
        <v>17952.115543201035</v>
      </c>
      <c r="D185">
        <v>17952.115543201311</v>
      </c>
      <c r="E185">
        <v>1.5401326304613666E-14</v>
      </c>
      <c r="F185">
        <v>3.649237988557917E-14</v>
      </c>
      <c r="G185">
        <v>0</v>
      </c>
      <c r="H185">
        <v>1.5372539746273393E-14</v>
      </c>
      <c r="I185">
        <v>1.9039771971752043E-14</v>
      </c>
      <c r="J185">
        <v>0</v>
      </c>
      <c r="K185">
        <v>1.5372539746273393E-14</v>
      </c>
      <c r="L185">
        <v>0</v>
      </c>
      <c r="M185">
        <v>1.047773043387131E-14</v>
      </c>
      <c r="N185" t="b">
        <v>1</v>
      </c>
    </row>
    <row r="186" spans="2:14" x14ac:dyDescent="0.2">
      <c r="B186">
        <v>173</v>
      </c>
      <c r="C186">
        <v>24455.897126078853</v>
      </c>
      <c r="D186">
        <v>24455.8971260789</v>
      </c>
      <c r="E186">
        <v>1.9338372355909168E-15</v>
      </c>
      <c r="F186">
        <v>1.4193535025087151E-14</v>
      </c>
      <c r="G186">
        <v>0</v>
      </c>
      <c r="H186">
        <v>1.5127611484872389E-15</v>
      </c>
      <c r="I186">
        <v>7.8275224771470208E-15</v>
      </c>
      <c r="J186">
        <v>0</v>
      </c>
      <c r="K186">
        <v>1.5127611484872389E-15</v>
      </c>
      <c r="L186">
        <v>2.590470373707031E-14</v>
      </c>
      <c r="M186">
        <v>4.0911661131544612E-15</v>
      </c>
      <c r="N186" t="b">
        <v>1</v>
      </c>
    </row>
    <row r="187" spans="2:14" x14ac:dyDescent="0.2">
      <c r="B187">
        <v>174</v>
      </c>
      <c r="C187">
        <v>18460.203150771285</v>
      </c>
      <c r="D187">
        <v>18460.203150771398</v>
      </c>
      <c r="E187">
        <v>6.1092146223282737E-15</v>
      </c>
      <c r="F187">
        <v>2.7420225037289488E-14</v>
      </c>
      <c r="G187">
        <v>0</v>
      </c>
      <c r="H187">
        <v>5.2741267321194825E-15</v>
      </c>
      <c r="I187">
        <v>3.3035055438462764E-16</v>
      </c>
      <c r="J187">
        <v>0</v>
      </c>
      <c r="K187">
        <v>5.2741267321194825E-15</v>
      </c>
      <c r="L187">
        <v>0</v>
      </c>
      <c r="M187">
        <v>3.2863016360388512E-15</v>
      </c>
      <c r="N187" t="b">
        <v>1</v>
      </c>
    </row>
    <row r="188" spans="2:14" x14ac:dyDescent="0.2">
      <c r="B188">
        <v>175</v>
      </c>
      <c r="C188">
        <v>25363.407416247912</v>
      </c>
      <c r="D188">
        <v>25363.407416247759</v>
      </c>
      <c r="E188">
        <v>6.0242343384813367E-15</v>
      </c>
      <c r="F188">
        <v>1.3265074159554317E-14</v>
      </c>
      <c r="G188">
        <v>0</v>
      </c>
      <c r="H188">
        <v>7.9561718141437346E-15</v>
      </c>
      <c r="I188">
        <v>0</v>
      </c>
      <c r="J188">
        <v>0</v>
      </c>
      <c r="K188">
        <v>7.9561718141437346E-15</v>
      </c>
      <c r="L188">
        <v>2.6062721956339017E-14</v>
      </c>
      <c r="M188">
        <v>1.0212719864270674E-14</v>
      </c>
      <c r="N188" t="b">
        <v>1</v>
      </c>
    </row>
    <row r="189" spans="2:14" x14ac:dyDescent="0.2">
      <c r="B189">
        <v>176</v>
      </c>
      <c r="C189">
        <v>18997.237428353277</v>
      </c>
      <c r="D189">
        <v>18997.23742835327</v>
      </c>
      <c r="E189">
        <v>3.8300082533706189E-16</v>
      </c>
      <c r="F189">
        <v>6.423742081385617E-15</v>
      </c>
      <c r="G189">
        <v>0</v>
      </c>
      <c r="H189">
        <v>0</v>
      </c>
      <c r="I189">
        <v>1.0587117489080436E-14</v>
      </c>
      <c r="J189">
        <v>0</v>
      </c>
      <c r="K189">
        <v>0</v>
      </c>
      <c r="L189">
        <v>1.9685541112644754E-16</v>
      </c>
      <c r="M189">
        <v>2.3509050904024231E-15</v>
      </c>
      <c r="N189" t="b">
        <v>1</v>
      </c>
    </row>
    <row r="190" spans="2:14" x14ac:dyDescent="0.2">
      <c r="B190">
        <v>177</v>
      </c>
      <c r="C190">
        <v>26318.659237420856</v>
      </c>
      <c r="D190">
        <v>26318.659237420721</v>
      </c>
      <c r="E190">
        <v>5.1144404678110398E-15</v>
      </c>
      <c r="F190">
        <v>1.5511406934336838E-14</v>
      </c>
      <c r="G190">
        <v>0</v>
      </c>
      <c r="H190">
        <v>8.9368635117245612E-15</v>
      </c>
      <c r="I190">
        <v>5.9419539937644737E-15</v>
      </c>
      <c r="J190">
        <v>0</v>
      </c>
      <c r="K190">
        <v>8.9368635117245612E-15</v>
      </c>
      <c r="L190">
        <v>2.0652806096395751E-16</v>
      </c>
      <c r="M190">
        <v>6.9759398458207636E-15</v>
      </c>
      <c r="N190" t="b">
        <v>1</v>
      </c>
    </row>
    <row r="191" spans="2:14" x14ac:dyDescent="0.2">
      <c r="B191">
        <v>178</v>
      </c>
      <c r="C191">
        <v>19566.229500305955</v>
      </c>
      <c r="D191">
        <v>19566.229500305879</v>
      </c>
      <c r="E191">
        <v>3.9045619365617507E-15</v>
      </c>
      <c r="F191">
        <v>0</v>
      </c>
      <c r="G191">
        <v>0</v>
      </c>
      <c r="H191">
        <v>3.1082218517096556E-15</v>
      </c>
      <c r="I191">
        <v>2.1797483902806245E-15</v>
      </c>
      <c r="J191">
        <v>0</v>
      </c>
      <c r="K191">
        <v>3.1082218517096556E-15</v>
      </c>
      <c r="L191">
        <v>1.2652214415937318E-14</v>
      </c>
      <c r="M191">
        <v>4.2803789518800422E-15</v>
      </c>
      <c r="N191" t="b">
        <v>1</v>
      </c>
    </row>
    <row r="192" spans="2:14" x14ac:dyDescent="0.2">
      <c r="B192">
        <v>179</v>
      </c>
      <c r="C192">
        <v>27328.386186400669</v>
      </c>
      <c r="D192">
        <v>27328.386186400709</v>
      </c>
      <c r="E192">
        <v>1.4643296755635973E-15</v>
      </c>
      <c r="F192">
        <v>1.1435059579511422E-14</v>
      </c>
      <c r="G192">
        <v>0</v>
      </c>
      <c r="H192">
        <v>1.5130979273523657E-16</v>
      </c>
      <c r="I192">
        <v>2.0306909478697435E-15</v>
      </c>
      <c r="J192">
        <v>0</v>
      </c>
      <c r="K192">
        <v>1.5130979273523657E-16</v>
      </c>
      <c r="L192">
        <v>0</v>
      </c>
      <c r="M192">
        <v>4.3429162302370108E-15</v>
      </c>
      <c r="N192" t="b">
        <v>1</v>
      </c>
    </row>
    <row r="193" spans="2:14" x14ac:dyDescent="0.2">
      <c r="B193">
        <v>180</v>
      </c>
      <c r="C193">
        <v>20176.931105238164</v>
      </c>
      <c r="D193">
        <v>20176.931105238</v>
      </c>
      <c r="E193">
        <v>8.1136742483413481E-15</v>
      </c>
      <c r="F193">
        <v>5.6239996916312822E-14</v>
      </c>
      <c r="G193">
        <v>0</v>
      </c>
      <c r="H193">
        <v>4.6209358953903982E-15</v>
      </c>
      <c r="I193">
        <v>9.5147723918824471E-15</v>
      </c>
      <c r="J193">
        <v>0</v>
      </c>
      <c r="K193">
        <v>4.6209358953903982E-15</v>
      </c>
      <c r="L193">
        <v>1.9858717772019228E-16</v>
      </c>
      <c r="M193">
        <v>1.9393281420732056E-15</v>
      </c>
      <c r="N193" t="b">
        <v>1</v>
      </c>
    </row>
    <row r="194" spans="2:14" x14ac:dyDescent="0.2">
      <c r="B194">
        <v>181</v>
      </c>
      <c r="C194">
        <v>28398.306121340964</v>
      </c>
      <c r="D194">
        <v>28398.30612134096</v>
      </c>
      <c r="E194">
        <v>1.2810548599438538E-16</v>
      </c>
      <c r="F194">
        <v>0</v>
      </c>
      <c r="G194">
        <v>0</v>
      </c>
      <c r="H194">
        <v>1.4593414672523979E-16</v>
      </c>
      <c r="I194">
        <v>3.7138806568492787E-15</v>
      </c>
      <c r="J194">
        <v>0</v>
      </c>
      <c r="K194">
        <v>1.4593414672523979E-16</v>
      </c>
      <c r="L194">
        <v>2.09362210733492E-16</v>
      </c>
      <c r="M194">
        <v>2.9513699352441383E-15</v>
      </c>
      <c r="N194" t="b">
        <v>1</v>
      </c>
    </row>
    <row r="195" spans="2:14" x14ac:dyDescent="0.2">
      <c r="B195">
        <v>182</v>
      </c>
      <c r="C195">
        <v>20836.743769537916</v>
      </c>
      <c r="D195">
        <v>20836.743769537981</v>
      </c>
      <c r="E195">
        <v>3.1426992265165631E-15</v>
      </c>
      <c r="F195">
        <v>4.2240962196694883E-14</v>
      </c>
      <c r="G195">
        <v>0</v>
      </c>
      <c r="H195">
        <v>0</v>
      </c>
      <c r="I195">
        <v>7.3199404750188312E-15</v>
      </c>
      <c r="J195">
        <v>0</v>
      </c>
      <c r="K195">
        <v>0</v>
      </c>
      <c r="L195">
        <v>1.9955319220041528E-16</v>
      </c>
      <c r="M195">
        <v>3.1205062142079724E-15</v>
      </c>
      <c r="N195" t="b">
        <v>1</v>
      </c>
    </row>
    <row r="196" spans="2:14" x14ac:dyDescent="0.2">
      <c r="B196">
        <v>183</v>
      </c>
      <c r="C196">
        <v>29533.98136299715</v>
      </c>
      <c r="D196">
        <v>29533.98136299722</v>
      </c>
      <c r="E196">
        <v>2.3404090523787011E-15</v>
      </c>
      <c r="F196">
        <v>2.0215837273792037E-14</v>
      </c>
      <c r="G196">
        <v>0</v>
      </c>
      <c r="H196">
        <v>1.1252733229457548E-15</v>
      </c>
      <c r="I196">
        <v>4.8645728117323586E-15</v>
      </c>
      <c r="J196">
        <v>0</v>
      </c>
      <c r="K196">
        <v>1.1252733229457548E-15</v>
      </c>
      <c r="L196">
        <v>2.1089728821842229E-16</v>
      </c>
      <c r="M196">
        <v>3.9955434593502591E-15</v>
      </c>
      <c r="N196" t="b">
        <v>1</v>
      </c>
    </row>
    <row r="197" spans="2:14" x14ac:dyDescent="0.2">
      <c r="B197">
        <v>184</v>
      </c>
      <c r="C197">
        <v>21547.522551161186</v>
      </c>
      <c r="D197">
        <v>21547.522551161201</v>
      </c>
      <c r="E197">
        <v>6.7534052668076435E-16</v>
      </c>
      <c r="F197">
        <v>1.9574952842152193E-14</v>
      </c>
      <c r="G197">
        <v>0</v>
      </c>
      <c r="H197">
        <v>0</v>
      </c>
      <c r="I197">
        <v>6.6650126144690163E-15</v>
      </c>
      <c r="J197">
        <v>0</v>
      </c>
      <c r="K197">
        <v>0</v>
      </c>
      <c r="L197">
        <v>1.2838219806246345E-14</v>
      </c>
      <c r="M197">
        <v>3.8504312271109148E-15</v>
      </c>
      <c r="N197" t="b">
        <v>1</v>
      </c>
    </row>
    <row r="198" spans="2:14" x14ac:dyDescent="0.2">
      <c r="B198">
        <v>185</v>
      </c>
      <c r="C198">
        <v>30737.327878766315</v>
      </c>
      <c r="D198">
        <v>30737.327878766329</v>
      </c>
      <c r="E198">
        <v>4.7342811599506247E-16</v>
      </c>
      <c r="F198">
        <v>1.4309499804573761E-14</v>
      </c>
      <c r="G198">
        <v>0</v>
      </c>
      <c r="H198">
        <v>2.3036042502563433E-15</v>
      </c>
      <c r="I198">
        <v>1.0032581644384803E-14</v>
      </c>
      <c r="J198">
        <v>0</v>
      </c>
      <c r="K198">
        <v>2.3036042502563433E-15</v>
      </c>
      <c r="L198">
        <v>2.1251717253302494E-16</v>
      </c>
      <c r="M198">
        <v>6.3821543486421351E-15</v>
      </c>
      <c r="N198" t="b">
        <v>1</v>
      </c>
    </row>
    <row r="199" spans="2:14" x14ac:dyDescent="0.2">
      <c r="B199">
        <v>186</v>
      </c>
      <c r="C199">
        <v>22310.387995010602</v>
      </c>
      <c r="D199">
        <v>22310.38799501046</v>
      </c>
      <c r="E199">
        <v>6.3594220552465245E-15</v>
      </c>
      <c r="F199">
        <v>1.8396195939060359E-14</v>
      </c>
      <c r="G199">
        <v>0</v>
      </c>
      <c r="H199">
        <v>5.6361604024070288E-15</v>
      </c>
      <c r="I199">
        <v>1.3726977706477043E-16</v>
      </c>
      <c r="J199">
        <v>0</v>
      </c>
      <c r="K199">
        <v>5.6361604024070288E-15</v>
      </c>
      <c r="L199">
        <v>2.0172354219155823E-16</v>
      </c>
      <c r="M199">
        <v>1.8531178986943583E-15</v>
      </c>
      <c r="N199" t="b">
        <v>1</v>
      </c>
    </row>
    <row r="200" spans="2:14" x14ac:dyDescent="0.2">
      <c r="B200">
        <v>187</v>
      </c>
      <c r="C200">
        <v>32024.508914547227</v>
      </c>
      <c r="D200">
        <v>32024.508914547121</v>
      </c>
      <c r="E200">
        <v>3.2943951049233954E-15</v>
      </c>
      <c r="F200">
        <v>8.793344399326597E-15</v>
      </c>
      <c r="G200">
        <v>0</v>
      </c>
      <c r="H200">
        <v>1.9561953135119651E-15</v>
      </c>
      <c r="I200">
        <v>1.7837625496139314E-15</v>
      </c>
      <c r="J200">
        <v>0</v>
      </c>
      <c r="K200">
        <v>1.9561953135119651E-15</v>
      </c>
      <c r="L200">
        <v>0</v>
      </c>
      <c r="M200">
        <v>4.8908617085850254E-15</v>
      </c>
      <c r="N200" t="b">
        <v>1</v>
      </c>
    </row>
    <row r="201" spans="2:14" x14ac:dyDescent="0.2">
      <c r="B201">
        <v>188</v>
      </c>
      <c r="C201">
        <v>23131.666560036341</v>
      </c>
      <c r="D201">
        <v>23131.666560035948</v>
      </c>
      <c r="E201">
        <v>1.6985447639328864E-14</v>
      </c>
      <c r="F201">
        <v>2.5694929745294564E-14</v>
      </c>
      <c r="G201">
        <v>0</v>
      </c>
      <c r="H201">
        <v>1.5617767404348724E-14</v>
      </c>
      <c r="I201">
        <v>1.5005934369689696E-14</v>
      </c>
      <c r="J201">
        <v>0</v>
      </c>
      <c r="K201">
        <v>1.5617767404348724E-14</v>
      </c>
      <c r="L201">
        <v>2.5975657034533405E-14</v>
      </c>
      <c r="M201">
        <v>9.7972396133610901E-15</v>
      </c>
      <c r="N201" t="b">
        <v>1</v>
      </c>
    </row>
    <row r="202" spans="2:14" x14ac:dyDescent="0.2">
      <c r="B202">
        <v>189</v>
      </c>
      <c r="C202">
        <v>33408.453744695471</v>
      </c>
      <c r="D202">
        <v>33408.453744695442</v>
      </c>
      <c r="E202">
        <v>8.7115167553526112E-16</v>
      </c>
      <c r="F202">
        <v>1.2408776506077442E-14</v>
      </c>
      <c r="G202">
        <v>0</v>
      </c>
      <c r="H202">
        <v>4.011888746012518E-15</v>
      </c>
      <c r="I202">
        <v>6.3306026060482576E-15</v>
      </c>
      <c r="J202">
        <v>0</v>
      </c>
      <c r="K202">
        <v>4.011888746012518E-15</v>
      </c>
      <c r="L202">
        <v>2.1602590180161348E-16</v>
      </c>
      <c r="M202">
        <v>4.6810795928526047E-15</v>
      </c>
      <c r="N202" t="b">
        <v>1</v>
      </c>
    </row>
    <row r="203" spans="2:14" x14ac:dyDescent="0.2">
      <c r="B203">
        <v>190</v>
      </c>
      <c r="C203">
        <v>24019.414066060392</v>
      </c>
      <c r="D203">
        <v>24019.414066060181</v>
      </c>
      <c r="E203">
        <v>8.7846760221128651E-15</v>
      </c>
      <c r="F203">
        <v>3.1733759972167434E-14</v>
      </c>
      <c r="G203">
        <v>0</v>
      </c>
      <c r="H203">
        <v>8.2886073717420306E-15</v>
      </c>
      <c r="I203">
        <v>1.2454316178508798E-14</v>
      </c>
      <c r="J203">
        <v>0</v>
      </c>
      <c r="K203">
        <v>8.2886073717420306E-15</v>
      </c>
      <c r="L203">
        <v>2.6142226817443273E-14</v>
      </c>
      <c r="M203">
        <v>5.1297750017891772E-15</v>
      </c>
      <c r="N203" t="b">
        <v>1</v>
      </c>
    </row>
    <row r="204" spans="2:14" x14ac:dyDescent="0.2">
      <c r="B204">
        <v>191</v>
      </c>
      <c r="C204">
        <v>34890.000225776697</v>
      </c>
      <c r="D204">
        <v>34890.000225776697</v>
      </c>
      <c r="E204">
        <v>0</v>
      </c>
      <c r="F204">
        <v>3.6632465836198536E-16</v>
      </c>
      <c r="G204">
        <v>0</v>
      </c>
      <c r="H204">
        <v>1.2043397870142876E-16</v>
      </c>
      <c r="I204">
        <v>4.2702750719736682E-15</v>
      </c>
      <c r="J204">
        <v>0</v>
      </c>
      <c r="K204">
        <v>1.2043397870142876E-16</v>
      </c>
      <c r="L204">
        <v>2.1793262488696192E-16</v>
      </c>
      <c r="M204">
        <v>3.3564764547924037E-15</v>
      </c>
      <c r="N204" t="b">
        <v>1</v>
      </c>
    </row>
    <row r="205" spans="2:14" x14ac:dyDescent="0.2">
      <c r="B205">
        <v>192</v>
      </c>
      <c r="C205">
        <v>24975.259319054458</v>
      </c>
      <c r="D205">
        <v>24975.259319054188</v>
      </c>
      <c r="E205">
        <v>1.0779084544655761E-14</v>
      </c>
      <c r="F205">
        <v>1.4789275389994152E-14</v>
      </c>
      <c r="G205">
        <v>0</v>
      </c>
      <c r="H205">
        <v>9.1217421142871042E-15</v>
      </c>
      <c r="I205">
        <v>5.5833009554129352E-15</v>
      </c>
      <c r="J205">
        <v>0</v>
      </c>
      <c r="K205">
        <v>9.1217421142871042E-15</v>
      </c>
      <c r="L205">
        <v>2.6321183448562845E-14</v>
      </c>
      <c r="M205">
        <v>8.1944876264974757E-15</v>
      </c>
      <c r="N205" t="b">
        <v>1</v>
      </c>
    </row>
    <row r="206" spans="2:14" x14ac:dyDescent="0.2">
      <c r="B206">
        <v>193</v>
      </c>
      <c r="C206">
        <v>36465.423103879635</v>
      </c>
      <c r="D206">
        <v>36465.423103879417</v>
      </c>
      <c r="E206">
        <v>5.9859096603291825E-15</v>
      </c>
      <c r="F206">
        <v>1.471455569425362E-14</v>
      </c>
      <c r="G206">
        <v>0</v>
      </c>
      <c r="H206">
        <v>3.8162672104885271E-15</v>
      </c>
      <c r="I206">
        <v>7.008122452336047E-15</v>
      </c>
      <c r="J206">
        <v>0</v>
      </c>
      <c r="K206">
        <v>3.8162672104885271E-15</v>
      </c>
      <c r="L206">
        <v>0</v>
      </c>
      <c r="M206">
        <v>8.6825937626340435E-15</v>
      </c>
      <c r="N206" t="b">
        <v>1</v>
      </c>
    </row>
    <row r="207" spans="2:14" x14ac:dyDescent="0.2">
      <c r="B207">
        <v>194</v>
      </c>
      <c r="C207">
        <v>26001.79685007087</v>
      </c>
      <c r="D207">
        <v>26001.796850070648</v>
      </c>
      <c r="E207">
        <v>8.5346681428284259E-15</v>
      </c>
      <c r="F207">
        <v>0</v>
      </c>
      <c r="G207">
        <v>0</v>
      </c>
      <c r="H207">
        <v>1.0029332246243444E-14</v>
      </c>
      <c r="I207">
        <v>3.5953079637967213E-15</v>
      </c>
      <c r="J207">
        <v>0</v>
      </c>
      <c r="K207">
        <v>1.0029332246243444E-14</v>
      </c>
      <c r="L207">
        <v>2.0713197594179366E-16</v>
      </c>
      <c r="M207">
        <v>4.9020339846739375E-15</v>
      </c>
      <c r="N207" t="b">
        <v>1</v>
      </c>
    </row>
    <row r="208" spans="2:14" x14ac:dyDescent="0.2">
      <c r="B208">
        <v>195</v>
      </c>
      <c r="C208">
        <v>38132.685225471403</v>
      </c>
      <c r="D208">
        <v>38132.68522547125</v>
      </c>
      <c r="E208">
        <v>4.0069328712206803E-15</v>
      </c>
      <c r="F208">
        <v>2.1306922321500587E-16</v>
      </c>
      <c r="G208">
        <v>0</v>
      </c>
      <c r="H208">
        <v>5.5509938841512212E-15</v>
      </c>
      <c r="I208">
        <v>1.2698427438502295E-14</v>
      </c>
      <c r="J208">
        <v>0</v>
      </c>
      <c r="K208">
        <v>5.5509938841512212E-15</v>
      </c>
      <c r="L208">
        <v>2.2205102941678418E-16</v>
      </c>
      <c r="M208">
        <v>8.1606740905813102E-15</v>
      </c>
      <c r="N208" t="b">
        <v>1</v>
      </c>
    </row>
    <row r="209" spans="2:14" x14ac:dyDescent="0.2">
      <c r="B209">
        <v>196</v>
      </c>
      <c r="C209">
        <v>27097.396539477362</v>
      </c>
      <c r="D209">
        <v>27097.396539477249</v>
      </c>
      <c r="E209">
        <v>4.161925403259377E-15</v>
      </c>
      <c r="F209">
        <v>6.353912823876473E-15</v>
      </c>
      <c r="G209">
        <v>0</v>
      </c>
      <c r="H209">
        <v>7.3827098885583492E-15</v>
      </c>
      <c r="I209">
        <v>1.2844580968617928E-14</v>
      </c>
      <c r="J209">
        <v>0</v>
      </c>
      <c r="K209">
        <v>7.3827098885583492E-15</v>
      </c>
      <c r="L209">
        <v>2.671762932881747E-14</v>
      </c>
      <c r="M209">
        <v>8.9976615237724426E-15</v>
      </c>
      <c r="N209" t="b">
        <v>1</v>
      </c>
    </row>
    <row r="210" spans="2:14" x14ac:dyDescent="0.2">
      <c r="B210">
        <v>197</v>
      </c>
      <c r="C210">
        <v>39879.780156401292</v>
      </c>
      <c r="D210">
        <v>39879.78015640095</v>
      </c>
      <c r="E210">
        <v>8.5750223929389627E-15</v>
      </c>
      <c r="F210">
        <v>2.9857827595039545E-15</v>
      </c>
      <c r="G210">
        <v>0</v>
      </c>
      <c r="H210">
        <v>9.3814270621478635E-15</v>
      </c>
      <c r="I210">
        <v>1.4823012075741695E-14</v>
      </c>
      <c r="J210">
        <v>0</v>
      </c>
      <c r="K210">
        <v>9.3814270621478635E-15</v>
      </c>
      <c r="L210">
        <v>2.8928400748604299E-14</v>
      </c>
      <c r="M210">
        <v>6.8143566769497403E-15</v>
      </c>
      <c r="N210" t="b">
        <v>1</v>
      </c>
    </row>
    <row r="211" spans="2:14" x14ac:dyDescent="0.2">
      <c r="B211">
        <v>198</v>
      </c>
      <c r="C211">
        <v>28265.60796093741</v>
      </c>
      <c r="D211">
        <v>28265.607960937261</v>
      </c>
      <c r="E211">
        <v>5.2769829432607158E-15</v>
      </c>
      <c r="F211">
        <v>1.1773291733641244E-14</v>
      </c>
      <c r="G211">
        <v>0</v>
      </c>
      <c r="H211">
        <v>5.6459188167658173E-15</v>
      </c>
      <c r="I211">
        <v>1.061197284183523E-14</v>
      </c>
      <c r="J211">
        <v>0</v>
      </c>
      <c r="K211">
        <v>5.6459188167658173E-15</v>
      </c>
      <c r="L211">
        <v>2.6724858845149799E-14</v>
      </c>
      <c r="M211">
        <v>2.864758792645525E-15</v>
      </c>
      <c r="N211" t="b">
        <v>1</v>
      </c>
    </row>
    <row r="212" spans="2:14" x14ac:dyDescent="0.2">
      <c r="B212">
        <v>199</v>
      </c>
      <c r="C212">
        <v>41708.61572109117</v>
      </c>
      <c r="D212">
        <v>41708.615721091002</v>
      </c>
      <c r="E212">
        <v>4.0122891213959806E-15</v>
      </c>
      <c r="F212">
        <v>2.7921325596912262E-15</v>
      </c>
      <c r="G212">
        <v>0</v>
      </c>
      <c r="H212">
        <v>6.5523510300351665E-15</v>
      </c>
      <c r="I212">
        <v>1.028077814633718E-14</v>
      </c>
      <c r="J212">
        <v>0</v>
      </c>
      <c r="K212">
        <v>6.5523510300351665E-15</v>
      </c>
      <c r="L212">
        <v>0</v>
      </c>
      <c r="M212">
        <v>7.4339263830355032E-15</v>
      </c>
      <c r="N212" t="b">
        <v>1</v>
      </c>
    </row>
    <row r="213" spans="2:14" x14ac:dyDescent="0.2">
      <c r="B213">
        <v>200</v>
      </c>
      <c r="C213">
        <v>29511.59202464603</v>
      </c>
      <c r="D213">
        <v>29511.592024645979</v>
      </c>
      <c r="E213">
        <v>1.7258202558760453E-15</v>
      </c>
      <c r="F213">
        <v>1.6533625441697983E-14</v>
      </c>
      <c r="G213">
        <v>0</v>
      </c>
      <c r="H213">
        <v>3.3361266602449285E-15</v>
      </c>
      <c r="I213">
        <v>5.174953826453482E-15</v>
      </c>
      <c r="J213">
        <v>0</v>
      </c>
      <c r="K213">
        <v>3.3361266602449285E-15</v>
      </c>
      <c r="L213">
        <v>2.7166084071176901E-14</v>
      </c>
      <c r="M213">
        <v>1.3672186838136757E-15</v>
      </c>
      <c r="N213" t="b">
        <v>1</v>
      </c>
    </row>
    <row r="214" spans="2:14" x14ac:dyDescent="0.2">
      <c r="B214">
        <v>201</v>
      </c>
      <c r="C214">
        <v>1200905.4453668254</v>
      </c>
      <c r="D214">
        <v>1200905.445366825</v>
      </c>
      <c r="E214">
        <v>3.8775849431301376E-16</v>
      </c>
      <c r="F214">
        <v>1.1989812110749881E-16</v>
      </c>
      <c r="G214">
        <v>0</v>
      </c>
      <c r="H214">
        <v>1.9422996369762233E-16</v>
      </c>
      <c r="I214">
        <v>0</v>
      </c>
      <c r="J214">
        <v>0</v>
      </c>
      <c r="K214">
        <v>1.9422996369762233E-16</v>
      </c>
      <c r="L214">
        <v>0</v>
      </c>
      <c r="M214">
        <v>1.5859087091721244E-16</v>
      </c>
      <c r="N214" t="b">
        <v>1</v>
      </c>
    </row>
    <row r="215" spans="2:14" x14ac:dyDescent="0.2">
      <c r="B215">
        <v>202</v>
      </c>
      <c r="C215">
        <v>1202747.4904270326</v>
      </c>
      <c r="D215">
        <v>1202747.4904270321</v>
      </c>
      <c r="E215">
        <v>3.8716463016057305E-16</v>
      </c>
      <c r="F215">
        <v>4.7470922241709366E-13</v>
      </c>
      <c r="G215">
        <v>0</v>
      </c>
      <c r="H215">
        <v>7.7572780513868864E-16</v>
      </c>
      <c r="I215">
        <v>1.9565062307290765E-15</v>
      </c>
      <c r="J215">
        <v>0</v>
      </c>
      <c r="K215">
        <v>7.7572780513868864E-16</v>
      </c>
      <c r="L215">
        <v>2.1040422389796344E-16</v>
      </c>
      <c r="M215">
        <v>4.7502345923860077E-16</v>
      </c>
      <c r="N215" t="b">
        <v>1</v>
      </c>
    </row>
    <row r="216" spans="2:14" x14ac:dyDescent="0.2">
      <c r="B216">
        <v>203</v>
      </c>
      <c r="C216">
        <v>1200669.9391251986</v>
      </c>
      <c r="D216">
        <v>1200669.9391251991</v>
      </c>
      <c r="E216">
        <v>3.8783455147300289E-16</v>
      </c>
      <c r="F216">
        <v>1.1296895215980953E-16</v>
      </c>
      <c r="G216">
        <v>0</v>
      </c>
      <c r="H216">
        <v>1.9426814082009049E-16</v>
      </c>
      <c r="I216">
        <v>0</v>
      </c>
      <c r="J216">
        <v>0</v>
      </c>
      <c r="K216">
        <v>1.9426814082009049E-16</v>
      </c>
      <c r="L216">
        <v>2.1060989428646614E-16</v>
      </c>
      <c r="M216">
        <v>0</v>
      </c>
      <c r="N216" t="b">
        <v>1</v>
      </c>
    </row>
    <row r="217" spans="2:14" x14ac:dyDescent="0.2">
      <c r="B217">
        <v>204</v>
      </c>
      <c r="C217">
        <v>1202602.2992139645</v>
      </c>
      <c r="D217">
        <v>1202602.299213965</v>
      </c>
      <c r="E217">
        <v>3.8721137288037865E-16</v>
      </c>
      <c r="F217">
        <v>4.42437718337403E-13</v>
      </c>
      <c r="G217">
        <v>0</v>
      </c>
      <c r="H217">
        <v>3.8791080808098558E-16</v>
      </c>
      <c r="I217">
        <v>8.5609949623661327E-16</v>
      </c>
      <c r="J217">
        <v>0</v>
      </c>
      <c r="K217">
        <v>3.8791080808098558E-16</v>
      </c>
      <c r="L217">
        <v>0</v>
      </c>
      <c r="M217">
        <v>1.5836080352036575E-16</v>
      </c>
      <c r="N217" t="b">
        <v>1</v>
      </c>
    </row>
    <row r="218" spans="2:14" x14ac:dyDescent="0.2">
      <c r="B218">
        <v>205</v>
      </c>
      <c r="C218">
        <v>1200416.4634767126</v>
      </c>
      <c r="D218">
        <v>1200416.463476713</v>
      </c>
      <c r="E218">
        <v>3.8791644523023709E-16</v>
      </c>
      <c r="F218">
        <v>2.1269933044599154E-16</v>
      </c>
      <c r="G218">
        <v>0</v>
      </c>
      <c r="H218">
        <v>0</v>
      </c>
      <c r="I218">
        <v>1.2257062928766612E-16</v>
      </c>
      <c r="J218">
        <v>0</v>
      </c>
      <c r="K218">
        <v>0</v>
      </c>
      <c r="L218">
        <v>0</v>
      </c>
      <c r="M218">
        <v>0</v>
      </c>
      <c r="N218" t="b">
        <v>1</v>
      </c>
    </row>
    <row r="219" spans="2:14" x14ac:dyDescent="0.2">
      <c r="B219">
        <v>206</v>
      </c>
      <c r="C219">
        <v>1202446.858990872</v>
      </c>
      <c r="D219">
        <v>1202446.858990872</v>
      </c>
      <c r="E219">
        <v>0</v>
      </c>
      <c r="F219">
        <v>2.0120007702122233E-16</v>
      </c>
      <c r="G219">
        <v>0</v>
      </c>
      <c r="H219">
        <v>0</v>
      </c>
      <c r="I219">
        <v>1.2231987811561414E-16</v>
      </c>
      <c r="J219">
        <v>0</v>
      </c>
      <c r="K219">
        <v>0</v>
      </c>
      <c r="L219">
        <v>0</v>
      </c>
      <c r="M219">
        <v>0</v>
      </c>
      <c r="N219" t="b">
        <v>1</v>
      </c>
    </row>
    <row r="220" spans="2:14" x14ac:dyDescent="0.2">
      <c r="B220">
        <v>207</v>
      </c>
      <c r="C220">
        <v>1200147.9295498393</v>
      </c>
      <c r="D220">
        <v>1200147.9295498391</v>
      </c>
      <c r="E220">
        <v>1.9400162090118472E-16</v>
      </c>
      <c r="F220">
        <v>2.0026138333041972E-16</v>
      </c>
      <c r="G220">
        <v>0</v>
      </c>
      <c r="H220">
        <v>1.9435282377065862E-16</v>
      </c>
      <c r="I220">
        <v>0</v>
      </c>
      <c r="J220">
        <v>0</v>
      </c>
      <c r="K220">
        <v>1.9435282377065862E-16</v>
      </c>
      <c r="L220">
        <v>0</v>
      </c>
      <c r="M220">
        <v>1.5869381792347974E-16</v>
      </c>
      <c r="N220" t="b">
        <v>1</v>
      </c>
    </row>
    <row r="221" spans="2:14" x14ac:dyDescent="0.2">
      <c r="B221">
        <v>208</v>
      </c>
      <c r="C221">
        <v>1202276.4154620662</v>
      </c>
      <c r="D221">
        <v>1202276.415462066</v>
      </c>
      <c r="E221">
        <v>1.9365816434516581E-16</v>
      </c>
      <c r="F221">
        <v>3.83240044894597E-13</v>
      </c>
      <c r="G221">
        <v>0</v>
      </c>
      <c r="H221">
        <v>0</v>
      </c>
      <c r="I221">
        <v>9.7873744934171241E-16</v>
      </c>
      <c r="J221">
        <v>0</v>
      </c>
      <c r="K221">
        <v>0</v>
      </c>
      <c r="L221">
        <v>0</v>
      </c>
      <c r="M221">
        <v>1.5840492851573284E-16</v>
      </c>
      <c r="N221" t="b">
        <v>1</v>
      </c>
    </row>
    <row r="222" spans="2:14" x14ac:dyDescent="0.2">
      <c r="B222">
        <v>209</v>
      </c>
      <c r="C222">
        <v>1199837.0575580867</v>
      </c>
      <c r="D222">
        <v>1199837.0575580869</v>
      </c>
      <c r="E222">
        <v>1.9405188578499773E-16</v>
      </c>
      <c r="F222">
        <v>0</v>
      </c>
      <c r="G222">
        <v>0</v>
      </c>
      <c r="H222">
        <v>1.9440329468718452E-16</v>
      </c>
      <c r="I222">
        <v>1.2265302107131411E-16</v>
      </c>
      <c r="J222">
        <v>0</v>
      </c>
      <c r="K222">
        <v>1.9440329468718452E-16</v>
      </c>
      <c r="L222">
        <v>0</v>
      </c>
      <c r="M222">
        <v>0</v>
      </c>
      <c r="N222" t="b">
        <v>1</v>
      </c>
    </row>
    <row r="223" spans="2:14" x14ac:dyDescent="0.2">
      <c r="B223">
        <v>210</v>
      </c>
      <c r="C223">
        <v>1202085.9017770917</v>
      </c>
      <c r="D223">
        <v>1202085.9017770919</v>
      </c>
      <c r="E223">
        <v>1.9368885643668786E-16</v>
      </c>
      <c r="F223">
        <v>1.7373843127658274E-16</v>
      </c>
      <c r="G223">
        <v>0</v>
      </c>
      <c r="H223">
        <v>3.8807774286748321E-16</v>
      </c>
      <c r="I223">
        <v>0</v>
      </c>
      <c r="J223">
        <v>0</v>
      </c>
      <c r="K223">
        <v>3.8807774286748321E-16</v>
      </c>
      <c r="L223">
        <v>0</v>
      </c>
      <c r="M223">
        <v>0</v>
      </c>
      <c r="N223" t="b">
        <v>1</v>
      </c>
    </row>
    <row r="224" spans="2:14" x14ac:dyDescent="0.2">
      <c r="B224">
        <v>211</v>
      </c>
      <c r="C224">
        <v>1199461.2574110294</v>
      </c>
      <c r="D224">
        <v>1199461.257411029</v>
      </c>
      <c r="E224">
        <v>3.8822536737271823E-16</v>
      </c>
      <c r="F224">
        <v>1.7421106906075191E-16</v>
      </c>
      <c r="G224">
        <v>0</v>
      </c>
      <c r="H224">
        <v>5.8339303593766181E-16</v>
      </c>
      <c r="I224">
        <v>1.2270487962071532E-16</v>
      </c>
      <c r="J224">
        <v>0</v>
      </c>
      <c r="K224">
        <v>5.8339303593766181E-16</v>
      </c>
      <c r="L224">
        <v>0</v>
      </c>
      <c r="M224">
        <v>1.5878727033720795E-16</v>
      </c>
      <c r="N224" t="b">
        <v>1</v>
      </c>
    </row>
    <row r="225" spans="2:14" x14ac:dyDescent="0.2">
      <c r="B225">
        <v>212</v>
      </c>
      <c r="C225">
        <v>1201871.3113657872</v>
      </c>
      <c r="D225">
        <v>1201871.3113657869</v>
      </c>
      <c r="E225">
        <v>1.9372343898389977E-16</v>
      </c>
      <c r="F225">
        <v>3.2137585982898227E-16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1.5845981843389865E-16</v>
      </c>
      <c r="N225" t="b">
        <v>1</v>
      </c>
    </row>
    <row r="226" spans="2:14" x14ac:dyDescent="0.2">
      <c r="B226">
        <v>213</v>
      </c>
      <c r="C226">
        <v>1199014.2032217549</v>
      </c>
      <c r="D226">
        <v>1199014.203221753</v>
      </c>
      <c r="E226">
        <v>1.5534804710619997E-15</v>
      </c>
      <c r="F226">
        <v>3.2893602375940532E-13</v>
      </c>
      <c r="G226">
        <v>0</v>
      </c>
      <c r="H226">
        <v>5.8361107999107092E-16</v>
      </c>
      <c r="I226">
        <v>8.5935307052911109E-16</v>
      </c>
      <c r="J226">
        <v>0</v>
      </c>
      <c r="K226">
        <v>5.8361107999107092E-16</v>
      </c>
      <c r="L226">
        <v>0</v>
      </c>
      <c r="M226">
        <v>4.7654453214106417E-16</v>
      </c>
      <c r="N226" t="b">
        <v>1</v>
      </c>
    </row>
    <row r="227" spans="2:14" x14ac:dyDescent="0.2">
      <c r="B227">
        <v>214</v>
      </c>
      <c r="C227">
        <v>1201637.2233653869</v>
      </c>
      <c r="D227">
        <v>1201637.2233653869</v>
      </c>
      <c r="E227">
        <v>0</v>
      </c>
      <c r="F227">
        <v>2.9700180522555985E-16</v>
      </c>
      <c r="G227">
        <v>0</v>
      </c>
      <c r="H227">
        <v>1.9411145857387211E-16</v>
      </c>
      <c r="I227">
        <v>0</v>
      </c>
      <c r="J227">
        <v>0</v>
      </c>
      <c r="K227">
        <v>1.9411145857387211E-16</v>
      </c>
      <c r="L227">
        <v>0</v>
      </c>
      <c r="M227">
        <v>1.5849155733655091E-16</v>
      </c>
      <c r="N227" t="b">
        <v>1</v>
      </c>
    </row>
    <row r="228" spans="2:14" x14ac:dyDescent="0.2">
      <c r="B228">
        <v>215</v>
      </c>
      <c r="C228">
        <v>1198496.0896990986</v>
      </c>
      <c r="D228">
        <v>1198496.0896990979</v>
      </c>
      <c r="E228">
        <v>5.82807017031634E-16</v>
      </c>
      <c r="F228">
        <v>0</v>
      </c>
      <c r="G228">
        <v>0</v>
      </c>
      <c r="H228">
        <v>0</v>
      </c>
      <c r="I228">
        <v>1.2283302950359938E-16</v>
      </c>
      <c r="J228">
        <v>0</v>
      </c>
      <c r="K228">
        <v>0</v>
      </c>
      <c r="L228">
        <v>0</v>
      </c>
      <c r="M228">
        <v>1.5891883023615051E-16</v>
      </c>
      <c r="N228" t="b">
        <v>1</v>
      </c>
    </row>
    <row r="229" spans="2:14" x14ac:dyDescent="0.2">
      <c r="B229">
        <v>216</v>
      </c>
      <c r="C229">
        <v>1201379.3770700311</v>
      </c>
      <c r="D229">
        <v>1201379.3770700309</v>
      </c>
      <c r="E229">
        <v>1.9380276380447428E-16</v>
      </c>
      <c r="F229">
        <v>2.803748010929462E-13</v>
      </c>
      <c r="G229">
        <v>0</v>
      </c>
      <c r="H229">
        <v>1.9415320000301828E-16</v>
      </c>
      <c r="I229">
        <v>9.7968680806660993E-16</v>
      </c>
      <c r="J229">
        <v>0</v>
      </c>
      <c r="K229">
        <v>1.9415320000301828E-16</v>
      </c>
      <c r="L229">
        <v>1.0779379209496145E-13</v>
      </c>
      <c r="M229">
        <v>1.5852653503457702E-16</v>
      </c>
      <c r="N229" t="b">
        <v>1</v>
      </c>
    </row>
    <row r="230" spans="2:14" x14ac:dyDescent="0.2">
      <c r="B230">
        <v>217</v>
      </c>
      <c r="C230">
        <v>1197917.1376006599</v>
      </c>
      <c r="D230">
        <v>1197917.1376006589</v>
      </c>
      <c r="E230">
        <v>7.7745158273705808E-16</v>
      </c>
      <c r="F230">
        <v>1.3805660823551984E-13</v>
      </c>
      <c r="G230">
        <v>0</v>
      </c>
      <c r="H230">
        <v>9.7357822104061074E-16</v>
      </c>
      <c r="I230">
        <v>1.1061903249092986E-15</v>
      </c>
      <c r="J230">
        <v>0</v>
      </c>
      <c r="K230">
        <v>9.7357822104061074E-16</v>
      </c>
      <c r="L230">
        <v>0</v>
      </c>
      <c r="M230">
        <v>6.3599145201480424E-16</v>
      </c>
      <c r="N230" t="b">
        <v>1</v>
      </c>
    </row>
    <row r="231" spans="2:14" x14ac:dyDescent="0.2">
      <c r="B231">
        <v>218</v>
      </c>
      <c r="C231">
        <v>1201089.9777235163</v>
      </c>
      <c r="D231">
        <v>1201089.9777235161</v>
      </c>
      <c r="E231">
        <v>1.9384946005058241E-16</v>
      </c>
      <c r="F231">
        <v>2.5222755198461918E-16</v>
      </c>
      <c r="G231">
        <v>0</v>
      </c>
      <c r="H231">
        <v>1.9420007319913253E-16</v>
      </c>
      <c r="I231">
        <v>0</v>
      </c>
      <c r="J231">
        <v>0</v>
      </c>
      <c r="K231">
        <v>1.9420007319913253E-16</v>
      </c>
      <c r="L231">
        <v>0</v>
      </c>
      <c r="M231">
        <v>1.5856581314650607E-16</v>
      </c>
      <c r="N231" t="b">
        <v>1</v>
      </c>
    </row>
    <row r="232" spans="2:14" x14ac:dyDescent="0.2">
      <c r="B232">
        <v>219</v>
      </c>
      <c r="C232">
        <v>1197280.0679812522</v>
      </c>
      <c r="D232">
        <v>1197280.067981252</v>
      </c>
      <c r="E232">
        <v>1.9446631567703963E-16</v>
      </c>
      <c r="F232">
        <v>0</v>
      </c>
      <c r="G232">
        <v>0</v>
      </c>
      <c r="H232">
        <v>0</v>
      </c>
      <c r="I232">
        <v>9.8397176657124109E-16</v>
      </c>
      <c r="J232">
        <v>0</v>
      </c>
      <c r="K232">
        <v>0</v>
      </c>
      <c r="L232">
        <v>1.0799518256949098E-13</v>
      </c>
      <c r="M232">
        <v>0</v>
      </c>
      <c r="N232" t="b">
        <v>1</v>
      </c>
    </row>
    <row r="233" spans="2:14" x14ac:dyDescent="0.2">
      <c r="B233">
        <v>220</v>
      </c>
      <c r="C233">
        <v>1200769.06072062</v>
      </c>
      <c r="D233">
        <v>1200769.06072062</v>
      </c>
      <c r="E233">
        <v>0</v>
      </c>
      <c r="F233">
        <v>2.3177334643713315E-16</v>
      </c>
      <c r="G233">
        <v>0</v>
      </c>
      <c r="H233">
        <v>1.9425208119343754E-16</v>
      </c>
      <c r="I233">
        <v>0</v>
      </c>
      <c r="J233">
        <v>0</v>
      </c>
      <c r="K233">
        <v>1.9425208119343754E-16</v>
      </c>
      <c r="L233">
        <v>0</v>
      </c>
      <c r="M233">
        <v>0</v>
      </c>
      <c r="N233" t="b">
        <v>1</v>
      </c>
    </row>
    <row r="234" spans="2:14" x14ac:dyDescent="0.2">
      <c r="B234">
        <v>221</v>
      </c>
      <c r="C234">
        <v>1196567.50018297</v>
      </c>
      <c r="D234">
        <v>1196567.50018297</v>
      </c>
      <c r="E234">
        <v>0</v>
      </c>
      <c r="F234">
        <v>1.1258522895347951E-16</v>
      </c>
      <c r="G234">
        <v>0</v>
      </c>
      <c r="H234">
        <v>1.949358913330771E-16</v>
      </c>
      <c r="I234">
        <v>0</v>
      </c>
      <c r="J234">
        <v>0</v>
      </c>
      <c r="K234">
        <v>1.949358913330771E-16</v>
      </c>
      <c r="L234">
        <v>0</v>
      </c>
      <c r="M234">
        <v>0</v>
      </c>
      <c r="N234" t="b">
        <v>1</v>
      </c>
    </row>
    <row r="235" spans="2:14" x14ac:dyDescent="0.2">
      <c r="B235">
        <v>222</v>
      </c>
      <c r="C235">
        <v>1200407.2044549778</v>
      </c>
      <c r="D235">
        <v>1200407.204454978</v>
      </c>
      <c r="E235">
        <v>1.9395971866028741E-16</v>
      </c>
      <c r="F235">
        <v>2.1237783760711985E-16</v>
      </c>
      <c r="G235">
        <v>0</v>
      </c>
      <c r="H235">
        <v>1.943107613954451E-16</v>
      </c>
      <c r="I235">
        <v>8.5810952822410089E-16</v>
      </c>
      <c r="J235">
        <v>0</v>
      </c>
      <c r="K235">
        <v>1.943107613954451E-16</v>
      </c>
      <c r="L235">
        <v>0</v>
      </c>
      <c r="M235">
        <v>1.5865856472429608E-16</v>
      </c>
      <c r="N235" t="b">
        <v>1</v>
      </c>
    </row>
    <row r="236" spans="2:14" x14ac:dyDescent="0.2">
      <c r="B236">
        <v>223</v>
      </c>
      <c r="C236">
        <v>1195755.920041552</v>
      </c>
      <c r="D236">
        <v>1195755.920041552</v>
      </c>
      <c r="E236">
        <v>0</v>
      </c>
      <c r="F236">
        <v>0</v>
      </c>
      <c r="G236">
        <v>0</v>
      </c>
      <c r="H236">
        <v>1.9506860211914568E-16</v>
      </c>
      <c r="I236">
        <v>0</v>
      </c>
      <c r="J236">
        <v>0</v>
      </c>
      <c r="K236">
        <v>1.9506860211914568E-16</v>
      </c>
      <c r="L236">
        <v>0</v>
      </c>
      <c r="M236">
        <v>0</v>
      </c>
      <c r="N236" t="b">
        <v>1</v>
      </c>
    </row>
    <row r="237" spans="2:14" x14ac:dyDescent="0.2">
      <c r="B237">
        <v>224</v>
      </c>
      <c r="C237">
        <v>1200000.7525131367</v>
      </c>
      <c r="D237">
        <v>1200000.7525131369</v>
      </c>
      <c r="E237">
        <v>1.940254147059968E-16</v>
      </c>
      <c r="F237">
        <v>1.9416016946384443E-16</v>
      </c>
      <c r="G237">
        <v>0</v>
      </c>
      <c r="H237">
        <v>1.9437672136278464E-16</v>
      </c>
      <c r="I237">
        <v>0</v>
      </c>
      <c r="J237">
        <v>0</v>
      </c>
      <c r="K237">
        <v>1.9437672136278464E-16</v>
      </c>
      <c r="L237">
        <v>0</v>
      </c>
      <c r="M237">
        <v>1.5871383528060445E-16</v>
      </c>
      <c r="N237" t="b">
        <v>1</v>
      </c>
    </row>
    <row r="238" spans="2:14" x14ac:dyDescent="0.2">
      <c r="B238">
        <v>225</v>
      </c>
      <c r="C238">
        <v>1194828.8001750254</v>
      </c>
      <c r="D238">
        <v>1194828.8001750261</v>
      </c>
      <c r="E238">
        <v>5.8459582733466869E-16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1.5942096392683474E-16</v>
      </c>
      <c r="N238" t="b">
        <v>1</v>
      </c>
    </row>
    <row r="239" spans="2:14" x14ac:dyDescent="0.2">
      <c r="B239">
        <v>226</v>
      </c>
      <c r="C239">
        <v>1199550.5234189306</v>
      </c>
      <c r="D239">
        <v>1199550.5234189299</v>
      </c>
      <c r="E239">
        <v>5.8229471566631815E-16</v>
      </c>
      <c r="F239">
        <v>1.8138375388084891E-13</v>
      </c>
      <c r="G239">
        <v>0</v>
      </c>
      <c r="H239">
        <v>7.7779937648816209E-16</v>
      </c>
      <c r="I239">
        <v>1.2269779725368686E-16</v>
      </c>
      <c r="J239">
        <v>0</v>
      </c>
      <c r="K239">
        <v>7.7779937648816209E-16</v>
      </c>
      <c r="L239">
        <v>1.0788375220765121E-13</v>
      </c>
      <c r="M239">
        <v>0</v>
      </c>
      <c r="N239" t="b">
        <v>1</v>
      </c>
    </row>
    <row r="240" spans="2:14" x14ac:dyDescent="0.2">
      <c r="B240">
        <v>227</v>
      </c>
      <c r="C240">
        <v>1193778.0096038007</v>
      </c>
      <c r="D240">
        <v>1193778.009603801</v>
      </c>
      <c r="E240">
        <v>1.9503680062857166E-16</v>
      </c>
      <c r="F240">
        <v>8.6009088239051579E-14</v>
      </c>
      <c r="G240">
        <v>0</v>
      </c>
      <c r="H240">
        <v>0</v>
      </c>
      <c r="I240">
        <v>1.1112423222272356E-15</v>
      </c>
      <c r="J240">
        <v>0</v>
      </c>
      <c r="K240">
        <v>0</v>
      </c>
      <c r="L240">
        <v>0</v>
      </c>
      <c r="M240">
        <v>1.595655006827652E-16</v>
      </c>
      <c r="N240" t="b">
        <v>1</v>
      </c>
    </row>
    <row r="241" spans="2:14" x14ac:dyDescent="0.2">
      <c r="B241">
        <v>228</v>
      </c>
      <c r="C241">
        <v>1199067.1458416909</v>
      </c>
      <c r="D241">
        <v>1199067.1458416909</v>
      </c>
      <c r="E241">
        <v>0</v>
      </c>
      <c r="F241">
        <v>0</v>
      </c>
      <c r="G241">
        <v>0</v>
      </c>
      <c r="H241">
        <v>0</v>
      </c>
      <c r="I241">
        <v>8.5932793186039018E-16</v>
      </c>
      <c r="J241">
        <v>0</v>
      </c>
      <c r="K241">
        <v>0</v>
      </c>
      <c r="L241">
        <v>2.107569214379208E-16</v>
      </c>
      <c r="M241">
        <v>1.5884095823009408E-16</v>
      </c>
      <c r="N241" t="b">
        <v>1</v>
      </c>
    </row>
    <row r="242" spans="2:14" x14ac:dyDescent="0.2">
      <c r="B242">
        <v>229</v>
      </c>
      <c r="C242">
        <v>1192603.5874540268</v>
      </c>
      <c r="D242">
        <v>1192603.587454027</v>
      </c>
      <c r="E242">
        <v>1.952288640611228E-16</v>
      </c>
      <c r="F242">
        <v>0</v>
      </c>
      <c r="G242">
        <v>0</v>
      </c>
      <c r="H242">
        <v>0</v>
      </c>
      <c r="I242">
        <v>1.2362706330334869E-16</v>
      </c>
      <c r="J242">
        <v>0</v>
      </c>
      <c r="K242">
        <v>0</v>
      </c>
      <c r="L242">
        <v>0</v>
      </c>
      <c r="M242">
        <v>1.5972739197011938E-16</v>
      </c>
      <c r="N242" t="b">
        <v>1</v>
      </c>
    </row>
    <row r="243" spans="2:14" x14ac:dyDescent="0.2">
      <c r="B243">
        <v>230</v>
      </c>
      <c r="C243">
        <v>1198552.9328920138</v>
      </c>
      <c r="D243">
        <v>1198552.932892014</v>
      </c>
      <c r="E243">
        <v>1.9425979217460808E-16</v>
      </c>
      <c r="F243">
        <v>0</v>
      </c>
      <c r="G243">
        <v>0</v>
      </c>
      <c r="H243">
        <v>3.8922417030014805E-16</v>
      </c>
      <c r="I243">
        <v>0</v>
      </c>
      <c r="J243">
        <v>0</v>
      </c>
      <c r="K243">
        <v>3.8922417030014805E-16</v>
      </c>
      <c r="L243">
        <v>0</v>
      </c>
      <c r="M243">
        <v>1.5891107711429053E-16</v>
      </c>
      <c r="N243" t="b">
        <v>1</v>
      </c>
    </row>
    <row r="244" spans="2:14" x14ac:dyDescent="0.2">
      <c r="B244">
        <v>231</v>
      </c>
      <c r="C244">
        <v>1191309.7437079956</v>
      </c>
      <c r="D244">
        <v>1191309.7437079949</v>
      </c>
      <c r="E244">
        <v>5.8632268782384618E-16</v>
      </c>
      <c r="F244">
        <v>7.0263204047654367E-14</v>
      </c>
      <c r="G244">
        <v>0</v>
      </c>
      <c r="H244">
        <v>5.8739773636641147E-16</v>
      </c>
      <c r="I244">
        <v>1.8569614117215093E-15</v>
      </c>
      <c r="J244">
        <v>0</v>
      </c>
      <c r="K244">
        <v>5.8739773636641147E-16</v>
      </c>
      <c r="L244">
        <v>1.08289032037066E-13</v>
      </c>
      <c r="M244">
        <v>4.7971852733399704E-16</v>
      </c>
      <c r="N244" t="b">
        <v>1</v>
      </c>
    </row>
    <row r="245" spans="2:14" x14ac:dyDescent="0.2">
      <c r="B245">
        <v>232</v>
      </c>
      <c r="C245">
        <v>1197994.4660713037</v>
      </c>
      <c r="D245">
        <v>1197994.466071303</v>
      </c>
      <c r="E245">
        <v>5.8305104968659817E-16</v>
      </c>
      <c r="F245">
        <v>0</v>
      </c>
      <c r="G245">
        <v>0</v>
      </c>
      <c r="H245">
        <v>1.1682182498146711E-15</v>
      </c>
      <c r="I245">
        <v>9.8322576119263776E-16</v>
      </c>
      <c r="J245">
        <v>0</v>
      </c>
      <c r="K245">
        <v>1.1682182498146711E-15</v>
      </c>
      <c r="L245">
        <v>0</v>
      </c>
      <c r="M245">
        <v>6.3594925076419761E-16</v>
      </c>
      <c r="N245" t="b">
        <v>1</v>
      </c>
    </row>
    <row r="246" spans="2:14" x14ac:dyDescent="0.2">
      <c r="B246">
        <v>233</v>
      </c>
      <c r="C246">
        <v>1189888.9536149146</v>
      </c>
      <c r="D246">
        <v>1189888.953614915</v>
      </c>
      <c r="E246">
        <v>3.9134852533343352E-16</v>
      </c>
      <c r="F246">
        <v>0</v>
      </c>
      <c r="G246">
        <v>0</v>
      </c>
      <c r="H246">
        <v>1.9603401719604358E-16</v>
      </c>
      <c r="I246">
        <v>0</v>
      </c>
      <c r="J246">
        <v>0</v>
      </c>
      <c r="K246">
        <v>1.9603401719604358E-16</v>
      </c>
      <c r="L246">
        <v>0</v>
      </c>
      <c r="M246">
        <v>1.6010302148861359E-16</v>
      </c>
      <c r="N246" t="b">
        <v>1</v>
      </c>
    </row>
    <row r="247" spans="2:14" x14ac:dyDescent="0.2">
      <c r="B247">
        <v>234</v>
      </c>
      <c r="C247">
        <v>1197386.1883605786</v>
      </c>
      <c r="D247">
        <v>1197386.1883605791</v>
      </c>
      <c r="E247">
        <v>3.8889816154076994E-16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 t="b">
        <v>1</v>
      </c>
    </row>
    <row r="248" spans="2:14" x14ac:dyDescent="0.2">
      <c r="B248">
        <v>235</v>
      </c>
      <c r="C248">
        <v>1188350.1194257257</v>
      </c>
      <c r="D248">
        <v>1188350.1194257259</v>
      </c>
      <c r="E248">
        <v>1.9592764779321587E-16</v>
      </c>
      <c r="F248">
        <v>1.1256044816036051E-16</v>
      </c>
      <c r="G248">
        <v>0</v>
      </c>
      <c r="H248">
        <v>3.9257801197661256E-16</v>
      </c>
      <c r="I248">
        <v>0</v>
      </c>
      <c r="J248">
        <v>0</v>
      </c>
      <c r="K248">
        <v>3.9257801197661256E-16</v>
      </c>
      <c r="L248">
        <v>0</v>
      </c>
      <c r="M248">
        <v>1.6031683653163499E-16</v>
      </c>
      <c r="N248" t="b">
        <v>1</v>
      </c>
    </row>
    <row r="249" spans="2:14" x14ac:dyDescent="0.2">
      <c r="B249">
        <v>236</v>
      </c>
      <c r="C249">
        <v>1196718.7494226831</v>
      </c>
      <c r="D249">
        <v>1196718.7494226841</v>
      </c>
      <c r="E249">
        <v>7.7823011886858394E-16</v>
      </c>
      <c r="F249">
        <v>1.171309401589419E-13</v>
      </c>
      <c r="G249">
        <v>0</v>
      </c>
      <c r="H249">
        <v>1.9491116777437318E-16</v>
      </c>
      <c r="I249">
        <v>1.2306220077269717E-16</v>
      </c>
      <c r="J249">
        <v>0</v>
      </c>
      <c r="K249">
        <v>1.9491116777437318E-16</v>
      </c>
      <c r="L249">
        <v>1.0802787596217652E-13</v>
      </c>
      <c r="M249">
        <v>1.5916177169587667E-16</v>
      </c>
      <c r="N249" t="b">
        <v>1</v>
      </c>
    </row>
    <row r="250" spans="2:14" x14ac:dyDescent="0.2">
      <c r="B250">
        <v>237</v>
      </c>
      <c r="C250">
        <v>1186694.2128118451</v>
      </c>
      <c r="D250">
        <v>1186694.2128118461</v>
      </c>
      <c r="E250">
        <v>7.8480417664524543E-16</v>
      </c>
      <c r="F250">
        <v>5.2373729281453176E-14</v>
      </c>
      <c r="G250">
        <v>0</v>
      </c>
      <c r="H250">
        <v>5.8969267591641847E-16</v>
      </c>
      <c r="I250">
        <v>9.951518476256739E-16</v>
      </c>
      <c r="J250">
        <v>0</v>
      </c>
      <c r="K250">
        <v>5.8969267591641847E-16</v>
      </c>
      <c r="L250">
        <v>1.0852414053469673E-13</v>
      </c>
      <c r="M250">
        <v>1.605476358102116E-16</v>
      </c>
      <c r="N250" t="b">
        <v>1</v>
      </c>
    </row>
    <row r="251" spans="2:14" x14ac:dyDescent="0.2">
      <c r="B251">
        <v>238</v>
      </c>
      <c r="C251">
        <v>1196008.0301952644</v>
      </c>
      <c r="D251">
        <v>1196008.0301952639</v>
      </c>
      <c r="E251">
        <v>3.8934628827844408E-16</v>
      </c>
      <c r="F251">
        <v>0</v>
      </c>
      <c r="G251">
        <v>0</v>
      </c>
      <c r="H251">
        <v>3.9005466545673241E-16</v>
      </c>
      <c r="I251">
        <v>0</v>
      </c>
      <c r="J251">
        <v>0</v>
      </c>
      <c r="K251">
        <v>3.9005466545673241E-16</v>
      </c>
      <c r="L251">
        <v>0</v>
      </c>
      <c r="M251">
        <v>0</v>
      </c>
      <c r="N251" t="b">
        <v>1</v>
      </c>
    </row>
    <row r="252" spans="2:14" x14ac:dyDescent="0.2">
      <c r="B252">
        <v>239</v>
      </c>
      <c r="C252">
        <v>1184918.4529719988</v>
      </c>
      <c r="D252">
        <v>1184918.4529719979</v>
      </c>
      <c r="E252">
        <v>7.8598031137041256E-16</v>
      </c>
      <c r="F252">
        <v>4.7706093850180826E-14</v>
      </c>
      <c r="G252">
        <v>0</v>
      </c>
      <c r="H252">
        <v>3.9372065515818598E-16</v>
      </c>
      <c r="I252">
        <v>8.7234545552104913E-16</v>
      </c>
      <c r="J252">
        <v>0</v>
      </c>
      <c r="K252">
        <v>3.9372065515818598E-16</v>
      </c>
      <c r="L252">
        <v>2.1214028918733036E-16</v>
      </c>
      <c r="M252">
        <v>0</v>
      </c>
      <c r="N252" t="b">
        <v>1</v>
      </c>
    </row>
    <row r="253" spans="2:14" x14ac:dyDescent="0.2">
      <c r="B253">
        <v>240</v>
      </c>
      <c r="C253">
        <v>1195273.4336451003</v>
      </c>
      <c r="D253">
        <v>1195273.4336450989</v>
      </c>
      <c r="E253">
        <v>1.1687567234410823E-15</v>
      </c>
      <c r="F253">
        <v>9.9296324266672305E-14</v>
      </c>
      <c r="G253">
        <v>0</v>
      </c>
      <c r="H253">
        <v>3.9029512769852719E-16</v>
      </c>
      <c r="I253">
        <v>1.2323065221408468E-16</v>
      </c>
      <c r="J253">
        <v>0</v>
      </c>
      <c r="K253">
        <v>3.9029512769852719E-16</v>
      </c>
      <c r="L253">
        <v>1.0810473311107567E-13</v>
      </c>
      <c r="M253">
        <v>4.7807980247682041E-16</v>
      </c>
      <c r="N253" t="b">
        <v>1</v>
      </c>
    </row>
    <row r="254" spans="2:14" x14ac:dyDescent="0.2">
      <c r="B254">
        <v>241</v>
      </c>
      <c r="C254">
        <v>1183021.90661126</v>
      </c>
      <c r="D254">
        <v>1183021.90661126</v>
      </c>
      <c r="E254">
        <v>0</v>
      </c>
      <c r="F254">
        <v>3.403823948798863E-16</v>
      </c>
      <c r="G254">
        <v>0</v>
      </c>
      <c r="H254">
        <v>3.9435534818979029E-16</v>
      </c>
      <c r="I254">
        <v>1.2485982592702916E-16</v>
      </c>
      <c r="J254">
        <v>0</v>
      </c>
      <c r="K254">
        <v>3.9435534818979029E-16</v>
      </c>
      <c r="L254">
        <v>0</v>
      </c>
      <c r="M254">
        <v>0</v>
      </c>
      <c r="N254" t="b">
        <v>1</v>
      </c>
    </row>
    <row r="255" spans="2:14" x14ac:dyDescent="0.2">
      <c r="B255">
        <v>242</v>
      </c>
      <c r="C255">
        <v>1194528.3297170799</v>
      </c>
      <c r="D255">
        <v>1194528.3297170801</v>
      </c>
      <c r="E255">
        <v>1.949142919942424E-16</v>
      </c>
      <c r="F255">
        <v>9.2049420269416446E-14</v>
      </c>
      <c r="G255">
        <v>0</v>
      </c>
      <c r="H255">
        <v>1.9526968530003873E-16</v>
      </c>
      <c r="I255">
        <v>8.6321338609099459E-16</v>
      </c>
      <c r="J255">
        <v>0</v>
      </c>
      <c r="K255">
        <v>1.9526968530003873E-16</v>
      </c>
      <c r="L255">
        <v>0</v>
      </c>
      <c r="M255">
        <v>0</v>
      </c>
      <c r="N255" t="b">
        <v>1</v>
      </c>
    </row>
    <row r="256" spans="2:14" x14ac:dyDescent="0.2">
      <c r="B256">
        <v>243</v>
      </c>
      <c r="C256">
        <v>1181030.3975772008</v>
      </c>
      <c r="D256">
        <v>1181030.397577201</v>
      </c>
      <c r="E256">
        <v>1.9714195682981992E-16</v>
      </c>
      <c r="F256">
        <v>3.1203990398178504E-16</v>
      </c>
      <c r="G256">
        <v>0</v>
      </c>
      <c r="H256">
        <v>1.9751214621445369E-16</v>
      </c>
      <c r="I256">
        <v>1.2511148261215835E-16</v>
      </c>
      <c r="J256">
        <v>0</v>
      </c>
      <c r="K256">
        <v>1.9751214621445369E-16</v>
      </c>
      <c r="L256">
        <v>0</v>
      </c>
      <c r="M256">
        <v>1.6134273294968466E-16</v>
      </c>
      <c r="N256" t="b">
        <v>1</v>
      </c>
    </row>
    <row r="257" spans="2:14" x14ac:dyDescent="0.2">
      <c r="B257">
        <v>244</v>
      </c>
      <c r="C257">
        <v>1193803.2846638942</v>
      </c>
      <c r="D257">
        <v>1193803.284663894</v>
      </c>
      <c r="E257">
        <v>1.9503267133279943E-16</v>
      </c>
      <c r="F257">
        <v>0</v>
      </c>
      <c r="G257">
        <v>0</v>
      </c>
      <c r="H257">
        <v>3.9077737234083172E-16</v>
      </c>
      <c r="I257">
        <v>1.2340263515339217E-16</v>
      </c>
      <c r="J257">
        <v>0</v>
      </c>
      <c r="K257">
        <v>3.9077737234083172E-16</v>
      </c>
      <c r="L257">
        <v>0</v>
      </c>
      <c r="M257">
        <v>1.5956206217190367E-16</v>
      </c>
      <c r="N257" t="b">
        <v>1</v>
      </c>
    </row>
    <row r="258" spans="2:14" x14ac:dyDescent="0.2">
      <c r="B258">
        <v>245</v>
      </c>
      <c r="C258">
        <v>1178931.5981329028</v>
      </c>
      <c r="D258">
        <v>1178931.598132903</v>
      </c>
      <c r="E258">
        <v>1.9749291987983703E-16</v>
      </c>
      <c r="F258">
        <v>2.8699984606135368E-16</v>
      </c>
      <c r="G258">
        <v>0</v>
      </c>
      <c r="H258">
        <v>1.9786601200318337E-16</v>
      </c>
      <c r="I258">
        <v>0</v>
      </c>
      <c r="J258">
        <v>0</v>
      </c>
      <c r="K258">
        <v>1.9786601200318337E-16</v>
      </c>
      <c r="L258">
        <v>0</v>
      </c>
      <c r="M258">
        <v>1.6163959879681468E-16</v>
      </c>
      <c r="N258" t="b">
        <v>1</v>
      </c>
    </row>
    <row r="259" spans="2:14" x14ac:dyDescent="0.2">
      <c r="B259">
        <v>246</v>
      </c>
      <c r="C259">
        <v>1193072.9335027281</v>
      </c>
      <c r="D259">
        <v>1193072.9335027279</v>
      </c>
      <c r="E259">
        <v>1.9515206247308374E-16</v>
      </c>
      <c r="F259">
        <v>1.612003493679281E-13</v>
      </c>
      <c r="G259">
        <v>0</v>
      </c>
      <c r="H259">
        <v>1.955087250877114E-16</v>
      </c>
      <c r="I259">
        <v>9.8794745912234893E-16</v>
      </c>
      <c r="J259">
        <v>0</v>
      </c>
      <c r="K259">
        <v>1.955087250877114E-16</v>
      </c>
      <c r="L259">
        <v>2.1136478631315213E-16</v>
      </c>
      <c r="M259">
        <v>1.5966268845415024E-16</v>
      </c>
      <c r="N259" t="b">
        <v>1</v>
      </c>
    </row>
    <row r="260" spans="2:14" x14ac:dyDescent="0.2">
      <c r="B260">
        <v>247</v>
      </c>
      <c r="C260">
        <v>1176696.9691322874</v>
      </c>
      <c r="D260">
        <v>1176696.9691322879</v>
      </c>
      <c r="E260">
        <v>3.9573594521206606E-16</v>
      </c>
      <c r="F260">
        <v>2.6459188275581604E-16</v>
      </c>
      <c r="G260">
        <v>0</v>
      </c>
      <c r="H260">
        <v>1.9824433246476755E-16</v>
      </c>
      <c r="I260">
        <v>0</v>
      </c>
      <c r="J260">
        <v>0</v>
      </c>
      <c r="K260">
        <v>1.9824433246476755E-16</v>
      </c>
      <c r="L260">
        <v>0</v>
      </c>
      <c r="M260">
        <v>1.6195700051764894E-16</v>
      </c>
      <c r="N260" t="b">
        <v>1</v>
      </c>
    </row>
    <row r="261" spans="2:14" x14ac:dyDescent="0.2">
      <c r="B261">
        <v>248</v>
      </c>
      <c r="C261">
        <v>1192312.7765689343</v>
      </c>
      <c r="D261">
        <v>1192312.7765689341</v>
      </c>
      <c r="E261">
        <v>1.952764813305751E-16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1.5976757042184537E-16</v>
      </c>
      <c r="N261" t="b">
        <v>1</v>
      </c>
    </row>
    <row r="262" spans="2:14" x14ac:dyDescent="0.2">
      <c r="B262">
        <v>249</v>
      </c>
      <c r="C262">
        <v>1174278.4242461289</v>
      </c>
      <c r="D262">
        <v>1174278.4242461291</v>
      </c>
      <c r="E262">
        <v>1.9827550165825772E-16</v>
      </c>
      <c r="F262">
        <v>1.2212199765302796E-16</v>
      </c>
      <c r="G262">
        <v>0</v>
      </c>
      <c r="H262">
        <v>1.9865559266604705E-16</v>
      </c>
      <c r="I262">
        <v>0</v>
      </c>
      <c r="J262">
        <v>0</v>
      </c>
      <c r="K262">
        <v>1.9865559266604705E-16</v>
      </c>
      <c r="L262">
        <v>2.1320046798633199E-16</v>
      </c>
      <c r="M262">
        <v>1.6230205279326323E-16</v>
      </c>
      <c r="N262" t="b">
        <v>1</v>
      </c>
    </row>
    <row r="263" spans="2:14" x14ac:dyDescent="0.2">
      <c r="B263">
        <v>250</v>
      </c>
      <c r="C263">
        <v>1191503.4657401622</v>
      </c>
      <c r="D263">
        <v>1191503.4657401619</v>
      </c>
      <c r="E263">
        <v>1.9540911994681881E-16</v>
      </c>
      <c r="F263">
        <v>1.4209298663623551E-13</v>
      </c>
      <c r="G263">
        <v>0</v>
      </c>
      <c r="H263">
        <v>3.9153449861699337E-16</v>
      </c>
      <c r="I263">
        <v>9.8963709094366813E-16</v>
      </c>
      <c r="J263">
        <v>0</v>
      </c>
      <c r="K263">
        <v>3.9153449861699337E-16</v>
      </c>
      <c r="L263">
        <v>1.082946759064184E-13</v>
      </c>
      <c r="M263">
        <v>0</v>
      </c>
      <c r="N263" t="b">
        <v>1</v>
      </c>
    </row>
    <row r="264" spans="2:14" x14ac:dyDescent="0.2">
      <c r="B264">
        <v>251</v>
      </c>
      <c r="C264">
        <v>1171638.6780751036</v>
      </c>
      <c r="D264">
        <v>1171638.6780751031</v>
      </c>
      <c r="E264">
        <v>3.9744444769677528E-16</v>
      </c>
      <c r="F264">
        <v>2.8521777846254092E-14</v>
      </c>
      <c r="G264">
        <v>0</v>
      </c>
      <c r="H264">
        <v>5.9731989176132488E-16</v>
      </c>
      <c r="I264">
        <v>8.8427605785157417E-16</v>
      </c>
      <c r="J264">
        <v>0</v>
      </c>
      <c r="K264">
        <v>5.9731989176132488E-16</v>
      </c>
      <c r="L264">
        <v>0</v>
      </c>
      <c r="M264">
        <v>1.6268051846118446E-16</v>
      </c>
      <c r="N264" t="b">
        <v>1</v>
      </c>
    </row>
    <row r="265" spans="2:14" x14ac:dyDescent="0.2">
      <c r="B265">
        <v>252</v>
      </c>
      <c r="C265">
        <v>1190589.7115122792</v>
      </c>
      <c r="D265">
        <v>1190589.711512279</v>
      </c>
      <c r="E265">
        <v>1.9555909260977042E-16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1.6000587997305484E-16</v>
      </c>
      <c r="N265" t="b">
        <v>1</v>
      </c>
    </row>
    <row r="266" spans="2:14" x14ac:dyDescent="0.2">
      <c r="B266">
        <v>253</v>
      </c>
      <c r="C266">
        <v>1168727.0660378372</v>
      </c>
      <c r="D266">
        <v>1168727.0660378381</v>
      </c>
      <c r="E266">
        <v>7.9686917645605936E-16</v>
      </c>
      <c r="F266">
        <v>2.683152806306777E-14</v>
      </c>
      <c r="G266">
        <v>0</v>
      </c>
      <c r="H266">
        <v>1.996067494233159E-16</v>
      </c>
      <c r="I266">
        <v>1.0136724186259797E-15</v>
      </c>
      <c r="J266">
        <v>0</v>
      </c>
      <c r="K266">
        <v>1.996067494233159E-16</v>
      </c>
      <c r="L266">
        <v>0</v>
      </c>
      <c r="M266">
        <v>3.2620044475608936E-16</v>
      </c>
      <c r="N266" t="b">
        <v>1</v>
      </c>
    </row>
    <row r="267" spans="2:14" x14ac:dyDescent="0.2">
      <c r="B267">
        <v>254</v>
      </c>
      <c r="C267">
        <v>1189522.4630353819</v>
      </c>
      <c r="D267">
        <v>1189522.4630353821</v>
      </c>
      <c r="E267">
        <v>1.9573454969462324E-16</v>
      </c>
      <c r="F267">
        <v>0</v>
      </c>
      <c r="G267">
        <v>0</v>
      </c>
      <c r="H267">
        <v>1.9609465946095502E-16</v>
      </c>
      <c r="I267">
        <v>0</v>
      </c>
      <c r="J267">
        <v>0</v>
      </c>
      <c r="K267">
        <v>1.9609465946095502E-16</v>
      </c>
      <c r="L267">
        <v>0</v>
      </c>
      <c r="M267">
        <v>0</v>
      </c>
      <c r="N267" t="b">
        <v>1</v>
      </c>
    </row>
    <row r="268" spans="2:14" x14ac:dyDescent="0.2">
      <c r="B268">
        <v>255</v>
      </c>
      <c r="C268">
        <v>1165515.0582032145</v>
      </c>
      <c r="D268">
        <v>1165515.058203215</v>
      </c>
      <c r="E268">
        <v>3.9953262210581259E-16</v>
      </c>
      <c r="F268">
        <v>0</v>
      </c>
      <c r="G268">
        <v>0</v>
      </c>
      <c r="H268">
        <v>2.0016170853009309E-16</v>
      </c>
      <c r="I268">
        <v>1.2713761627699077E-16</v>
      </c>
      <c r="J268">
        <v>0</v>
      </c>
      <c r="K268">
        <v>2.0016170853009309E-16</v>
      </c>
      <c r="L268">
        <v>0</v>
      </c>
      <c r="M268">
        <v>0</v>
      </c>
      <c r="N268" t="b">
        <v>1</v>
      </c>
    </row>
    <row r="269" spans="2:14" x14ac:dyDescent="0.2">
      <c r="B269">
        <v>256</v>
      </c>
      <c r="C269">
        <v>1188281.9035318033</v>
      </c>
      <c r="D269">
        <v>1188281.9035318031</v>
      </c>
      <c r="E269">
        <v>1.9593889544379329E-16</v>
      </c>
      <c r="F269">
        <v>0</v>
      </c>
      <c r="G269">
        <v>0</v>
      </c>
      <c r="H269">
        <v>3.9260062695854229E-16</v>
      </c>
      <c r="I269">
        <v>1.2415745737600319E-16</v>
      </c>
      <c r="J269">
        <v>0</v>
      </c>
      <c r="K269">
        <v>3.9260062695854229E-16</v>
      </c>
      <c r="L269">
        <v>0</v>
      </c>
      <c r="M269">
        <v>1.6032631103757148E-16</v>
      </c>
      <c r="N269" t="b">
        <v>1</v>
      </c>
    </row>
    <row r="270" spans="2:14" x14ac:dyDescent="0.2">
      <c r="B270">
        <v>257</v>
      </c>
      <c r="C270">
        <v>1161990.3836613959</v>
      </c>
      <c r="D270">
        <v>1161990.3836613961</v>
      </c>
      <c r="E270">
        <v>2.0037226377057219E-16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1.6408064009800199E-16</v>
      </c>
      <c r="N270" t="b">
        <v>1</v>
      </c>
    </row>
    <row r="271" spans="2:14" x14ac:dyDescent="0.2">
      <c r="B271">
        <v>258</v>
      </c>
      <c r="C271">
        <v>1186863.3181087696</v>
      </c>
      <c r="D271">
        <v>1186863.3181087701</v>
      </c>
      <c r="E271">
        <v>3.9234617853870159E-16</v>
      </c>
      <c r="F271">
        <v>0</v>
      </c>
      <c r="G271">
        <v>0</v>
      </c>
      <c r="H271">
        <v>3.9307213877778309E-16</v>
      </c>
      <c r="I271">
        <v>1.2435464318624698E-16</v>
      </c>
      <c r="J271">
        <v>0</v>
      </c>
      <c r="K271">
        <v>3.9307213877778309E-16</v>
      </c>
      <c r="L271">
        <v>0</v>
      </c>
      <c r="M271">
        <v>0</v>
      </c>
      <c r="N271" t="b">
        <v>1</v>
      </c>
    </row>
    <row r="272" spans="2:14" x14ac:dyDescent="0.2">
      <c r="B272">
        <v>259</v>
      </c>
      <c r="C272">
        <v>1158026.089087513</v>
      </c>
      <c r="D272">
        <v>1158026.089087513</v>
      </c>
      <c r="E272">
        <v>0</v>
      </c>
      <c r="F272">
        <v>2.0589786245637775E-14</v>
      </c>
      <c r="G272">
        <v>0</v>
      </c>
      <c r="H272">
        <v>2.0146902164461714E-16</v>
      </c>
      <c r="I272">
        <v>1.2815360159418939E-16</v>
      </c>
      <c r="J272">
        <v>0</v>
      </c>
      <c r="K272">
        <v>2.0146902164461714E-16</v>
      </c>
      <c r="L272">
        <v>0</v>
      </c>
      <c r="M272">
        <v>1.6466372309908912E-16</v>
      </c>
      <c r="N272" t="b">
        <v>1</v>
      </c>
    </row>
    <row r="273" spans="2:14" x14ac:dyDescent="0.2">
      <c r="B273">
        <v>260</v>
      </c>
      <c r="C273">
        <v>1185233.4806899293</v>
      </c>
      <c r="D273">
        <v>1185233.4806899291</v>
      </c>
      <c r="E273">
        <v>1.9644285066798653E-16</v>
      </c>
      <c r="F273">
        <v>4.8584306643689629E-14</v>
      </c>
      <c r="G273">
        <v>0</v>
      </c>
      <c r="H273">
        <v>3.936154208588029E-16</v>
      </c>
      <c r="I273">
        <v>1.2457812441341012E-16</v>
      </c>
      <c r="J273">
        <v>0</v>
      </c>
      <c r="K273">
        <v>3.936154208588029E-16</v>
      </c>
      <c r="L273">
        <v>1.0859384550377496E-13</v>
      </c>
      <c r="M273">
        <v>1.6075177947605005E-16</v>
      </c>
      <c r="N273" t="b">
        <v>1</v>
      </c>
    </row>
    <row r="274" spans="2:14" x14ac:dyDescent="0.2">
      <c r="B274">
        <v>261</v>
      </c>
      <c r="C274">
        <v>1153571.7396396657</v>
      </c>
      <c r="D274">
        <v>1153571.7396396659</v>
      </c>
      <c r="E274">
        <v>2.0183455926772052E-16</v>
      </c>
      <c r="F274">
        <v>1.4850456095770462E-16</v>
      </c>
      <c r="G274">
        <v>0</v>
      </c>
      <c r="H274">
        <v>2.0225564998296953E-16</v>
      </c>
      <c r="I274">
        <v>0</v>
      </c>
      <c r="J274">
        <v>0</v>
      </c>
      <c r="K274">
        <v>2.0225564998296953E-16</v>
      </c>
      <c r="L274">
        <v>0</v>
      </c>
      <c r="M274">
        <v>0</v>
      </c>
      <c r="N274" t="b">
        <v>1</v>
      </c>
    </row>
    <row r="275" spans="2:14" x14ac:dyDescent="0.2">
      <c r="B275">
        <v>262</v>
      </c>
      <c r="C275">
        <v>1183360.627041969</v>
      </c>
      <c r="D275">
        <v>1183360.6270419681</v>
      </c>
      <c r="E275">
        <v>7.8701500906236341E-16</v>
      </c>
      <c r="F275">
        <v>4.4408754981740344E-14</v>
      </c>
      <c r="G275">
        <v>0</v>
      </c>
      <c r="H275">
        <v>7.8848355969134791E-16</v>
      </c>
      <c r="I275">
        <v>1.1234772391836321E-15</v>
      </c>
      <c r="J275">
        <v>0</v>
      </c>
      <c r="K275">
        <v>7.8848355969134791E-16</v>
      </c>
      <c r="L275">
        <v>0</v>
      </c>
      <c r="M275">
        <v>4.8304328965983889E-16</v>
      </c>
      <c r="N275" t="b">
        <v>1</v>
      </c>
    </row>
    <row r="276" spans="2:14" x14ac:dyDescent="0.2">
      <c r="B276">
        <v>263</v>
      </c>
      <c r="C276">
        <v>1148614.847118939</v>
      </c>
      <c r="D276">
        <v>1148614.847118939</v>
      </c>
      <c r="E276">
        <v>0</v>
      </c>
      <c r="F276">
        <v>3.462023776853758E-14</v>
      </c>
      <c r="G276">
        <v>0</v>
      </c>
      <c r="H276">
        <v>4.0627827905165231E-16</v>
      </c>
      <c r="I276">
        <v>1.1648903374074729E-15</v>
      </c>
      <c r="J276">
        <v>0</v>
      </c>
      <c r="K276">
        <v>4.0627827905165231E-16</v>
      </c>
      <c r="L276">
        <v>0</v>
      </c>
      <c r="M276">
        <v>3.3213369297054627E-16</v>
      </c>
      <c r="N276" t="b">
        <v>1</v>
      </c>
    </row>
    <row r="277" spans="2:14" x14ac:dyDescent="0.2">
      <c r="B277">
        <v>264</v>
      </c>
      <c r="C277">
        <v>1181226.8135910882</v>
      </c>
      <c r="D277">
        <v>1181226.8135910879</v>
      </c>
      <c r="E277">
        <v>1.9710917579497984E-16</v>
      </c>
      <c r="F277">
        <v>3.1610200309541193E-16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 t="b">
        <v>1</v>
      </c>
    </row>
    <row r="278" spans="2:14" x14ac:dyDescent="0.2">
      <c r="B278">
        <v>265</v>
      </c>
      <c r="C278">
        <v>1143168.3789728121</v>
      </c>
      <c r="D278">
        <v>1143168.3789728121</v>
      </c>
      <c r="E278">
        <v>0</v>
      </c>
      <c r="F278">
        <v>1.5880228651171297E-14</v>
      </c>
      <c r="G278">
        <v>0</v>
      </c>
      <c r="H278">
        <v>4.0823975490831898E-16</v>
      </c>
      <c r="I278">
        <v>2.0828272656099915E-15</v>
      </c>
      <c r="J278">
        <v>0</v>
      </c>
      <c r="K278">
        <v>4.0823975490831898E-16</v>
      </c>
      <c r="L278">
        <v>1.1071099515992199E-13</v>
      </c>
      <c r="M278">
        <v>1.6689121677846427E-16</v>
      </c>
      <c r="N278" t="b">
        <v>1</v>
      </c>
    </row>
    <row r="279" spans="2:14" x14ac:dyDescent="0.2">
      <c r="B279">
        <v>266</v>
      </c>
      <c r="C279">
        <v>1178819.5519559535</v>
      </c>
      <c r="D279">
        <v>1178819.551955953</v>
      </c>
      <c r="E279">
        <v>3.9502338295551012E-16</v>
      </c>
      <c r="F279">
        <v>3.7076823006449559E-14</v>
      </c>
      <c r="G279">
        <v>0</v>
      </c>
      <c r="H279">
        <v>1.978848725781634E-16</v>
      </c>
      <c r="I279">
        <v>0</v>
      </c>
      <c r="J279">
        <v>0</v>
      </c>
      <c r="K279">
        <v>1.978848725781634E-16</v>
      </c>
      <c r="L279">
        <v>0</v>
      </c>
      <c r="M279">
        <v>3.2331050340516679E-16</v>
      </c>
      <c r="N279" t="b">
        <v>1</v>
      </c>
    </row>
    <row r="280" spans="2:14" x14ac:dyDescent="0.2">
      <c r="B280">
        <v>267</v>
      </c>
      <c r="C280">
        <v>1137224.7743522439</v>
      </c>
      <c r="D280">
        <v>1137224.7743522441</v>
      </c>
      <c r="E280">
        <v>2.0473581732027292E-16</v>
      </c>
      <c r="F280">
        <v>1.1344278798926193E-16</v>
      </c>
      <c r="G280">
        <v>0</v>
      </c>
      <c r="H280">
        <v>4.1040442965994436E-16</v>
      </c>
      <c r="I280">
        <v>0</v>
      </c>
      <c r="J280">
        <v>0</v>
      </c>
      <c r="K280">
        <v>4.1040442965994436E-16</v>
      </c>
      <c r="L280">
        <v>0</v>
      </c>
      <c r="M280">
        <v>0</v>
      </c>
      <c r="N280" t="b">
        <v>1</v>
      </c>
    </row>
    <row r="281" spans="2:14" x14ac:dyDescent="0.2">
      <c r="B281">
        <v>268</v>
      </c>
      <c r="C281">
        <v>1176155.9289589822</v>
      </c>
      <c r="D281">
        <v>1176155.928958982</v>
      </c>
      <c r="E281">
        <v>1.9795899329432322E-16</v>
      </c>
      <c r="F281">
        <v>3.3313838309149132E-14</v>
      </c>
      <c r="G281">
        <v>0</v>
      </c>
      <c r="H281">
        <v>1.9833607105768639E-16</v>
      </c>
      <c r="I281">
        <v>1.1319716110556081E-15</v>
      </c>
      <c r="J281">
        <v>0</v>
      </c>
      <c r="K281">
        <v>1.9833607105768639E-16</v>
      </c>
      <c r="L281">
        <v>1.090416910074314E-13</v>
      </c>
      <c r="M281">
        <v>1.6203377903286536E-16</v>
      </c>
      <c r="N281" t="b">
        <v>1</v>
      </c>
    </row>
    <row r="282" spans="2:14" x14ac:dyDescent="0.2">
      <c r="B282">
        <v>269</v>
      </c>
      <c r="C282">
        <v>1130829.4856557888</v>
      </c>
      <c r="D282">
        <v>1130829.4856557869</v>
      </c>
      <c r="E282">
        <v>1.6471494357531524E-15</v>
      </c>
      <c r="F282">
        <v>2.0789749941064226E-16</v>
      </c>
      <c r="G282">
        <v>0</v>
      </c>
      <c r="H282">
        <v>1.4446675950367285E-15</v>
      </c>
      <c r="I282">
        <v>1.977993523796316E-15</v>
      </c>
      <c r="J282">
        <v>0</v>
      </c>
      <c r="K282">
        <v>1.4446675950367285E-15</v>
      </c>
      <c r="L282">
        <v>0</v>
      </c>
      <c r="M282">
        <v>6.7517175223713731E-16</v>
      </c>
      <c r="N282" t="b">
        <v>1</v>
      </c>
    </row>
    <row r="283" spans="2:14" x14ac:dyDescent="0.2">
      <c r="B283">
        <v>270</v>
      </c>
      <c r="C283">
        <v>1173202.0218960764</v>
      </c>
      <c r="D283">
        <v>1173202.0218960771</v>
      </c>
      <c r="E283">
        <v>5.9537225296691626E-16</v>
      </c>
      <c r="F283">
        <v>2.3761792046217214E-16</v>
      </c>
      <c r="G283">
        <v>0</v>
      </c>
      <c r="H283">
        <v>0</v>
      </c>
      <c r="I283">
        <v>2.1446927749008063E-15</v>
      </c>
      <c r="J283">
        <v>0</v>
      </c>
      <c r="K283">
        <v>0</v>
      </c>
      <c r="L283">
        <v>1.0918584773593467E-13</v>
      </c>
      <c r="M283">
        <v>3.2491166854410398E-16</v>
      </c>
      <c r="N283" t="b">
        <v>1</v>
      </c>
    </row>
    <row r="284" spans="2:14" x14ac:dyDescent="0.2">
      <c r="B284">
        <v>271</v>
      </c>
      <c r="C284">
        <v>1123972.2091705666</v>
      </c>
      <c r="D284">
        <v>1123972.2091705659</v>
      </c>
      <c r="E284">
        <v>6.2144946757808201E-16</v>
      </c>
      <c r="F284">
        <v>0</v>
      </c>
      <c r="G284">
        <v>0</v>
      </c>
      <c r="H284">
        <v>2.0766186776907805E-16</v>
      </c>
      <c r="I284">
        <v>0</v>
      </c>
      <c r="J284">
        <v>0</v>
      </c>
      <c r="K284">
        <v>2.0766186776907805E-16</v>
      </c>
      <c r="L284">
        <v>0</v>
      </c>
      <c r="M284">
        <v>1.6987073012422109E-16</v>
      </c>
      <c r="N284" t="b">
        <v>1</v>
      </c>
    </row>
    <row r="285" spans="2:14" x14ac:dyDescent="0.2">
      <c r="B285">
        <v>272</v>
      </c>
      <c r="C285">
        <v>1169933.4240971028</v>
      </c>
      <c r="D285">
        <v>1169933.4240971031</v>
      </c>
      <c r="E285">
        <v>1.9901187440093596E-16</v>
      </c>
      <c r="F285">
        <v>2.7883651513337211E-14</v>
      </c>
      <c r="G285">
        <v>0</v>
      </c>
      <c r="H285">
        <v>1.9939902898676383E-16</v>
      </c>
      <c r="I285">
        <v>0</v>
      </c>
      <c r="J285">
        <v>0</v>
      </c>
      <c r="K285">
        <v>1.9939902898676383E-16</v>
      </c>
      <c r="L285">
        <v>0</v>
      </c>
      <c r="M285">
        <v>1.629256832402228E-16</v>
      </c>
      <c r="N285" t="b">
        <v>1</v>
      </c>
    </row>
    <row r="286" spans="2:14" x14ac:dyDescent="0.2">
      <c r="B286">
        <v>273</v>
      </c>
      <c r="C286">
        <v>1116570.3370576838</v>
      </c>
      <c r="D286">
        <v>1116570.3370576841</v>
      </c>
      <c r="E286">
        <v>2.0852304232567229E-16</v>
      </c>
      <c r="F286">
        <v>0</v>
      </c>
      <c r="G286">
        <v>0</v>
      </c>
      <c r="H286">
        <v>2.0906423055270848E-16</v>
      </c>
      <c r="I286">
        <v>1.0709914878162922E-15</v>
      </c>
      <c r="J286">
        <v>0</v>
      </c>
      <c r="K286">
        <v>2.0906423055270848E-16</v>
      </c>
      <c r="L286">
        <v>1.1211390790476927E-13</v>
      </c>
      <c r="M286">
        <v>3.4210273356438959E-16</v>
      </c>
      <c r="N286" t="b">
        <v>1</v>
      </c>
    </row>
    <row r="287" spans="2:14" x14ac:dyDescent="0.2">
      <c r="B287">
        <v>274</v>
      </c>
      <c r="C287">
        <v>1166253.7581121293</v>
      </c>
      <c r="D287">
        <v>1166253.7581121291</v>
      </c>
      <c r="E287">
        <v>1.9963977996586588E-16</v>
      </c>
      <c r="F287">
        <v>1.9634768393353288E-16</v>
      </c>
      <c r="G287">
        <v>0</v>
      </c>
      <c r="H287">
        <v>2.0003355454327914E-16</v>
      </c>
      <c r="I287">
        <v>1.2707604007889512E-16</v>
      </c>
      <c r="J287">
        <v>0</v>
      </c>
      <c r="K287">
        <v>2.0003355454327914E-16</v>
      </c>
      <c r="L287">
        <v>0</v>
      </c>
      <c r="M287">
        <v>1.6345821944481702E-16</v>
      </c>
      <c r="N287" t="b">
        <v>1</v>
      </c>
    </row>
    <row r="288" spans="2:14" x14ac:dyDescent="0.2">
      <c r="B288">
        <v>275</v>
      </c>
      <c r="C288">
        <v>1108559.432278747</v>
      </c>
      <c r="D288">
        <v>1108559.432278747</v>
      </c>
      <c r="E288">
        <v>0</v>
      </c>
      <c r="F288">
        <v>0</v>
      </c>
      <c r="G288">
        <v>0</v>
      </c>
      <c r="H288">
        <v>2.1060576507585542E-16</v>
      </c>
      <c r="I288">
        <v>0</v>
      </c>
      <c r="J288">
        <v>0</v>
      </c>
      <c r="K288">
        <v>2.1060576507585542E-16</v>
      </c>
      <c r="L288">
        <v>2.198064564238038E-16</v>
      </c>
      <c r="M288">
        <v>0</v>
      </c>
      <c r="N288" t="b">
        <v>1</v>
      </c>
    </row>
    <row r="289" spans="2:14" x14ac:dyDescent="0.2">
      <c r="B289">
        <v>276</v>
      </c>
      <c r="C289">
        <v>1162056.4890053363</v>
      </c>
      <c r="D289">
        <v>1162056.4890053361</v>
      </c>
      <c r="E289">
        <v>2.0036086529077544E-16</v>
      </c>
      <c r="F289">
        <v>0</v>
      </c>
      <c r="G289">
        <v>0</v>
      </c>
      <c r="H289">
        <v>2.0076275664049355E-16</v>
      </c>
      <c r="I289">
        <v>0</v>
      </c>
      <c r="J289">
        <v>0</v>
      </c>
      <c r="K289">
        <v>2.0076275664049355E-16</v>
      </c>
      <c r="L289">
        <v>0</v>
      </c>
      <c r="M289">
        <v>0</v>
      </c>
      <c r="N289" t="b">
        <v>1</v>
      </c>
    </row>
    <row r="290" spans="2:14" x14ac:dyDescent="0.2">
      <c r="B290">
        <v>277</v>
      </c>
      <c r="C290">
        <v>1099853.2281342042</v>
      </c>
      <c r="D290">
        <v>1099853.2281342039</v>
      </c>
      <c r="E290">
        <v>2.1169246741116957E-16</v>
      </c>
      <c r="F290">
        <v>1.4892038380989145E-16</v>
      </c>
      <c r="G290">
        <v>0</v>
      </c>
      <c r="H290">
        <v>0</v>
      </c>
      <c r="I290">
        <v>1.3631434574739127E-16</v>
      </c>
      <c r="J290">
        <v>0</v>
      </c>
      <c r="K290">
        <v>0</v>
      </c>
      <c r="L290">
        <v>0</v>
      </c>
      <c r="M290">
        <v>0</v>
      </c>
      <c r="N290" t="b">
        <v>1</v>
      </c>
    </row>
    <row r="291" spans="2:14" x14ac:dyDescent="0.2">
      <c r="B291">
        <v>278</v>
      </c>
      <c r="C291">
        <v>1157272.3731732932</v>
      </c>
      <c r="D291">
        <v>1157272.373173293</v>
      </c>
      <c r="E291">
        <v>2.0118914877008386E-16</v>
      </c>
      <c r="F291">
        <v>4.1233977756256295E-14</v>
      </c>
      <c r="G291">
        <v>0</v>
      </c>
      <c r="H291">
        <v>0</v>
      </c>
      <c r="I291">
        <v>8.9784662466153647E-16</v>
      </c>
      <c r="J291">
        <v>0</v>
      </c>
      <c r="K291">
        <v>0</v>
      </c>
      <c r="L291">
        <v>0</v>
      </c>
      <c r="M291">
        <v>1.6477416254637169E-16</v>
      </c>
      <c r="N291" t="b">
        <v>1</v>
      </c>
    </row>
    <row r="292" spans="2:14" x14ac:dyDescent="0.2">
      <c r="B292">
        <v>279</v>
      </c>
      <c r="C292">
        <v>1090370.2289818758</v>
      </c>
      <c r="D292">
        <v>1090370.228981876</v>
      </c>
      <c r="E292">
        <v>2.1353356636605282E-16</v>
      </c>
      <c r="F292">
        <v>8.7895356093234915E-15</v>
      </c>
      <c r="G292">
        <v>0</v>
      </c>
      <c r="H292">
        <v>2.1420043773708468E-16</v>
      </c>
      <c r="I292">
        <v>1.1019473011148322E-15</v>
      </c>
      <c r="J292">
        <v>0</v>
      </c>
      <c r="K292">
        <v>2.1420043773708468E-16</v>
      </c>
      <c r="L292">
        <v>0</v>
      </c>
      <c r="M292">
        <v>0</v>
      </c>
      <c r="N292" t="b">
        <v>1</v>
      </c>
    </row>
    <row r="293" spans="2:14" x14ac:dyDescent="0.2">
      <c r="B293">
        <v>280</v>
      </c>
      <c r="C293">
        <v>1151805.5924107637</v>
      </c>
      <c r="D293">
        <v>1151805.592410763</v>
      </c>
      <c r="E293">
        <v>6.0643214060078028E-16</v>
      </c>
      <c r="F293">
        <v>3.7359681465672467E-14</v>
      </c>
      <c r="G293">
        <v>0</v>
      </c>
      <c r="H293">
        <v>2.0256851558735455E-16</v>
      </c>
      <c r="I293">
        <v>1.2900381169619083E-16</v>
      </c>
      <c r="J293">
        <v>0</v>
      </c>
      <c r="K293">
        <v>2.0256851558735455E-16</v>
      </c>
      <c r="L293">
        <v>1.1019749831032118E-13</v>
      </c>
      <c r="M293">
        <v>1.6558664227894178E-16</v>
      </c>
      <c r="N293" t="b">
        <v>1</v>
      </c>
    </row>
    <row r="294" spans="2:14" x14ac:dyDescent="0.2">
      <c r="B294">
        <v>281</v>
      </c>
      <c r="C294">
        <v>1079974.5588149284</v>
      </c>
      <c r="D294">
        <v>1079974.5588149279</v>
      </c>
      <c r="E294">
        <v>4.311780157291078E-16</v>
      </c>
      <c r="F294">
        <v>0</v>
      </c>
      <c r="G294">
        <v>0</v>
      </c>
      <c r="H294">
        <v>4.3263175475236874E-16</v>
      </c>
      <c r="I294">
        <v>9.7546319216580233E-16</v>
      </c>
      <c r="J294">
        <v>0</v>
      </c>
      <c r="K294">
        <v>4.3263175475236874E-16</v>
      </c>
      <c r="L294">
        <v>0</v>
      </c>
      <c r="M294">
        <v>1.771654370670638E-16</v>
      </c>
      <c r="N294" t="b">
        <v>1</v>
      </c>
    </row>
    <row r="295" spans="2:14" x14ac:dyDescent="0.2">
      <c r="B295">
        <v>282</v>
      </c>
      <c r="C295">
        <v>1145474.2182443277</v>
      </c>
      <c r="D295">
        <v>1145474.2182443279</v>
      </c>
      <c r="E295">
        <v>2.0326135669009635E-16</v>
      </c>
      <c r="F295">
        <v>1.6870644946114514E-14</v>
      </c>
      <c r="G295">
        <v>0</v>
      </c>
      <c r="H295">
        <v>2.0370174197894524E-16</v>
      </c>
      <c r="I295">
        <v>1.0388701990387042E-15</v>
      </c>
      <c r="J295">
        <v>0</v>
      </c>
      <c r="K295">
        <v>2.0370174197894524E-16</v>
      </c>
      <c r="L295">
        <v>1.1049371155501585E-13</v>
      </c>
      <c r="M295">
        <v>0</v>
      </c>
      <c r="N295" t="b">
        <v>1</v>
      </c>
    </row>
    <row r="296" spans="2:14" x14ac:dyDescent="0.2">
      <c r="B296">
        <v>283</v>
      </c>
      <c r="C296">
        <v>1068605.1549606388</v>
      </c>
      <c r="D296">
        <v>1068605.1549606391</v>
      </c>
      <c r="E296">
        <v>2.1788276293917531E-16</v>
      </c>
      <c r="F296">
        <v>0</v>
      </c>
      <c r="G296">
        <v>0</v>
      </c>
      <c r="H296">
        <v>2.1868291626748994E-16</v>
      </c>
      <c r="I296">
        <v>1.1293700734960866E-15</v>
      </c>
      <c r="J296">
        <v>0</v>
      </c>
      <c r="K296">
        <v>2.1868291626748994E-16</v>
      </c>
      <c r="L296">
        <v>0</v>
      </c>
      <c r="M296">
        <v>5.375482852077863E-16</v>
      </c>
      <c r="N296" t="b">
        <v>1</v>
      </c>
    </row>
    <row r="297" spans="2:14" x14ac:dyDescent="0.2">
      <c r="B297">
        <v>284</v>
      </c>
      <c r="C297">
        <v>1138171.2309886289</v>
      </c>
      <c r="D297">
        <v>1138171.2309886289</v>
      </c>
      <c r="E297">
        <v>0</v>
      </c>
      <c r="F297">
        <v>1.4896106257777121E-14</v>
      </c>
      <c r="G297">
        <v>0</v>
      </c>
      <c r="H297">
        <v>2.0502631454148024E-16</v>
      </c>
      <c r="I297">
        <v>2.2245572546049117E-15</v>
      </c>
      <c r="J297">
        <v>0</v>
      </c>
      <c r="K297">
        <v>2.0502631454148024E-16</v>
      </c>
      <c r="L297">
        <v>2.1648233297600244E-16</v>
      </c>
      <c r="M297">
        <v>0</v>
      </c>
      <c r="N297" t="b">
        <v>1</v>
      </c>
    </row>
    <row r="298" spans="2:14" x14ac:dyDescent="0.2">
      <c r="B298">
        <v>285</v>
      </c>
      <c r="C298">
        <v>1056240.4052937566</v>
      </c>
      <c r="D298">
        <v>1056240.4052937571</v>
      </c>
      <c r="E298">
        <v>4.4086676193591697E-16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1.1538264343459664E-13</v>
      </c>
      <c r="M298">
        <v>1.8147611039392751E-16</v>
      </c>
      <c r="N298" t="b">
        <v>1</v>
      </c>
    </row>
    <row r="299" spans="2:14" x14ac:dyDescent="0.2">
      <c r="B299">
        <v>286</v>
      </c>
      <c r="C299">
        <v>1129808.7507857818</v>
      </c>
      <c r="D299">
        <v>1129808.750785782</v>
      </c>
      <c r="E299">
        <v>2.060796957820834E-16</v>
      </c>
      <c r="F299">
        <v>1.3433116813155164E-14</v>
      </c>
      <c r="G299">
        <v>0</v>
      </c>
      <c r="H299">
        <v>4.1313312484870644E-16</v>
      </c>
      <c r="I299">
        <v>1.320226258110058E-16</v>
      </c>
      <c r="J299">
        <v>0</v>
      </c>
      <c r="K299">
        <v>4.1313312484870644E-16</v>
      </c>
      <c r="L299">
        <v>0</v>
      </c>
      <c r="M299">
        <v>1.6894709904775088E-16</v>
      </c>
      <c r="N299" t="b">
        <v>1</v>
      </c>
    </row>
    <row r="300" spans="2:14" x14ac:dyDescent="0.2">
      <c r="B300">
        <v>287</v>
      </c>
      <c r="C300">
        <v>1042651.0930793554</v>
      </c>
      <c r="D300">
        <v>1042651.093079355</v>
      </c>
      <c r="E300">
        <v>4.4661276470967865E-16</v>
      </c>
      <c r="F300">
        <v>0</v>
      </c>
      <c r="G300">
        <v>0</v>
      </c>
      <c r="H300">
        <v>3.3646182239830598E-16</v>
      </c>
      <c r="I300">
        <v>1.4558289088548647E-16</v>
      </c>
      <c r="J300">
        <v>0</v>
      </c>
      <c r="K300">
        <v>3.3646182239830598E-16</v>
      </c>
      <c r="L300">
        <v>0</v>
      </c>
      <c r="M300">
        <v>0</v>
      </c>
      <c r="N300" t="b">
        <v>1</v>
      </c>
    </row>
    <row r="301" spans="2:14" x14ac:dyDescent="0.2">
      <c r="B301">
        <v>288</v>
      </c>
      <c r="C301">
        <v>1120280.9602398542</v>
      </c>
      <c r="D301">
        <v>1120280.9602398539</v>
      </c>
      <c r="E301">
        <v>2.0783236698410034E-16</v>
      </c>
      <c r="F301">
        <v>1.1997753538565985E-14</v>
      </c>
      <c r="G301">
        <v>0</v>
      </c>
      <c r="H301">
        <v>4.1670576001416064E-16</v>
      </c>
      <c r="I301">
        <v>2.2674918763426237E-15</v>
      </c>
      <c r="J301">
        <v>0</v>
      </c>
      <c r="K301">
        <v>4.1670576001416064E-16</v>
      </c>
      <c r="L301">
        <v>0</v>
      </c>
      <c r="M301">
        <v>1.7045012850031716E-16</v>
      </c>
      <c r="N301" t="b">
        <v>1</v>
      </c>
    </row>
    <row r="302" spans="2:14" x14ac:dyDescent="0.2">
      <c r="B302">
        <v>289</v>
      </c>
      <c r="C302">
        <v>1027826.7613976655</v>
      </c>
      <c r="D302">
        <v>1027826.761397665</v>
      </c>
      <c r="E302">
        <v>4.5305425466303408E-16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3.7399971294791686E-16</v>
      </c>
      <c r="N302" t="b">
        <v>1</v>
      </c>
    </row>
    <row r="303" spans="2:14" x14ac:dyDescent="0.2">
      <c r="B303">
        <v>290</v>
      </c>
      <c r="C303">
        <v>1109500.9760910254</v>
      </c>
      <c r="D303">
        <v>1109500.9760910261</v>
      </c>
      <c r="E303">
        <v>6.2955503962017513E-16</v>
      </c>
      <c r="F303">
        <v>1.0707315140643213E-14</v>
      </c>
      <c r="G303">
        <v>0</v>
      </c>
      <c r="H303">
        <v>0</v>
      </c>
      <c r="I303">
        <v>9.4470518737594235E-16</v>
      </c>
      <c r="J303">
        <v>0</v>
      </c>
      <c r="K303">
        <v>0</v>
      </c>
      <c r="L303">
        <v>0</v>
      </c>
      <c r="M303">
        <v>3.4437387550359776E-16</v>
      </c>
      <c r="N303" t="b">
        <v>1</v>
      </c>
    </row>
    <row r="304" spans="2:14" x14ac:dyDescent="0.2">
      <c r="B304">
        <v>291</v>
      </c>
      <c r="C304">
        <v>1011800.807770495</v>
      </c>
      <c r="D304">
        <v>1011800.807770494</v>
      </c>
      <c r="E304">
        <v>9.2046039839368228E-16</v>
      </c>
      <c r="F304">
        <v>0</v>
      </c>
      <c r="G304">
        <v>0</v>
      </c>
      <c r="H304">
        <v>1.0414095342290362E-15</v>
      </c>
      <c r="I304">
        <v>1.512784174908826E-16</v>
      </c>
      <c r="J304">
        <v>0</v>
      </c>
      <c r="K304">
        <v>1.0414095342290362E-15</v>
      </c>
      <c r="L304">
        <v>1.1790856523053207E-13</v>
      </c>
      <c r="M304">
        <v>7.6112828682236603E-16</v>
      </c>
      <c r="N304" t="b">
        <v>1</v>
      </c>
    </row>
    <row r="305" spans="2:14" x14ac:dyDescent="0.2">
      <c r="B305">
        <v>292</v>
      </c>
      <c r="C305">
        <v>1097561.1521940599</v>
      </c>
      <c r="D305">
        <v>1097561.1521940599</v>
      </c>
      <c r="E305">
        <v>0</v>
      </c>
      <c r="F305">
        <v>9.557744753190636E-15</v>
      </c>
      <c r="G305">
        <v>0</v>
      </c>
      <c r="H305">
        <v>4.2550819219735836E-16</v>
      </c>
      <c r="I305">
        <v>0</v>
      </c>
      <c r="J305">
        <v>0</v>
      </c>
      <c r="K305">
        <v>4.2550819219735836E-16</v>
      </c>
      <c r="L305">
        <v>1.1288328613915098E-13</v>
      </c>
      <c r="M305">
        <v>3.483815308747598E-16</v>
      </c>
      <c r="N305" t="b">
        <v>1</v>
      </c>
    </row>
    <row r="306" spans="2:14" x14ac:dyDescent="0.2">
      <c r="B306">
        <v>293</v>
      </c>
      <c r="C306">
        <v>994608.72677761817</v>
      </c>
      <c r="D306">
        <v>994608.72677761817</v>
      </c>
      <c r="E306">
        <v>0</v>
      </c>
      <c r="F306">
        <v>0</v>
      </c>
      <c r="G306">
        <v>0</v>
      </c>
      <c r="H306">
        <v>0</v>
      </c>
      <c r="I306">
        <v>1.5468332215606409E-16</v>
      </c>
      <c r="J306">
        <v>0</v>
      </c>
      <c r="K306">
        <v>0</v>
      </c>
      <c r="L306">
        <v>1.1633032421599032E-16</v>
      </c>
      <c r="M306">
        <v>0</v>
      </c>
      <c r="N306" t="b">
        <v>1</v>
      </c>
    </row>
    <row r="307" spans="2:14" x14ac:dyDescent="0.2">
      <c r="B307">
        <v>294</v>
      </c>
      <c r="C307">
        <v>1084385.7993857407</v>
      </c>
      <c r="D307">
        <v>1084385.7993857409</v>
      </c>
      <c r="E307">
        <v>2.1471199990423926E-16</v>
      </c>
      <c r="F307">
        <v>0</v>
      </c>
      <c r="G307">
        <v>0</v>
      </c>
      <c r="H307">
        <v>2.154027747276189E-16</v>
      </c>
      <c r="I307">
        <v>1.388271082038135E-16</v>
      </c>
      <c r="J307">
        <v>0</v>
      </c>
      <c r="K307">
        <v>2.154027747276189E-16</v>
      </c>
      <c r="L307">
        <v>0</v>
      </c>
      <c r="M307">
        <v>0</v>
      </c>
      <c r="N307" t="b">
        <v>1</v>
      </c>
    </row>
    <row r="308" spans="2:14" x14ac:dyDescent="0.2">
      <c r="B308">
        <v>295</v>
      </c>
      <c r="C308">
        <v>976138.94876029168</v>
      </c>
      <c r="D308">
        <v>976138.94876029133</v>
      </c>
      <c r="E308">
        <v>3.5778304505147674E-16</v>
      </c>
      <c r="F308">
        <v>5.0675550465790321E-15</v>
      </c>
      <c r="G308">
        <v>0</v>
      </c>
      <c r="H308">
        <v>2.4030149652452858E-16</v>
      </c>
      <c r="I308">
        <v>1.5851033296014681E-16</v>
      </c>
      <c r="J308">
        <v>0</v>
      </c>
      <c r="K308">
        <v>2.4030149652452858E-16</v>
      </c>
      <c r="L308">
        <v>1.1752952850858159E-16</v>
      </c>
      <c r="M308">
        <v>0</v>
      </c>
      <c r="N308" t="b">
        <v>1</v>
      </c>
    </row>
    <row r="309" spans="2:14" x14ac:dyDescent="0.2">
      <c r="B309">
        <v>296</v>
      </c>
      <c r="C309">
        <v>1069771.7493370522</v>
      </c>
      <c r="D309">
        <v>1069771.7493370529</v>
      </c>
      <c r="E309">
        <v>6.5293548029705449E-16</v>
      </c>
      <c r="F309">
        <v>7.5339782603772764E-15</v>
      </c>
      <c r="G309">
        <v>0</v>
      </c>
      <c r="H309">
        <v>6.5528170761026625E-16</v>
      </c>
      <c r="I309">
        <v>1.2706973391909413E-15</v>
      </c>
      <c r="J309">
        <v>0</v>
      </c>
      <c r="K309">
        <v>6.5528170761026625E-16</v>
      </c>
      <c r="L309">
        <v>1.1441638499026709E-13</v>
      </c>
      <c r="M309">
        <v>1.7911466559275384E-16</v>
      </c>
      <c r="N309" t="b">
        <v>1</v>
      </c>
    </row>
    <row r="310" spans="2:14" x14ac:dyDescent="0.2">
      <c r="B310">
        <v>297</v>
      </c>
      <c r="C310">
        <v>956529.79885690717</v>
      </c>
      <c r="D310">
        <v>956529.79885690613</v>
      </c>
      <c r="E310">
        <v>1.095353116750262E-15</v>
      </c>
      <c r="F310">
        <v>9.0001005392142965E-15</v>
      </c>
      <c r="G310">
        <v>0</v>
      </c>
      <c r="H310">
        <v>9.8204750779030763E-16</v>
      </c>
      <c r="I310">
        <v>1.3021958232109332E-15</v>
      </c>
      <c r="J310">
        <v>0</v>
      </c>
      <c r="K310">
        <v>9.8204750779030763E-16</v>
      </c>
      <c r="L310">
        <v>1.1885207338273315E-16</v>
      </c>
      <c r="M310">
        <v>4.0526135298104522E-16</v>
      </c>
      <c r="N310" t="b">
        <v>1</v>
      </c>
    </row>
    <row r="311" spans="2:14" x14ac:dyDescent="0.2">
      <c r="B311">
        <v>298</v>
      </c>
      <c r="C311">
        <v>1053703.3018758551</v>
      </c>
      <c r="D311">
        <v>1053703.3018758551</v>
      </c>
      <c r="E311">
        <v>0</v>
      </c>
      <c r="F311">
        <v>0</v>
      </c>
      <c r="G311">
        <v>0</v>
      </c>
      <c r="H311">
        <v>4.4372539667344037E-16</v>
      </c>
      <c r="I311">
        <v>0</v>
      </c>
      <c r="J311">
        <v>0</v>
      </c>
      <c r="K311">
        <v>4.4372539667344037E-16</v>
      </c>
      <c r="L311">
        <v>1.1263225558058719E-16</v>
      </c>
      <c r="M311">
        <v>0</v>
      </c>
      <c r="N311" t="b">
        <v>1</v>
      </c>
    </row>
    <row r="312" spans="2:14" x14ac:dyDescent="0.2">
      <c r="B312">
        <v>299</v>
      </c>
      <c r="C312">
        <v>935973.80981409538</v>
      </c>
      <c r="D312">
        <v>935973.80981409457</v>
      </c>
      <c r="E312">
        <v>8.706517685045083E-16</v>
      </c>
      <c r="F312">
        <v>8.3780697741263832E-15</v>
      </c>
      <c r="G312">
        <v>0</v>
      </c>
      <c r="H312">
        <v>7.5374385115830448E-16</v>
      </c>
      <c r="I312">
        <v>2.6797915020033464E-15</v>
      </c>
      <c r="J312">
        <v>0</v>
      </c>
      <c r="K312">
        <v>7.5374385115830448E-16</v>
      </c>
      <c r="L312">
        <v>0</v>
      </c>
      <c r="M312">
        <v>4.1532284686870971E-16</v>
      </c>
      <c r="N312" t="b">
        <v>1</v>
      </c>
    </row>
    <row r="313" spans="2:14" x14ac:dyDescent="0.2">
      <c r="B313">
        <v>300</v>
      </c>
      <c r="C313">
        <v>1036225.5569429118</v>
      </c>
      <c r="D313">
        <v>1036225.5569429121</v>
      </c>
      <c r="E313">
        <v>2.2469108399600762E-16</v>
      </c>
      <c r="F313">
        <v>0</v>
      </c>
      <c r="G313">
        <v>0</v>
      </c>
      <c r="H313">
        <v>5.6434290604122075E-16</v>
      </c>
      <c r="I313">
        <v>1.1755007793219834E-15</v>
      </c>
      <c r="J313">
        <v>0</v>
      </c>
      <c r="K313">
        <v>5.6434290604122075E-16</v>
      </c>
      <c r="L313">
        <v>1.162481932346867E-13</v>
      </c>
      <c r="M313">
        <v>0</v>
      </c>
      <c r="N313" t="b">
        <v>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134</vt:i4>
      </vt:variant>
    </vt:vector>
  </HeadingPairs>
  <TitlesOfParts>
    <vt:vector size="156" baseType="lpstr">
      <vt:lpstr>Cover</vt:lpstr>
      <vt:lpstr>Control</vt:lpstr>
      <vt:lpstr>Policy_Data</vt:lpstr>
      <vt:lpstr>Basis_Lookup</vt:lpstr>
      <vt:lpstr>Basis_Tables</vt:lpstr>
      <vt:lpstr>Mortality</vt:lpstr>
      <vt:lpstr>Scenarios</vt:lpstr>
      <vt:lpstr>Policy_Basis</vt:lpstr>
      <vt:lpstr>Commutation</vt:lpstr>
      <vt:lpstr>Policy_Sched</vt:lpstr>
      <vt:lpstr>Proj_Base</vt:lpstr>
      <vt:lpstr>Proj_Mort</vt:lpstr>
      <vt:lpstr>Proj_Longev</vt:lpstr>
      <vt:lpstr>Proj_Exps</vt:lpstr>
      <vt:lpstr>Proj_LapseUp</vt:lpstr>
      <vt:lpstr>Proj_LapseDown</vt:lpstr>
      <vt:lpstr>Proj_LapseMass</vt:lpstr>
      <vt:lpstr>SCR</vt:lpstr>
      <vt:lpstr>Summary</vt:lpstr>
      <vt:lpstr>Checks</vt:lpstr>
      <vt:lpstr>Lifelib_Reference</vt:lpstr>
      <vt:lpstr>Batch_Results</vt:lpstr>
      <vt:lpstr>AllChecksPass</vt:lpstr>
      <vt:lpstr>AnnDue_gamma2</vt:lpstr>
      <vt:lpstr>AnnDue_xm_k</vt:lpstr>
      <vt:lpstr>AnnDue_xn_1</vt:lpstr>
      <vt:lpstr>AnnPremRate</vt:lpstr>
      <vt:lpstr>AsmpKeys</vt:lpstr>
      <vt:lpstr>AsmpTblGrid</vt:lpstr>
      <vt:lpstr>AsmpTblNames</vt:lpstr>
      <vt:lpstr>AsmpVals</vt:lpstr>
      <vt:lpstr>Axn</vt:lpstr>
      <vt:lpstr>BaseMortCol</vt:lpstr>
      <vt:lpstr>BaseMortTable</vt:lpstr>
      <vt:lpstr>BatchLimit</vt:lpstr>
      <vt:lpstr>BatchTol</vt:lpstr>
      <vt:lpstr>Beg1_Base</vt:lpstr>
      <vt:lpstr>Beg1_Exps</vt:lpstr>
      <vt:lpstr>Beg1_LapseDown</vt:lpstr>
      <vt:lpstr>Beg1_LapseMass</vt:lpstr>
      <vt:lpstr>Beg1_LapseUp</vt:lpstr>
      <vt:lpstr>Beg1_Longev</vt:lpstr>
      <vt:lpstr>Beg1_Mort</vt:lpstr>
      <vt:lpstr>CnsmpTax</vt:lpstr>
      <vt:lpstr>Comm_Dx</vt:lpstr>
      <vt:lpstr>Comm_lx</vt:lpstr>
      <vt:lpstr>Comm_Mx</vt:lpstr>
      <vt:lpstr>Comm_Nx</vt:lpstr>
      <vt:lpstr>CommInitPrem</vt:lpstr>
      <vt:lpstr>CommRenPrem</vt:lpstr>
      <vt:lpstr>CommRenTerm</vt:lpstr>
      <vt:lpstr>CorrGrid</vt:lpstr>
      <vt:lpstr>Dx_xn</vt:lpstr>
      <vt:lpstr>DxX</vt:lpstr>
      <vt:lpstr>Exn</vt:lpstr>
      <vt:lpstr>ExpsAcqAnnPrem</vt:lpstr>
      <vt:lpstr>ExpsAcqPol</vt:lpstr>
      <vt:lpstr>ExpsAcqSA</vt:lpstr>
      <vt:lpstr>ExpsMaintAnnPrem</vt:lpstr>
      <vt:lpstr>ExpsMaintPol</vt:lpstr>
      <vt:lpstr>ExpsMaintSA</vt:lpstr>
      <vt:lpstr>FactorKeys</vt:lpstr>
      <vt:lpstr>FactorVals</vt:lpstr>
      <vt:lpstr>Gen</vt:lpstr>
      <vt:lpstr>GrossPremRate</vt:lpstr>
      <vt:lpstr>InflRate</vt:lpstr>
      <vt:lpstr>InitSurrCharge</vt:lpstr>
      <vt:lpstr>IntRatePrem</vt:lpstr>
      <vt:lpstr>IssueAge</vt:lpstr>
      <vt:lpstr>LapseDown_Risk</vt:lpstr>
      <vt:lpstr>LapseMass_Risk</vt:lpstr>
      <vt:lpstr>LapseUp_Risk</vt:lpstr>
      <vt:lpstr>LastAge</vt:lpstr>
      <vt:lpstr>LastT</vt:lpstr>
      <vt:lpstr>Life_Cat</vt:lpstr>
      <vt:lpstr>Life_Disab</vt:lpstr>
      <vt:lpstr>Life_Exps</vt:lpstr>
      <vt:lpstr>Life_Lapse</vt:lpstr>
      <vt:lpstr>Life_Longev</vt:lpstr>
      <vt:lpstr>Life_Mort</vt:lpstr>
      <vt:lpstr>Life_Rev</vt:lpstr>
      <vt:lpstr>LifeVec</vt:lpstr>
      <vt:lpstr>LoadAcqP1</vt:lpstr>
      <vt:lpstr>LoadAcqP2</vt:lpstr>
      <vt:lpstr>LoadAcqSA</vt:lpstr>
      <vt:lpstr>LoadMaintPrem</vt:lpstr>
      <vt:lpstr>LoadMaintPremP1</vt:lpstr>
      <vt:lpstr>LoadMaintPremP2</vt:lpstr>
      <vt:lpstr>LoadMaintSA</vt:lpstr>
      <vt:lpstr>LoadMaintSA2</vt:lpstr>
      <vt:lpstr>LoadWaiver</vt:lpstr>
      <vt:lpstr>MortAges</vt:lpstr>
      <vt:lpstr>MortFactorCol</vt:lpstr>
      <vt:lpstr>MortFactorTable</vt:lpstr>
      <vt:lpstr>MortGrid</vt:lpstr>
      <vt:lpstr>MP_Count</vt:lpstr>
      <vt:lpstr>MP_Gen</vt:lpstr>
      <vt:lpstr>MP_ID</vt:lpstr>
      <vt:lpstr>MP_IssueAge</vt:lpstr>
      <vt:lpstr>MP_PolType</vt:lpstr>
      <vt:lpstr>MP_PremFreq</vt:lpstr>
      <vt:lpstr>MP_Product</vt:lpstr>
      <vt:lpstr>MP_Sex</vt:lpstr>
      <vt:lpstr>MP_SumAssured</vt:lpstr>
      <vt:lpstr>MP_Term</vt:lpstr>
      <vt:lpstr>Mx_xn</vt:lpstr>
      <vt:lpstr>MxX</vt:lpstr>
      <vt:lpstr>NAV_Base</vt:lpstr>
      <vt:lpstr>NAV_Exps</vt:lpstr>
      <vt:lpstr>NAV_LapseDown</vt:lpstr>
      <vt:lpstr>NAV_LapseMass</vt:lpstr>
      <vt:lpstr>NAV_LapseUp</vt:lpstr>
      <vt:lpstr>NAV_Longev</vt:lpstr>
      <vt:lpstr>NAV_Mort</vt:lpstr>
      <vt:lpstr>NetPremRatePrem</vt:lpstr>
      <vt:lpstr>Nx_xn</vt:lpstr>
      <vt:lpstr>NxX</vt:lpstr>
      <vt:lpstr>PolicyCount</vt:lpstr>
      <vt:lpstr>PolicyID</vt:lpstr>
      <vt:lpstr>PolicyTerm</vt:lpstr>
      <vt:lpstr>PolicyType</vt:lpstr>
      <vt:lpstr>PremFreq</vt:lpstr>
      <vt:lpstr>PremMortCol</vt:lpstr>
      <vt:lpstr>ProdGrid</vt:lpstr>
      <vt:lpstr>Product</vt:lpstr>
      <vt:lpstr>PVCHK_Base</vt:lpstr>
      <vt:lpstr>PVCHK_Exps</vt:lpstr>
      <vt:lpstr>PVCHK_LapseDown</vt:lpstr>
      <vt:lpstr>PVCHK_LapseMass</vt:lpstr>
      <vt:lpstr>PVCHK_LapseUp</vt:lpstr>
      <vt:lpstr>PVCHK_Longev</vt:lpstr>
      <vt:lpstr>PVCHK_Mort</vt:lpstr>
      <vt:lpstr>PVNCF_Base</vt:lpstr>
      <vt:lpstr>PVNCF_Exps</vt:lpstr>
      <vt:lpstr>PVNCF_LapseDown</vt:lpstr>
      <vt:lpstr>PVNCF_LapseMass</vt:lpstr>
      <vt:lpstr>PVNCF_LapseUp</vt:lpstr>
      <vt:lpstr>PVNCF_Longev</vt:lpstr>
      <vt:lpstr>PVNCF_Mort</vt:lpstr>
      <vt:lpstr>ScenGrid</vt:lpstr>
      <vt:lpstr>ScenID</vt:lpstr>
      <vt:lpstr>SCR_Life</vt:lpstr>
      <vt:lpstr>Sex</vt:lpstr>
      <vt:lpstr>SizeAnnPrem</vt:lpstr>
      <vt:lpstr>SizeExpsAcq0</vt:lpstr>
      <vt:lpstr>SizeExpsCommInit0</vt:lpstr>
      <vt:lpstr>SizePremium</vt:lpstr>
      <vt:lpstr>SpecKeys</vt:lpstr>
      <vt:lpstr>SpecVals</vt:lpstr>
      <vt:lpstr>SumAssured</vt:lpstr>
      <vt:lpstr>SurrCol</vt:lpstr>
      <vt:lpstr>SurrP1</vt:lpstr>
      <vt:lpstr>SurrP2</vt:lpstr>
      <vt:lpstr>SurrTable</vt:lpstr>
      <vt:lpstr>T0</vt:lpstr>
      <vt:lpstr>TableIDPrem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Klaas Stijnen</cp:lastModifiedBy>
  <dcterms:created xsi:type="dcterms:W3CDTF">2026-08-04T13:04:49Z</dcterms:created>
  <dcterms:modified xsi:type="dcterms:W3CDTF">2026-08-05T08:57:36Z</dcterms:modified>
</cp:coreProperties>
</file>