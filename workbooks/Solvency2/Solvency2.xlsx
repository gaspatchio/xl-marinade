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Policy_Data" sheetId="3" state="visible" r:id="rId3"/>
    <sheet xmlns:r="http://schemas.openxmlformats.org/officeDocument/2006/relationships" name="Basis_Lookup" sheetId="4" state="visible" r:id="rId4"/>
    <sheet xmlns:r="http://schemas.openxmlformats.org/officeDocument/2006/relationships" name="Basis_Tables" sheetId="5" state="visible" r:id="rId5"/>
    <sheet xmlns:r="http://schemas.openxmlformats.org/officeDocument/2006/relationships" name="Mortality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Policy_Basis" sheetId="8" state="visible" r:id="rId8"/>
    <sheet xmlns:r="http://schemas.openxmlformats.org/officeDocument/2006/relationships" name="Commutation" sheetId="9" state="visible" r:id="rId9"/>
    <sheet xmlns:r="http://schemas.openxmlformats.org/officeDocument/2006/relationships" name="Policy_Sched" sheetId="10" state="visible" r:id="rId10"/>
    <sheet xmlns:r="http://schemas.openxmlformats.org/officeDocument/2006/relationships" name="Proj_Base" sheetId="11" state="visible" r:id="rId11"/>
    <sheet xmlns:r="http://schemas.openxmlformats.org/officeDocument/2006/relationships" name="Proj_Mort" sheetId="12" state="visible" r:id="rId12"/>
    <sheet xmlns:r="http://schemas.openxmlformats.org/officeDocument/2006/relationships" name="Proj_Longev" sheetId="13" state="visible" r:id="rId13"/>
    <sheet xmlns:r="http://schemas.openxmlformats.org/officeDocument/2006/relationships" name="Proj_Exps" sheetId="14" state="visible" r:id="rId14"/>
    <sheet xmlns:r="http://schemas.openxmlformats.org/officeDocument/2006/relationships" name="Proj_LapseUp" sheetId="15" state="visible" r:id="rId15"/>
    <sheet xmlns:r="http://schemas.openxmlformats.org/officeDocument/2006/relationships" name="Proj_LapseDown" sheetId="16" state="visible" r:id="rId16"/>
    <sheet xmlns:r="http://schemas.openxmlformats.org/officeDocument/2006/relationships" name="Proj_LapseMass" sheetId="17" state="visible" r:id="rId17"/>
    <sheet xmlns:r="http://schemas.openxmlformats.org/officeDocument/2006/relationships" name="SCR" sheetId="18" state="visible" r:id="rId18"/>
    <sheet xmlns:r="http://schemas.openxmlformats.org/officeDocument/2006/relationships" name="Summary" sheetId="19" state="visible" r:id="rId19"/>
    <sheet xmlns:r="http://schemas.openxmlformats.org/officeDocument/2006/relationships" name="Checks" sheetId="20" state="visible" r:id="rId20"/>
    <sheet xmlns:r="http://schemas.openxmlformats.org/officeDocument/2006/relationships" name="Lifelib_Reference" sheetId="21" state="visible" r:id="rId21"/>
    <sheet xmlns:r="http://schemas.openxmlformats.org/officeDocument/2006/relationships" name="Batch_Results" sheetId="22" state="visible" r:id="rId22"/>
  </sheets>
  <definedNames>
    <definedName name="PolicyID">'Control'!$C$4</definedName>
    <definedName name="ScenID">'Control'!$C$5</definedName>
    <definedName name="T0">'Control'!$C$6</definedName>
    <definedName name="BatchLimit">'Control'!$C$10</definedName>
    <definedName name="BatchTol">'Control'!$C$11</definedName>
    <definedName name="MP_ID">Policy_Data!$A$4:$A$303</definedName>
    <definedName name="MP_Product">Policy_Data!$B$4:$B$303</definedName>
    <definedName name="MP_PolType">Policy_Data!$C$4:$C$303</definedName>
    <definedName name="MP_Gen">Policy_Data!$D$4:$D$303</definedName>
    <definedName name="MP_Sex">Policy_Data!$E$4:$E$303</definedName>
    <definedName name="MP_IssueAge">Policy_Data!$F$4:$F$303</definedName>
    <definedName name="MP_PremFreq">Policy_Data!$G$4:$G$303</definedName>
    <definedName name="MP_Term">Policy_Data!$H$4:$H$303</definedName>
    <definedName name="MP_Count">Policy_Data!$I$4:$I$303</definedName>
    <definedName name="MP_SumAssured">Policy_Data!$J$4:$J$303</definedName>
    <definedName name="AsmpKeys">Basis_Lookup!$F$4:$F$42</definedName>
    <definedName name="AsmpVals">Basis_Lookup!$E$4:$E$42</definedName>
    <definedName name="SpecKeys">Basis_Lookup!$M$4:$M$68</definedName>
    <definedName name="SpecVals">Basis_Lookup!$L$4:$L$68</definedName>
    <definedName name="AsmpTblGrid">Basis_Tables!$B$4:$I$23</definedName>
    <definedName name="AsmpTblNames">Basis_Tables!$B$2:$I$2</definedName>
    <definedName name="FactorKeys">Basis_Tables!$K$4:$K$18</definedName>
    <definedName name="FactorVals">Basis_Tables!$L$4:$L$18</definedName>
    <definedName name="MortGrid">Mortality!$B$4:$M$134</definedName>
    <definedName name="MortAges">Mortality!$A$4:$A$134</definedName>
    <definedName name="ScenGrid">Scenarios!$B$4:$K$154</definedName>
    <definedName name="Product">'Policy_Basis'!$C$4</definedName>
    <definedName name="PolicyType">'Policy_Basis'!$C$5</definedName>
    <definedName name="Gen">'Policy_Basis'!$C$6</definedName>
    <definedName name="Sex">'Policy_Basis'!$C$7</definedName>
    <definedName name="IssueAge">'Policy_Basis'!$C$8</definedName>
    <definedName name="PremFreq">'Policy_Basis'!$C$9</definedName>
    <definedName name="PolicyTerm">'Policy_Basis'!$C$10</definedName>
    <definedName name="PolicyCount">'Policy_Basis'!$C$11</definedName>
    <definedName name="SumAssured">'Policy_Basis'!$C$12</definedName>
    <definedName name="BaseMortTable">'Policy_Basis'!$C$16</definedName>
    <definedName name="MortFactorTable">'Policy_Basis'!$C$17</definedName>
    <definedName name="SurrTable">'Policy_Basis'!$C$18</definedName>
    <definedName name="CnsmpTax">'Policy_Basis'!$C$19</definedName>
    <definedName name="CommInitPrem">'Policy_Basis'!$C$20</definedName>
    <definedName name="CommRenPrem">'Policy_Basis'!$C$21</definedName>
    <definedName name="CommRenTerm">'Policy_Basis'!$C$22</definedName>
    <definedName name="ExpsAcqAnnPrem">'Policy_Basis'!$C$23</definedName>
    <definedName name="ExpsAcqPol">'Policy_Basis'!$C$24</definedName>
    <definedName name="ExpsAcqSA">'Policy_Basis'!$C$25</definedName>
    <definedName name="ExpsMaintAnnPrem">'Policy_Basis'!$C$26</definedName>
    <definedName name="ExpsMaintPol">'Policy_Basis'!$C$27</definedName>
    <definedName name="ExpsMaintSA">'Policy_Basis'!$C$28</definedName>
    <definedName name="InflRate">'Policy_Basis'!$C$29</definedName>
    <definedName name="IntRatePrem">'Policy_Basis'!$C$30</definedName>
    <definedName name="TableIDPrem">'Policy_Basis'!$C$31</definedName>
    <definedName name="LoadAcqP1">'Policy_Basis'!$C$32</definedName>
    <definedName name="LoadAcqP2">'Policy_Basis'!$C$33</definedName>
    <definedName name="LoadMaintPremP1">'Policy_Basis'!$C$34</definedName>
    <definedName name="LoadMaintPremP2">'Policy_Basis'!$C$35</definedName>
    <definedName name="LoadMaintSA">'Policy_Basis'!$C$36</definedName>
    <definedName name="LoadMaintSA2">'Policy_Basis'!$C$37</definedName>
    <definedName name="SurrP1">'Policy_Basis'!$C$38</definedName>
    <definedName name="SurrP2">'Policy_Basis'!$C$39</definedName>
    <definedName name="BaseMortCol">'Policy_Basis'!$C$43</definedName>
    <definedName name="PremMortCol">'Policy_Basis'!$C$44</definedName>
    <definedName name="MortFactorCol">'Policy_Basis'!$C$45</definedName>
    <definedName name="SurrCol">'Policy_Basis'!$C$46</definedName>
    <definedName name="LastAge">'Policy_Basis'!$C$47</definedName>
    <definedName name="LastT">'Policy_Basis'!$C$48</definedName>
    <definedName name="DxX">'Policy_Basis'!$C$49</definedName>
    <definedName name="MxX">'Policy_Basis'!$C$50</definedName>
    <definedName name="NxX">'Policy_Basis'!$C$51</definedName>
    <definedName name="Dx_xn">'Policy_Basis'!$C$52</definedName>
    <definedName name="Mx_xn">'Policy_Basis'!$C$53</definedName>
    <definedName name="Nx_xn">'Policy_Basis'!$C$54</definedName>
    <definedName name="Axn">'Policy_Basis'!$C$55</definedName>
    <definedName name="Exn">'Policy_Basis'!$C$56</definedName>
    <definedName name="AnnDue_xm_k">'Policy_Basis'!$C$57</definedName>
    <definedName name="AnnDue_xn_1">'Policy_Basis'!$C$58</definedName>
    <definedName name="AnnDue_gamma2">'Policy_Basis'!$C$59</definedName>
    <definedName name="LoadAcqSA">'Policy_Basis'!$C$60</definedName>
    <definedName name="LoadMaintPrem">'Policy_Basis'!$C$61</definedName>
    <definedName name="LoadWaiver">'Policy_Basis'!$C$62</definedName>
    <definedName name="InitSurrCharge">'Policy_Basis'!$C$63</definedName>
    <definedName name="GrossPremRate">'Policy_Basis'!$C$64</definedName>
    <definedName name="NetPremRatePrem">'Policy_Basis'!$C$65</definedName>
    <definedName name="AnnPremRate">'Policy_Basis'!$C$66</definedName>
    <definedName name="SizePremium">'Policy_Basis'!$C$67</definedName>
    <definedName name="SizeAnnPrem">'Policy_Basis'!$C$68</definedName>
    <definedName name="SizeExpsAcq0">'Policy_Basis'!$C$69</definedName>
    <definedName name="SizeExpsCommInit0">'Policy_Basis'!$C$70</definedName>
    <definedName name="Comm_Dx">Commutation!$E$4:$E$134</definedName>
    <definedName name="Comm_Nx">Commutation!$G$4:$G$134</definedName>
    <definedName name="Comm_Mx">Commutation!$H$4:$H$134</definedName>
    <definedName name="Comm_lx">Commutation!$C$4:$C$134</definedName>
    <definedName name="PVNCF_Base">Proj_Base!$Z$7:$Z$110</definedName>
    <definedName name="PVCHK_Base">Proj_Base!$AA$7:$AA$110</definedName>
    <definedName name="Beg1_Base">Proj_Base!$J$7:$J$110</definedName>
    <definedName name="PVNCF_Mort">Proj_Mort!$Z$7:$Z$110</definedName>
    <definedName name="PVCHK_Mort">Proj_Mort!$AA$7:$AA$110</definedName>
    <definedName name="Beg1_Mort">Proj_Mort!$J$7:$J$110</definedName>
    <definedName name="PVNCF_Longev">Proj_Longev!$Z$7:$Z$110</definedName>
    <definedName name="PVCHK_Longev">Proj_Longev!$AA$7:$AA$110</definedName>
    <definedName name="Beg1_Longev">Proj_Longev!$J$7:$J$110</definedName>
    <definedName name="PVNCF_Exps">Proj_Exps!$Z$7:$Z$110</definedName>
    <definedName name="PVCHK_Exps">Proj_Exps!$AA$7:$AA$110</definedName>
    <definedName name="Beg1_Exps">Proj_Exps!$J$7:$J$110</definedName>
    <definedName name="PVNCF_LapseUp">Proj_LapseUp!$Z$7:$Z$110</definedName>
    <definedName name="PVCHK_LapseUp">Proj_LapseUp!$AA$7:$AA$110</definedName>
    <definedName name="Beg1_LapseUp">Proj_LapseUp!$J$7:$J$110</definedName>
    <definedName name="PVNCF_LapseDown">Proj_LapseDown!$Z$7:$Z$110</definedName>
    <definedName name="PVCHK_LapseDown">Proj_LapseDown!$AA$7:$AA$110</definedName>
    <definedName name="Beg1_LapseDown">Proj_LapseDown!$J$7:$J$110</definedName>
    <definedName name="PVNCF_LapseMass">Proj_LapseMass!$Z$7:$Z$110</definedName>
    <definedName name="PVCHK_LapseMass">Proj_LapseMass!$AA$7:$AA$110</definedName>
    <definedName name="Beg1_LapseMass">Proj_LapseMass!$J$7:$J$110</definedName>
    <definedName name="NAV_Base">'SCR'!$C$5</definedName>
    <definedName name="NAV_Mort">'SCR'!$C$6</definedName>
    <definedName name="NAV_Longev">'SCR'!$C$7</definedName>
    <definedName name="NAV_Exps">'SCR'!$C$8</definedName>
    <definedName name="NAV_LapseUp">'SCR'!$C$9</definedName>
    <definedName name="NAV_LapseDown">'SCR'!$C$10</definedName>
    <definedName name="NAV_LapseMass">'SCR'!$C$11</definedName>
    <definedName name="LapseUp_Risk">'SCR'!$C$15</definedName>
    <definedName name="LapseDown_Risk">'SCR'!$C$16</definedName>
    <definedName name="LapseMass_Risk">'SCR'!$C$17</definedName>
    <definedName name="Life_Mort">'SCR'!$C$21</definedName>
    <definedName name="Life_Longev">'SCR'!$C$22</definedName>
    <definedName name="Life_Disab">'SCR'!$C$23</definedName>
    <definedName name="Life_Lapse">'SCR'!$C$24</definedName>
    <definedName name="Life_Exps">'SCR'!$C$25</definedName>
    <definedName name="Life_Rev">'SCR'!$C$26</definedName>
    <definedName name="Life_Cat">'SCR'!$C$27</definedName>
    <definedName name="LifeVec">SCR!$C$21:$C$27</definedName>
    <definedName name="CorrGrid">SCR!$B$32:$H$38</definedName>
    <definedName name="ProdGrid">SCR!$B$43:$H$49</definedName>
    <definedName name="SCR_Life">'SCR'!$C$51</definedName>
    <definedName name="AllChecksPass">'Checks'!$C$27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"/>
    <numFmt numFmtId="165" formatCode="0.000000"/>
    <numFmt numFmtId="166" formatCode="0.0000"/>
    <numFmt numFmtId="167" formatCode="0.0000%"/>
    <numFmt numFmtId="168" formatCode="0.00000000"/>
    <numFmt numFmtId="169" formatCode="0.000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sz val="11"/>
    </font>
    <font>
      <name val="Calibri"/>
      <b val="1"/>
      <sz val="10"/>
    </font>
    <font>
      <name val="Calibri"/>
      <sz val="10"/>
    </font>
    <font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6100"/>
      <sz val="10"/>
    </font>
    <font>
      <name val="Calibri"/>
      <b val="1"/>
      <color rgb="00FFFFFF"/>
      <sz val="10"/>
    </font>
    <font>
      <i val="1"/>
      <color rgb="007F7F7F"/>
      <sz val="9"/>
    </font>
    <font>
      <i val="1"/>
      <color rgb="007F7F7F"/>
      <sz val="8"/>
    </font>
    <font>
      <b val="1"/>
      <sz val="10"/>
    </font>
    <font>
      <b val="1"/>
      <sz val="9"/>
    </font>
    <font>
      <name val="Calibri"/>
      <b val="1"/>
      <color rgb="00006100"/>
      <sz val="11"/>
    </font>
    <font>
      <color rgb="007F7F7F"/>
      <sz val="9"/>
    </font>
    <font>
      <name val="Calibri"/>
      <b val="1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6" fillId="0" borderId="1" pivotButton="0" quotePrefix="0" xfId="0"/>
    <xf numFmtId="0" fontId="10" fillId="0" borderId="0" pivotButton="0" quotePrefix="0" xfId="0"/>
    <xf numFmtId="164" fontId="6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8" fillId="0" borderId="1" pivotButton="0" quotePrefix="0" xfId="0"/>
    <xf numFmtId="1" fontId="8" fillId="0" borderId="1" pivotButton="0" quotePrefix="0" xfId="0"/>
    <xf numFmtId="4" fontId="8" fillId="0" borderId="1" pivotButton="0" quotePrefix="0" xfId="0"/>
    <xf numFmtId="167" fontId="8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" fontId="7" fillId="0" borderId="1" pivotButton="0" quotePrefix="0" xfId="0"/>
    <xf numFmtId="2" fontId="8" fillId="0" borderId="1" pivotButton="0" quotePrefix="0" xfId="0"/>
    <xf numFmtId="168" fontId="7" fillId="0" borderId="1" pivotButton="0" quotePrefix="0" xfId="0"/>
    <xf numFmtId="165" fontId="7" fillId="0" borderId="1" pivotButton="0" quotePrefix="0" xfId="0"/>
    <xf numFmtId="4" fontId="7" fillId="0" borderId="1" pivotButton="0" quotePrefix="0" xfId="0"/>
    <xf numFmtId="1" fontId="7" fillId="0" borderId="0" pivotButton="0" quotePrefix="0" xfId="0"/>
    <xf numFmtId="165" fontId="8" fillId="0" borderId="0" pivotButton="0" quotePrefix="0" xfId="0"/>
    <xf numFmtId="169" fontId="7" fillId="0" borderId="0" pivotButton="0" quotePrefix="0" xfId="0"/>
    <xf numFmtId="169" fontId="8" fillId="0" borderId="0" pivotButton="0" quotePrefix="0" xfId="0"/>
    <xf numFmtId="166" fontId="8" fillId="0" borderId="0" pivotButton="0" quotePrefix="0" xfId="0"/>
    <xf numFmtId="166" fontId="7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4" fontId="8" fillId="0" borderId="0" pivotButton="0" quotePrefix="0" xfId="0"/>
    <xf numFmtId="0" fontId="13" fillId="0" borderId="0" pivotButton="0" quotePrefix="0" xfId="0"/>
    <xf numFmtId="165" fontId="7" fillId="0" borderId="0" pivotButton="0" quotePrefix="0" xfId="0"/>
    <xf numFmtId="168" fontId="7" fillId="0" borderId="0" pivotButton="0" quotePrefix="0" xfId="0"/>
    <xf numFmtId="4" fontId="7" fillId="0" borderId="0" pivotButton="0" quotePrefix="0" xfId="0"/>
    <xf numFmtId="4" fontId="6" fillId="0" borderId="1" pivotButton="0" quotePrefix="0" xfId="0"/>
    <xf numFmtId="2" fontId="6" fillId="0" borderId="1" pivotButton="0" quotePrefix="0" xfId="0"/>
    <xf numFmtId="3" fontId="7" fillId="0" borderId="1" pivotButton="0" quotePrefix="0" xfId="0"/>
    <xf numFmtId="4" fontId="14" fillId="0" borderId="1" pivotButton="0" quotePrefix="0" xfId="0"/>
    <xf numFmtId="0" fontId="8" fillId="0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4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Life SCR risk profile</a:t>
            </a:r>
          </a:p>
        </rich>
      </tx>
    </title>
    <plotArea>
      <radarChart>
        <radarStyle val="fille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'SCR'!$B$21:$B$27</f>
            </numRef>
          </cat>
          <val>
            <numRef>
              <f>'SCR'!$C$21:$C$27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80" customWidth="1" min="3" max="3"/>
  </cols>
  <sheetData>
    <row r="2">
      <c r="B2" s="1" t="inlineStr">
        <is>
          <t>Solvency2 — Life Underwriting Risk SCR (Standard Formula)</t>
        </is>
      </c>
    </row>
    <row r="3">
      <c r="B3" s="2" t="inlineStr">
        <is>
          <t>Life SCR for a selected policy: base and stressed liability projections aggregated through the standard-formula correlation matrix</t>
        </is>
      </c>
    </row>
    <row r="5" ht="54" customHeight="1">
      <c r="B5" s="3" t="inlineStr">
        <is>
          <t>Purpose</t>
        </is>
      </c>
      <c r="C5" s="4" t="inlineStr">
        <is>
          <t>Calculates the Solvency II life underwriting risk SCR for the policy selected on the Control sheet. The annual liability cashflow engine is projected on seven scenario sheets — the base basis plus mortality, longevity, expense and three lapse stresses — and the SCR sheet aggregates the resulting risk charges with the standard-formula correlation matrix. The workbook is a formula-for-formula replication of the open-source lifelib model 'solvency2' (MIT licence), verified cell-by-cell against it.</t>
        </is>
      </c>
    </row>
    <row r="6" ht="54" customHeight="1">
      <c r="B6" s="3" t="inlineStr">
        <is>
          <t>Method</t>
        </is>
      </c>
      <c r="C6" s="4" t="inlineStr">
        <is>
          <t>SCR_life = sqrt( sum_ij Corr(i,j) * Life_i * Life_j ). Each Life charge is max(NAV_base − NAV_stressed, 0), where NAV is the present value of net liability cashflows at time t0 (assets assumed insensitive to life stresses, as in lifelib). Lapse risk takes the worst of the up / down / mass shocks.</t>
        </is>
      </c>
    </row>
    <row r="7" ht="54" customHeight="1">
      <c r="B7" s="3" t="inlineStr">
        <is>
          <t>Engine</t>
        </is>
      </c>
      <c r="C7" s="4" t="inlineStr">
        <is>
          <t>Net level premium engine: gross premium rates and reserves from PREM-basis commutation functions (Commutation sheet); decrements from the base mortality table, mortality factor and surrender rate tables; expense and commission assumptions resolved per product via the Basis_Lookup cascade.</t>
        </is>
      </c>
    </row>
    <row r="8" ht="54" customHeight="1">
      <c r="B8" s="3" t="inlineStr">
        <is>
          <t>Stresses</t>
        </is>
      </c>
      <c r="C8" s="4" t="inlineStr">
        <is>
          <t>Scenario sheets share one engine layout; each carries a parameter block (risk, shock, factors from the Factors table) that reproduces the lifelib Override spaces: mortality/longevity rate factors from t0, lapse up/down rate shocks with limits, one-off mass lapse at t0, expense level and inflation shocks. Disability, revision and catastrophe risks have no lifelib override (stressed projection would equal base), so their charges are zero.</t>
        </is>
      </c>
    </row>
    <row r="9" ht="54" customHeight="1">
      <c r="B9" s="3" t="inlineStr">
        <is>
          <t>Scope</t>
        </is>
      </c>
      <c r="C9" s="4" t="inlineStr">
        <is>
          <t>Only the cells lifelib evaluates for SCR_life() are replicated. Statutory reserve roll-forward and profit cells (ChangeRsrv, ProfitBefTax, InvstIncome, AccumCF) and the VAL rate basis lie outside that subgraph.</t>
        </is>
      </c>
    </row>
    <row r="10" ht="54" customHeight="1">
      <c r="B10" s="3" t="inlineStr">
        <is>
          <t>Reconciliation</t>
        </is>
      </c>
      <c r="C10" s="4" t="inlineStr">
        <is>
          <t>The RunAllPolicies macro (Batch_Results) computes the SCR and its risk decomposition for every one of the 300 policies and reconciles them against the lifelib values on Lifelib_Reference.</t>
        </is>
      </c>
    </row>
    <row r="11" ht="54" customHeight="1">
      <c r="B11" s="3" t="inlineStr">
        <is>
          <t>Source model</t>
        </is>
      </c>
      <c r="C11" s="4" t="inlineStr">
        <is>
          <t>lifelib solvency2 — https://lifelib.io (MIT licence)</t>
        </is>
      </c>
    </row>
    <row r="12" ht="54" customHeight="1">
      <c r="B12" s="3" t="inlineStr">
        <is>
          <t>Verification</t>
        </is>
      </c>
      <c r="C12" s="4" t="inlineStr">
        <is>
          <t>verification/verify_solvency2.py compares every mapped cell against the Python model for deep profiles across products, sexes, t0 and scenarios; see the Checks sheet for in-workbook consistency tests.</t>
        </is>
      </c>
    </row>
    <row r="14">
      <c r="B14" s="3" t="inlineStr">
        <is>
          <t>Version control</t>
        </is>
      </c>
    </row>
    <row r="15">
      <c r="B15" s="5" t="inlineStr">
        <is>
          <t>Version</t>
        </is>
      </c>
      <c r="C15" s="6" t="inlineStr">
        <is>
          <t>0.2.0</t>
        </is>
      </c>
    </row>
    <row r="16">
      <c r="B16" s="5" t="inlineStr">
        <is>
          <t>Date</t>
        </is>
      </c>
      <c r="C16" s="6" t="inlineStr">
        <is>
          <t>2026-07-14</t>
        </is>
      </c>
    </row>
    <row r="17">
      <c r="B17" s="5" t="inlineStr">
        <is>
          <t>Prepared by</t>
        </is>
      </c>
      <c r="C17" s="6" t="inlineStr">
        <is>
          <t>XL Marinade project</t>
        </is>
      </c>
    </row>
    <row r="18">
      <c r="B18" s="5" t="inlineStr">
        <is>
          <t>Review status</t>
        </is>
      </c>
      <c r="C18" s="6" t="inlineStr">
        <is>
          <t>Verified against lifelib; adversarial actuarial audit remediated (see verification/reports)</t>
        </is>
      </c>
    </row>
    <row r="20">
      <c r="B20" s="3" t="inlineStr">
        <is>
          <t>Sheet index</t>
        </is>
      </c>
    </row>
    <row r="21">
      <c r="B21" s="5" t="inlineStr">
        <is>
          <t>Control</t>
        </is>
      </c>
      <c r="C21" s="6" t="inlineStr">
        <is>
          <t>Run selection (policy, scenario, t0) and batch settings</t>
        </is>
      </c>
    </row>
    <row r="22">
      <c r="B22" s="5" t="inlineStr">
        <is>
          <t>Policy_Basis</t>
        </is>
      </c>
      <c r="C22" s="6" t="inlineStr">
        <is>
          <t>Selected policy, resolved lookups, premium/reserve rates</t>
        </is>
      </c>
    </row>
    <row r="23">
      <c r="B23" s="5" t="inlineStr">
        <is>
          <t>Policy_Data</t>
        </is>
      </c>
      <c r="C23" s="6" t="inlineStr">
        <is>
          <t>Policy file — 300 policies (input data)</t>
        </is>
      </c>
    </row>
    <row r="24">
      <c r="B24" s="5" t="inlineStr">
        <is>
          <t>Basis_Lookup</t>
        </is>
      </c>
      <c r="C24" s="6" t="inlineStr">
        <is>
          <t>Assumption and product-spec lookup tables (input data)</t>
        </is>
      </c>
    </row>
    <row r="25">
      <c r="B25" s="5" t="inlineStr">
        <is>
          <t>Basis_Tables</t>
        </is>
      </c>
      <c r="C25" s="6" t="inlineStr">
        <is>
          <t>Year-indexed assumption tables and shock factors (input data)</t>
        </is>
      </c>
    </row>
    <row r="26">
      <c r="B26" s="5" t="inlineStr">
        <is>
          <t>Mortality</t>
        </is>
      </c>
      <c r="C26" s="6" t="inlineStr">
        <is>
          <t>Mortality tables qx by age, 6 tables x M/F (input data)</t>
        </is>
      </c>
    </row>
    <row r="27">
      <c r="B27" s="5" t="inlineStr">
        <is>
          <t>Scenarios</t>
        </is>
      </c>
      <c r="C27" s="6" t="inlineStr">
        <is>
          <t>Discount rate paths by scenario (input data)</t>
        </is>
      </c>
    </row>
    <row r="28">
      <c r="B28" s="5" t="inlineStr">
        <is>
          <t>Commutation</t>
        </is>
      </c>
      <c r="C28" s="6" t="inlineStr">
        <is>
          <t>PREM-basis commutation functions lx/Dx/Cx/Nx/Mx</t>
        </is>
      </c>
    </row>
    <row r="29">
      <c r="B29" s="5" t="inlineStr">
        <is>
          <t>Policy_Sched</t>
        </is>
      </c>
      <c r="C29" s="6" t="inlineStr">
        <is>
          <t>Per-policy schedule shared by all stress projections</t>
        </is>
      </c>
    </row>
    <row r="30">
      <c r="B30" s="5" t="inlineStr">
        <is>
          <t>Proj_Base … Proj_LapseMass</t>
        </is>
      </c>
      <c r="C30" s="6" t="inlineStr">
        <is>
          <t>Liability projections — base + 6 life stresses</t>
        </is>
      </c>
    </row>
    <row r="31">
      <c r="B31" s="5" t="inlineStr">
        <is>
          <t>SCR</t>
        </is>
      </c>
      <c r="C31" s="6" t="inlineStr">
        <is>
          <t>NAVs, risk charges, correlation matrix, SCR aggregation</t>
        </is>
      </c>
    </row>
    <row r="32">
      <c r="B32" s="5" t="inlineStr">
        <is>
          <t>Summary</t>
        </is>
      </c>
      <c r="C32" s="6" t="inlineStr">
        <is>
          <t>Run details, SCR decomposition, risk radar</t>
        </is>
      </c>
    </row>
    <row r="33">
      <c r="B33" s="5" t="inlineStr">
        <is>
          <t>Checks</t>
        </is>
      </c>
      <c r="C33" s="6" t="inlineStr">
        <is>
          <t>Internal consistency checks (all must be TRUE)</t>
        </is>
      </c>
    </row>
    <row r="34">
      <c r="B34" s="5" t="inlineStr">
        <is>
          <t>Lifelib_Reference</t>
        </is>
      </c>
      <c r="C34" s="6" t="inlineStr">
        <is>
          <t>lifelib results for all policies (reconciliation target)</t>
        </is>
      </c>
    </row>
    <row r="35">
      <c r="B35" s="5" t="inlineStr">
        <is>
          <t>Batch_Results</t>
        </is>
      </c>
      <c r="C35" s="6" t="inlineStr">
        <is>
          <t>All-policies batch reconciliation vs lifelib (macro)</t>
        </is>
      </c>
    </row>
    <row r="37">
      <c r="B37" s="3" t="inlineStr">
        <is>
          <t>Conventions</t>
        </is>
      </c>
    </row>
    <row r="38">
      <c r="B38" s="7" t="inlineStr">
        <is>
          <t>Blue — hardcoded input</t>
        </is>
      </c>
    </row>
    <row r="39">
      <c r="B39" s="8" t="inlineStr">
        <is>
          <t>Black — calculated on this sheet</t>
        </is>
      </c>
    </row>
    <row r="40">
      <c r="B40" s="9" t="inlineStr">
        <is>
          <t>Green — link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4" customWidth="1" min="4" max="4"/>
  </cols>
  <sheetData>
    <row r="2">
      <c r="B2" s="3" t="inlineStr">
        <is>
          <t>Run selection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parameter</t>
        </is>
      </c>
    </row>
    <row r="4">
      <c r="B4" s="5" t="inlineStr">
        <is>
          <t>Policy ID</t>
        </is>
      </c>
      <c r="C4" s="11" t="n">
        <v>1</v>
      </c>
      <c r="D4" s="12" t="inlineStr">
        <is>
          <t>PolicyID — choose 1 to 300</t>
        </is>
      </c>
    </row>
    <row r="5">
      <c r="B5" s="5" t="inlineStr">
        <is>
          <t>Economic scenario</t>
        </is>
      </c>
      <c r="C5" s="11" t="n">
        <v>1</v>
      </c>
      <c r="D5" s="12" t="inlineStr">
        <is>
          <t>ScenID — discount rate path, choose 1 to 10</t>
        </is>
      </c>
    </row>
    <row r="6">
      <c r="B6" s="5" t="inlineStr">
        <is>
          <t>Valuation time t0 (years)</t>
        </is>
      </c>
      <c r="C6" s="11" t="n">
        <v>0</v>
      </c>
      <c r="D6" s="12" t="inlineStr">
        <is>
          <t>t0 — stresses apply from t0; NAV is PV of net cashflows at t0</t>
        </is>
      </c>
    </row>
    <row r="8">
      <c r="B8" s="3" t="inlineStr">
        <is>
          <t>Batch run (RunAllPolicies macro)</t>
        </is>
      </c>
    </row>
    <row r="9">
      <c r="B9" s="10" t="inlineStr">
        <is>
          <t>Item</t>
        </is>
      </c>
      <c r="C9" s="10" t="inlineStr">
        <is>
          <t>Value</t>
        </is>
      </c>
      <c r="D9" s="10" t="inlineStr">
        <is>
          <t>Notes</t>
        </is>
      </c>
    </row>
    <row r="10">
      <c r="B10" s="5" t="inlineStr">
        <is>
          <t>Policies to run (blank = all)</t>
        </is>
      </c>
      <c r="C10" s="11" t="n"/>
      <c r="D10" s="12" t="inlineStr">
        <is>
          <t>Cap for quick test runs; leave blank to run all 300 policies</t>
        </is>
      </c>
    </row>
    <row r="11">
      <c r="B11" s="5" t="inlineStr">
        <is>
          <t>Reconciliation tolerance (relative)</t>
        </is>
      </c>
      <c r="C11" s="13" t="n">
        <v>1e-06</v>
      </c>
      <c r="D11" s="12" t="inlineStr">
        <is>
          <t>A value reconciles when |workbook − lifelib| ≤ tol × max(1, |lifelib|)</t>
        </is>
      </c>
    </row>
    <row r="13">
      <c r="B13" s="12" t="inlineStr">
        <is>
          <t>The batch runs at t0 = 0, scenario 1 (the Lifelib_Reference basis) and restores the run selection afterwards.</t>
        </is>
      </c>
    </row>
  </sheetData>
  <dataValidations count="3">
    <dataValidation sqref="C4" showDropDown="0" showInputMessage="0" showErrorMessage="0" allowBlank="0" error="Value must be between 1 and 300" type="whole" operator="between">
      <formula1>1</formula1>
      <formula2>300</formula2>
    </dataValidation>
    <dataValidation sqref="C5" showDropDown="0" showInputMessage="0" showErrorMessage="0" allowBlank="0" error="Value must be between 1 and 10" type="whole" operator="between">
      <formula1>1</formula1>
      <formula2>10</formula2>
    </dataValidation>
    <dataValidation sqref="C6" showDropDown="0" showInputMessage="0" showErrorMessage="0" allowBlank="0" error="Value must be between 0 and 102" type="whole" operator="between">
      <formula1>0</formula1>
      <formula2>102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" customWidth="1" min="4" max="4"/>
    <col width="6" customWidth="1" min="5" max="5"/>
    <col width="9" customWidth="1" min="6" max="6"/>
    <col width="9" customWidth="1" min="7" max="7"/>
    <col width="10" customWidth="1" min="8" max="8"/>
    <col width="11" customWidth="1" min="9" max="9"/>
    <col width="12" customWidth="1" min="10" max="10"/>
  </cols>
  <sheetData>
    <row r="1">
      <c r="A1" s="3" t="inlineStr">
        <is>
          <t>Policy data — 300 policies (lifelib Input.PolicyData; unused attributes Channel/Duration/PaymentMode/MaxPolicyTerm omitted)</t>
        </is>
      </c>
    </row>
    <row r="2">
      <c r="A2" s="10" t="inlineStr">
        <is>
          <t>policy_id</t>
        </is>
      </c>
      <c r="B2" s="10" t="inlineStr">
        <is>
          <t>Product</t>
        </is>
      </c>
      <c r="C2" s="10" t="inlineStr">
        <is>
          <t>PolicyType</t>
        </is>
      </c>
      <c r="D2" s="10" t="inlineStr">
        <is>
          <t>Gen</t>
        </is>
      </c>
      <c r="E2" s="10" t="inlineStr">
        <is>
          <t>Sex</t>
        </is>
      </c>
      <c r="F2" s="10" t="inlineStr">
        <is>
          <t>IssueAge</t>
        </is>
      </c>
      <c r="G2" s="10" t="inlineStr">
        <is>
          <t>PremFreq</t>
        </is>
      </c>
      <c r="H2" s="10" t="inlineStr">
        <is>
          <t>PolicyTerm</t>
        </is>
      </c>
      <c r="I2" s="10" t="inlineStr">
        <is>
          <t>PolicyCount</t>
        </is>
      </c>
      <c r="J2" s="10" t="inlineStr">
        <is>
          <t>SumAssured</t>
        </is>
      </c>
    </row>
    <row r="3">
      <c r="A3" s="14" t="inlineStr">
        <is>
          <t>PolicyID</t>
        </is>
      </c>
      <c r="B3" s="14" t="inlineStr">
        <is>
          <t>Product</t>
        </is>
      </c>
      <c r="C3" s="14" t="inlineStr">
        <is>
          <t>PolicyType</t>
        </is>
      </c>
      <c r="D3" s="14" t="inlineStr">
        <is>
          <t>Gen</t>
        </is>
      </c>
      <c r="E3" s="14" t="inlineStr">
        <is>
          <t>Sex</t>
        </is>
      </c>
      <c r="F3" s="14" t="inlineStr">
        <is>
          <t>IssueAge</t>
        </is>
      </c>
      <c r="G3" s="14" t="inlineStr">
        <is>
          <t>PremFreq</t>
        </is>
      </c>
      <c r="H3" s="14" t="inlineStr">
        <is>
          <t>PolicyTerm</t>
        </is>
      </c>
      <c r="I3" s="14" t="inlineStr">
        <is>
          <t>PolicyCount</t>
        </is>
      </c>
      <c r="J3" s="14" t="inlineStr">
        <is>
          <t>SumAssured</t>
        </is>
      </c>
    </row>
    <row r="4">
      <c r="A4" s="7" t="n">
        <v>1</v>
      </c>
      <c r="B4" s="7" t="inlineStr">
        <is>
          <t>TERM</t>
        </is>
      </c>
      <c r="C4" s="7" t="n">
        <v>1</v>
      </c>
      <c r="D4" s="7" t="n">
        <v>1</v>
      </c>
      <c r="E4" s="7" t="inlineStr">
        <is>
          <t>M</t>
        </is>
      </c>
      <c r="F4" s="7" t="n">
        <v>30</v>
      </c>
      <c r="G4" s="7" t="n">
        <v>12</v>
      </c>
      <c r="H4" s="7" t="n">
        <v>15</v>
      </c>
      <c r="I4" s="7" t="n">
        <v>1</v>
      </c>
      <c r="J4" s="7" t="n">
        <v>1000000</v>
      </c>
    </row>
    <row r="5">
      <c r="A5" s="7" t="n">
        <v>2</v>
      </c>
      <c r="B5" s="7" t="inlineStr">
        <is>
          <t>TERM</t>
        </is>
      </c>
      <c r="C5" s="7" t="n">
        <v>1</v>
      </c>
      <c r="D5" s="7" t="n">
        <v>1</v>
      </c>
      <c r="E5" s="7" t="inlineStr">
        <is>
          <t>F</t>
        </is>
      </c>
      <c r="F5" s="7" t="n">
        <v>30</v>
      </c>
      <c r="G5" s="7" t="n">
        <v>12</v>
      </c>
      <c r="H5" s="7" t="n">
        <v>15</v>
      </c>
      <c r="I5" s="7" t="n">
        <v>1</v>
      </c>
      <c r="J5" s="7" t="n">
        <v>1000000</v>
      </c>
    </row>
    <row r="6">
      <c r="A6" s="7" t="n">
        <v>3</v>
      </c>
      <c r="B6" s="7" t="inlineStr">
        <is>
          <t>TERM</t>
        </is>
      </c>
      <c r="C6" s="7" t="n">
        <v>1</v>
      </c>
      <c r="D6" s="7" t="n">
        <v>1</v>
      </c>
      <c r="E6" s="7" t="inlineStr">
        <is>
          <t>M</t>
        </is>
      </c>
      <c r="F6" s="7" t="n">
        <v>31</v>
      </c>
      <c r="G6" s="7" t="n">
        <v>12</v>
      </c>
      <c r="H6" s="7" t="n">
        <v>15</v>
      </c>
      <c r="I6" s="7" t="n">
        <v>1</v>
      </c>
      <c r="J6" s="7" t="n">
        <v>1000000</v>
      </c>
    </row>
    <row r="7">
      <c r="A7" s="7" t="n">
        <v>4</v>
      </c>
      <c r="B7" s="7" t="inlineStr">
        <is>
          <t>TERM</t>
        </is>
      </c>
      <c r="C7" s="7" t="n">
        <v>1</v>
      </c>
      <c r="D7" s="7" t="n">
        <v>1</v>
      </c>
      <c r="E7" s="7" t="inlineStr">
        <is>
          <t>F</t>
        </is>
      </c>
      <c r="F7" s="7" t="n">
        <v>31</v>
      </c>
      <c r="G7" s="7" t="n">
        <v>12</v>
      </c>
      <c r="H7" s="7" t="n">
        <v>15</v>
      </c>
      <c r="I7" s="7" t="n">
        <v>1</v>
      </c>
      <c r="J7" s="7" t="n">
        <v>1000000</v>
      </c>
    </row>
    <row r="8">
      <c r="A8" s="7" t="n">
        <v>5</v>
      </c>
      <c r="B8" s="7" t="inlineStr">
        <is>
          <t>TERM</t>
        </is>
      </c>
      <c r="C8" s="7" t="n">
        <v>1</v>
      </c>
      <c r="D8" s="7" t="n">
        <v>1</v>
      </c>
      <c r="E8" s="7" t="inlineStr">
        <is>
          <t>M</t>
        </is>
      </c>
      <c r="F8" s="7" t="n">
        <v>32</v>
      </c>
      <c r="G8" s="7" t="n">
        <v>12</v>
      </c>
      <c r="H8" s="7" t="n">
        <v>15</v>
      </c>
      <c r="I8" s="7" t="n">
        <v>1</v>
      </c>
      <c r="J8" s="7" t="n">
        <v>1000000</v>
      </c>
    </row>
    <row r="9">
      <c r="A9" s="7" t="n">
        <v>6</v>
      </c>
      <c r="B9" s="7" t="inlineStr">
        <is>
          <t>TERM</t>
        </is>
      </c>
      <c r="C9" s="7" t="n">
        <v>1</v>
      </c>
      <c r="D9" s="7" t="n">
        <v>1</v>
      </c>
      <c r="E9" s="7" t="inlineStr">
        <is>
          <t>F</t>
        </is>
      </c>
      <c r="F9" s="7" t="n">
        <v>32</v>
      </c>
      <c r="G9" s="7" t="n">
        <v>12</v>
      </c>
      <c r="H9" s="7" t="n">
        <v>15</v>
      </c>
      <c r="I9" s="7" t="n">
        <v>1</v>
      </c>
      <c r="J9" s="7" t="n">
        <v>1000000</v>
      </c>
    </row>
    <row r="10">
      <c r="A10" s="7" t="n">
        <v>7</v>
      </c>
      <c r="B10" s="7" t="inlineStr">
        <is>
          <t>TERM</t>
        </is>
      </c>
      <c r="C10" s="7" t="n">
        <v>1</v>
      </c>
      <c r="D10" s="7" t="n">
        <v>1</v>
      </c>
      <c r="E10" s="7" t="inlineStr">
        <is>
          <t>M</t>
        </is>
      </c>
      <c r="F10" s="7" t="n">
        <v>33</v>
      </c>
      <c r="G10" s="7" t="n">
        <v>12</v>
      </c>
      <c r="H10" s="7" t="n">
        <v>15</v>
      </c>
      <c r="I10" s="7" t="n">
        <v>1</v>
      </c>
      <c r="J10" s="7" t="n">
        <v>1000000</v>
      </c>
    </row>
    <row r="11">
      <c r="A11" s="7" t="n">
        <v>8</v>
      </c>
      <c r="B11" s="7" t="inlineStr">
        <is>
          <t>TERM</t>
        </is>
      </c>
      <c r="C11" s="7" t="n">
        <v>1</v>
      </c>
      <c r="D11" s="7" t="n">
        <v>1</v>
      </c>
      <c r="E11" s="7" t="inlineStr">
        <is>
          <t>F</t>
        </is>
      </c>
      <c r="F11" s="7" t="n">
        <v>33</v>
      </c>
      <c r="G11" s="7" t="n">
        <v>12</v>
      </c>
      <c r="H11" s="7" t="n">
        <v>15</v>
      </c>
      <c r="I11" s="7" t="n">
        <v>1</v>
      </c>
      <c r="J11" s="7" t="n">
        <v>1000000</v>
      </c>
    </row>
    <row r="12">
      <c r="A12" s="7" t="n">
        <v>9</v>
      </c>
      <c r="B12" s="7" t="inlineStr">
        <is>
          <t>TERM</t>
        </is>
      </c>
      <c r="C12" s="7" t="n">
        <v>1</v>
      </c>
      <c r="D12" s="7" t="n">
        <v>1</v>
      </c>
      <c r="E12" s="7" t="inlineStr">
        <is>
          <t>M</t>
        </is>
      </c>
      <c r="F12" s="7" t="n">
        <v>34</v>
      </c>
      <c r="G12" s="7" t="n">
        <v>12</v>
      </c>
      <c r="H12" s="7" t="n">
        <v>15</v>
      </c>
      <c r="I12" s="7" t="n">
        <v>1</v>
      </c>
      <c r="J12" s="7" t="n">
        <v>1000000</v>
      </c>
    </row>
    <row r="13">
      <c r="A13" s="7" t="n">
        <v>10</v>
      </c>
      <c r="B13" s="7" t="inlineStr">
        <is>
          <t>TERM</t>
        </is>
      </c>
      <c r="C13" s="7" t="n">
        <v>1</v>
      </c>
      <c r="D13" s="7" t="n">
        <v>1</v>
      </c>
      <c r="E13" s="7" t="inlineStr">
        <is>
          <t>F</t>
        </is>
      </c>
      <c r="F13" s="7" t="n">
        <v>34</v>
      </c>
      <c r="G13" s="7" t="n">
        <v>12</v>
      </c>
      <c r="H13" s="7" t="n">
        <v>15</v>
      </c>
      <c r="I13" s="7" t="n">
        <v>1</v>
      </c>
      <c r="J13" s="7" t="n">
        <v>1000000</v>
      </c>
    </row>
    <row r="14">
      <c r="A14" s="7" t="n">
        <v>11</v>
      </c>
      <c r="B14" s="7" t="inlineStr">
        <is>
          <t>TERM</t>
        </is>
      </c>
      <c r="C14" s="7" t="n">
        <v>1</v>
      </c>
      <c r="D14" s="7" t="n">
        <v>1</v>
      </c>
      <c r="E14" s="7" t="inlineStr">
        <is>
          <t>M</t>
        </is>
      </c>
      <c r="F14" s="7" t="n">
        <v>35</v>
      </c>
      <c r="G14" s="7" t="n">
        <v>12</v>
      </c>
      <c r="H14" s="7" t="n">
        <v>15</v>
      </c>
      <c r="I14" s="7" t="n">
        <v>1</v>
      </c>
      <c r="J14" s="7" t="n">
        <v>1000000</v>
      </c>
    </row>
    <row r="15">
      <c r="A15" s="7" t="n">
        <v>12</v>
      </c>
      <c r="B15" s="7" t="inlineStr">
        <is>
          <t>TERM</t>
        </is>
      </c>
      <c r="C15" s="7" t="n">
        <v>1</v>
      </c>
      <c r="D15" s="7" t="n">
        <v>1</v>
      </c>
      <c r="E15" s="7" t="inlineStr">
        <is>
          <t>F</t>
        </is>
      </c>
      <c r="F15" s="7" t="n">
        <v>35</v>
      </c>
      <c r="G15" s="7" t="n">
        <v>12</v>
      </c>
      <c r="H15" s="7" t="n">
        <v>15</v>
      </c>
      <c r="I15" s="7" t="n">
        <v>1</v>
      </c>
      <c r="J15" s="7" t="n">
        <v>1000000</v>
      </c>
    </row>
    <row r="16">
      <c r="A16" s="7" t="n">
        <v>13</v>
      </c>
      <c r="B16" s="7" t="inlineStr">
        <is>
          <t>TERM</t>
        </is>
      </c>
      <c r="C16" s="7" t="n">
        <v>1</v>
      </c>
      <c r="D16" s="7" t="n">
        <v>1</v>
      </c>
      <c r="E16" s="7" t="inlineStr">
        <is>
          <t>M</t>
        </is>
      </c>
      <c r="F16" s="7" t="n">
        <v>36</v>
      </c>
      <c r="G16" s="7" t="n">
        <v>12</v>
      </c>
      <c r="H16" s="7" t="n">
        <v>15</v>
      </c>
      <c r="I16" s="7" t="n">
        <v>1</v>
      </c>
      <c r="J16" s="7" t="n">
        <v>1000000</v>
      </c>
    </row>
    <row r="17">
      <c r="A17" s="7" t="n">
        <v>14</v>
      </c>
      <c r="B17" s="7" t="inlineStr">
        <is>
          <t>TERM</t>
        </is>
      </c>
      <c r="C17" s="7" t="n">
        <v>1</v>
      </c>
      <c r="D17" s="7" t="n">
        <v>1</v>
      </c>
      <c r="E17" s="7" t="inlineStr">
        <is>
          <t>F</t>
        </is>
      </c>
      <c r="F17" s="7" t="n">
        <v>36</v>
      </c>
      <c r="G17" s="7" t="n">
        <v>12</v>
      </c>
      <c r="H17" s="7" t="n">
        <v>15</v>
      </c>
      <c r="I17" s="7" t="n">
        <v>1</v>
      </c>
      <c r="J17" s="7" t="n">
        <v>1000000</v>
      </c>
    </row>
    <row r="18">
      <c r="A18" s="7" t="n">
        <v>15</v>
      </c>
      <c r="B18" s="7" t="inlineStr">
        <is>
          <t>TERM</t>
        </is>
      </c>
      <c r="C18" s="7" t="n">
        <v>1</v>
      </c>
      <c r="D18" s="7" t="n">
        <v>1</v>
      </c>
      <c r="E18" s="7" t="inlineStr">
        <is>
          <t>M</t>
        </is>
      </c>
      <c r="F18" s="7" t="n">
        <v>37</v>
      </c>
      <c r="G18" s="7" t="n">
        <v>12</v>
      </c>
      <c r="H18" s="7" t="n">
        <v>15</v>
      </c>
      <c r="I18" s="7" t="n">
        <v>1</v>
      </c>
      <c r="J18" s="7" t="n">
        <v>1000000</v>
      </c>
    </row>
    <row r="19">
      <c r="A19" s="7" t="n">
        <v>16</v>
      </c>
      <c r="B19" s="7" t="inlineStr">
        <is>
          <t>TERM</t>
        </is>
      </c>
      <c r="C19" s="7" t="n">
        <v>1</v>
      </c>
      <c r="D19" s="7" t="n">
        <v>1</v>
      </c>
      <c r="E19" s="7" t="inlineStr">
        <is>
          <t>F</t>
        </is>
      </c>
      <c r="F19" s="7" t="n">
        <v>37</v>
      </c>
      <c r="G19" s="7" t="n">
        <v>12</v>
      </c>
      <c r="H19" s="7" t="n">
        <v>15</v>
      </c>
      <c r="I19" s="7" t="n">
        <v>1</v>
      </c>
      <c r="J19" s="7" t="n">
        <v>1000000</v>
      </c>
    </row>
    <row r="20">
      <c r="A20" s="7" t="n">
        <v>17</v>
      </c>
      <c r="B20" s="7" t="inlineStr">
        <is>
          <t>TERM</t>
        </is>
      </c>
      <c r="C20" s="7" t="n">
        <v>1</v>
      </c>
      <c r="D20" s="7" t="n">
        <v>1</v>
      </c>
      <c r="E20" s="7" t="inlineStr">
        <is>
          <t>M</t>
        </is>
      </c>
      <c r="F20" s="7" t="n">
        <v>38</v>
      </c>
      <c r="G20" s="7" t="n">
        <v>12</v>
      </c>
      <c r="H20" s="7" t="n">
        <v>15</v>
      </c>
      <c r="I20" s="7" t="n">
        <v>1</v>
      </c>
      <c r="J20" s="7" t="n">
        <v>1000000</v>
      </c>
    </row>
    <row r="21">
      <c r="A21" s="7" t="n">
        <v>18</v>
      </c>
      <c r="B21" s="7" t="inlineStr">
        <is>
          <t>TERM</t>
        </is>
      </c>
      <c r="C21" s="7" t="n">
        <v>1</v>
      </c>
      <c r="D21" s="7" t="n">
        <v>1</v>
      </c>
      <c r="E21" s="7" t="inlineStr">
        <is>
          <t>F</t>
        </is>
      </c>
      <c r="F21" s="7" t="n">
        <v>38</v>
      </c>
      <c r="G21" s="7" t="n">
        <v>12</v>
      </c>
      <c r="H21" s="7" t="n">
        <v>15</v>
      </c>
      <c r="I21" s="7" t="n">
        <v>1</v>
      </c>
      <c r="J21" s="7" t="n">
        <v>1000000</v>
      </c>
    </row>
    <row r="22">
      <c r="A22" s="7" t="n">
        <v>19</v>
      </c>
      <c r="B22" s="7" t="inlineStr">
        <is>
          <t>TERM</t>
        </is>
      </c>
      <c r="C22" s="7" t="n">
        <v>1</v>
      </c>
      <c r="D22" s="7" t="n">
        <v>1</v>
      </c>
      <c r="E22" s="7" t="inlineStr">
        <is>
          <t>M</t>
        </is>
      </c>
      <c r="F22" s="7" t="n">
        <v>39</v>
      </c>
      <c r="G22" s="7" t="n">
        <v>12</v>
      </c>
      <c r="H22" s="7" t="n">
        <v>15</v>
      </c>
      <c r="I22" s="7" t="n">
        <v>1</v>
      </c>
      <c r="J22" s="7" t="n">
        <v>1000000</v>
      </c>
    </row>
    <row r="23">
      <c r="A23" s="7" t="n">
        <v>20</v>
      </c>
      <c r="B23" s="7" t="inlineStr">
        <is>
          <t>TERM</t>
        </is>
      </c>
      <c r="C23" s="7" t="n">
        <v>1</v>
      </c>
      <c r="D23" s="7" t="n">
        <v>1</v>
      </c>
      <c r="E23" s="7" t="inlineStr">
        <is>
          <t>F</t>
        </is>
      </c>
      <c r="F23" s="7" t="n">
        <v>39</v>
      </c>
      <c r="G23" s="7" t="n">
        <v>12</v>
      </c>
      <c r="H23" s="7" t="n">
        <v>15</v>
      </c>
      <c r="I23" s="7" t="n">
        <v>1</v>
      </c>
      <c r="J23" s="7" t="n">
        <v>1000000</v>
      </c>
    </row>
    <row r="24">
      <c r="A24" s="7" t="n">
        <v>21</v>
      </c>
      <c r="B24" s="7" t="inlineStr">
        <is>
          <t>TERM</t>
        </is>
      </c>
      <c r="C24" s="7" t="n">
        <v>1</v>
      </c>
      <c r="D24" s="7" t="n">
        <v>1</v>
      </c>
      <c r="E24" s="7" t="inlineStr">
        <is>
          <t>M</t>
        </is>
      </c>
      <c r="F24" s="7" t="n">
        <v>40</v>
      </c>
      <c r="G24" s="7" t="n">
        <v>12</v>
      </c>
      <c r="H24" s="7" t="n">
        <v>15</v>
      </c>
      <c r="I24" s="7" t="n">
        <v>1</v>
      </c>
      <c r="J24" s="7" t="n">
        <v>1000000</v>
      </c>
    </row>
    <row r="25">
      <c r="A25" s="7" t="n">
        <v>22</v>
      </c>
      <c r="B25" s="7" t="inlineStr">
        <is>
          <t>TERM</t>
        </is>
      </c>
      <c r="C25" s="7" t="n">
        <v>1</v>
      </c>
      <c r="D25" s="7" t="n">
        <v>1</v>
      </c>
      <c r="E25" s="7" t="inlineStr">
        <is>
          <t>F</t>
        </is>
      </c>
      <c r="F25" s="7" t="n">
        <v>40</v>
      </c>
      <c r="G25" s="7" t="n">
        <v>12</v>
      </c>
      <c r="H25" s="7" t="n">
        <v>15</v>
      </c>
      <c r="I25" s="7" t="n">
        <v>1</v>
      </c>
      <c r="J25" s="7" t="n">
        <v>1000000</v>
      </c>
    </row>
    <row r="26">
      <c r="A26" s="7" t="n">
        <v>23</v>
      </c>
      <c r="B26" s="7" t="inlineStr">
        <is>
          <t>TERM</t>
        </is>
      </c>
      <c r="C26" s="7" t="n">
        <v>1</v>
      </c>
      <c r="D26" s="7" t="n">
        <v>1</v>
      </c>
      <c r="E26" s="7" t="inlineStr">
        <is>
          <t>M</t>
        </is>
      </c>
      <c r="F26" s="7" t="n">
        <v>41</v>
      </c>
      <c r="G26" s="7" t="n">
        <v>12</v>
      </c>
      <c r="H26" s="7" t="n">
        <v>15</v>
      </c>
      <c r="I26" s="7" t="n">
        <v>1</v>
      </c>
      <c r="J26" s="7" t="n">
        <v>1000000</v>
      </c>
    </row>
    <row r="27">
      <c r="A27" s="7" t="n">
        <v>24</v>
      </c>
      <c r="B27" s="7" t="inlineStr">
        <is>
          <t>TERM</t>
        </is>
      </c>
      <c r="C27" s="7" t="n">
        <v>1</v>
      </c>
      <c r="D27" s="7" t="n">
        <v>1</v>
      </c>
      <c r="E27" s="7" t="inlineStr">
        <is>
          <t>F</t>
        </is>
      </c>
      <c r="F27" s="7" t="n">
        <v>41</v>
      </c>
      <c r="G27" s="7" t="n">
        <v>12</v>
      </c>
      <c r="H27" s="7" t="n">
        <v>15</v>
      </c>
      <c r="I27" s="7" t="n">
        <v>1</v>
      </c>
      <c r="J27" s="7" t="n">
        <v>1000000</v>
      </c>
    </row>
    <row r="28">
      <c r="A28" s="7" t="n">
        <v>25</v>
      </c>
      <c r="B28" s="7" t="inlineStr">
        <is>
          <t>TERM</t>
        </is>
      </c>
      <c r="C28" s="7" t="n">
        <v>1</v>
      </c>
      <c r="D28" s="7" t="n">
        <v>1</v>
      </c>
      <c r="E28" s="7" t="inlineStr">
        <is>
          <t>M</t>
        </is>
      </c>
      <c r="F28" s="7" t="n">
        <v>42</v>
      </c>
      <c r="G28" s="7" t="n">
        <v>12</v>
      </c>
      <c r="H28" s="7" t="n">
        <v>15</v>
      </c>
      <c r="I28" s="7" t="n">
        <v>1</v>
      </c>
      <c r="J28" s="7" t="n">
        <v>1000000</v>
      </c>
    </row>
    <row r="29">
      <c r="A29" s="7" t="n">
        <v>26</v>
      </c>
      <c r="B29" s="7" t="inlineStr">
        <is>
          <t>TERM</t>
        </is>
      </c>
      <c r="C29" s="7" t="n">
        <v>1</v>
      </c>
      <c r="D29" s="7" t="n">
        <v>1</v>
      </c>
      <c r="E29" s="7" t="inlineStr">
        <is>
          <t>F</t>
        </is>
      </c>
      <c r="F29" s="7" t="n">
        <v>42</v>
      </c>
      <c r="G29" s="7" t="n">
        <v>12</v>
      </c>
      <c r="H29" s="7" t="n">
        <v>15</v>
      </c>
      <c r="I29" s="7" t="n">
        <v>1</v>
      </c>
      <c r="J29" s="7" t="n">
        <v>1000000</v>
      </c>
    </row>
    <row r="30">
      <c r="A30" s="7" t="n">
        <v>27</v>
      </c>
      <c r="B30" s="7" t="inlineStr">
        <is>
          <t>TERM</t>
        </is>
      </c>
      <c r="C30" s="7" t="n">
        <v>1</v>
      </c>
      <c r="D30" s="7" t="n">
        <v>1</v>
      </c>
      <c r="E30" s="7" t="inlineStr">
        <is>
          <t>M</t>
        </is>
      </c>
      <c r="F30" s="7" t="n">
        <v>43</v>
      </c>
      <c r="G30" s="7" t="n">
        <v>12</v>
      </c>
      <c r="H30" s="7" t="n">
        <v>15</v>
      </c>
      <c r="I30" s="7" t="n">
        <v>1</v>
      </c>
      <c r="J30" s="7" t="n">
        <v>1000000</v>
      </c>
    </row>
    <row r="31">
      <c r="A31" s="7" t="n">
        <v>28</v>
      </c>
      <c r="B31" s="7" t="inlineStr">
        <is>
          <t>TERM</t>
        </is>
      </c>
      <c r="C31" s="7" t="n">
        <v>1</v>
      </c>
      <c r="D31" s="7" t="n">
        <v>1</v>
      </c>
      <c r="E31" s="7" t="inlineStr">
        <is>
          <t>F</t>
        </is>
      </c>
      <c r="F31" s="7" t="n">
        <v>43</v>
      </c>
      <c r="G31" s="7" t="n">
        <v>12</v>
      </c>
      <c r="H31" s="7" t="n">
        <v>15</v>
      </c>
      <c r="I31" s="7" t="n">
        <v>1</v>
      </c>
      <c r="J31" s="7" t="n">
        <v>1000000</v>
      </c>
    </row>
    <row r="32">
      <c r="A32" s="7" t="n">
        <v>29</v>
      </c>
      <c r="B32" s="7" t="inlineStr">
        <is>
          <t>TERM</t>
        </is>
      </c>
      <c r="C32" s="7" t="n">
        <v>1</v>
      </c>
      <c r="D32" s="7" t="n">
        <v>1</v>
      </c>
      <c r="E32" s="7" t="inlineStr">
        <is>
          <t>M</t>
        </is>
      </c>
      <c r="F32" s="7" t="n">
        <v>44</v>
      </c>
      <c r="G32" s="7" t="n">
        <v>12</v>
      </c>
      <c r="H32" s="7" t="n">
        <v>15</v>
      </c>
      <c r="I32" s="7" t="n">
        <v>1</v>
      </c>
      <c r="J32" s="7" t="n">
        <v>1000000</v>
      </c>
    </row>
    <row r="33">
      <c r="A33" s="7" t="n">
        <v>30</v>
      </c>
      <c r="B33" s="7" t="inlineStr">
        <is>
          <t>TERM</t>
        </is>
      </c>
      <c r="C33" s="7" t="n">
        <v>1</v>
      </c>
      <c r="D33" s="7" t="n">
        <v>1</v>
      </c>
      <c r="E33" s="7" t="inlineStr">
        <is>
          <t>F</t>
        </is>
      </c>
      <c r="F33" s="7" t="n">
        <v>44</v>
      </c>
      <c r="G33" s="7" t="n">
        <v>12</v>
      </c>
      <c r="H33" s="7" t="n">
        <v>15</v>
      </c>
      <c r="I33" s="7" t="n">
        <v>1</v>
      </c>
      <c r="J33" s="7" t="n">
        <v>1000000</v>
      </c>
    </row>
    <row r="34">
      <c r="A34" s="7" t="n">
        <v>31</v>
      </c>
      <c r="B34" s="7" t="inlineStr">
        <is>
          <t>TERM</t>
        </is>
      </c>
      <c r="C34" s="7" t="n">
        <v>1</v>
      </c>
      <c r="D34" s="7" t="n">
        <v>1</v>
      </c>
      <c r="E34" s="7" t="inlineStr">
        <is>
          <t>M</t>
        </is>
      </c>
      <c r="F34" s="7" t="n">
        <v>45</v>
      </c>
      <c r="G34" s="7" t="n">
        <v>12</v>
      </c>
      <c r="H34" s="7" t="n">
        <v>15</v>
      </c>
      <c r="I34" s="7" t="n">
        <v>1</v>
      </c>
      <c r="J34" s="7" t="n">
        <v>1000000</v>
      </c>
    </row>
    <row r="35">
      <c r="A35" s="7" t="n">
        <v>32</v>
      </c>
      <c r="B35" s="7" t="inlineStr">
        <is>
          <t>TERM</t>
        </is>
      </c>
      <c r="C35" s="7" t="n">
        <v>1</v>
      </c>
      <c r="D35" s="7" t="n">
        <v>1</v>
      </c>
      <c r="E35" s="7" t="inlineStr">
        <is>
          <t>F</t>
        </is>
      </c>
      <c r="F35" s="7" t="n">
        <v>45</v>
      </c>
      <c r="G35" s="7" t="n">
        <v>12</v>
      </c>
      <c r="H35" s="7" t="n">
        <v>15</v>
      </c>
      <c r="I35" s="7" t="n">
        <v>1</v>
      </c>
      <c r="J35" s="7" t="n">
        <v>1000000</v>
      </c>
    </row>
    <row r="36">
      <c r="A36" s="7" t="n">
        <v>33</v>
      </c>
      <c r="B36" s="7" t="inlineStr">
        <is>
          <t>TERM</t>
        </is>
      </c>
      <c r="C36" s="7" t="n">
        <v>1</v>
      </c>
      <c r="D36" s="7" t="n">
        <v>1</v>
      </c>
      <c r="E36" s="7" t="inlineStr">
        <is>
          <t>M</t>
        </is>
      </c>
      <c r="F36" s="7" t="n">
        <v>46</v>
      </c>
      <c r="G36" s="7" t="n">
        <v>12</v>
      </c>
      <c r="H36" s="7" t="n">
        <v>15</v>
      </c>
      <c r="I36" s="7" t="n">
        <v>1</v>
      </c>
      <c r="J36" s="7" t="n">
        <v>1000000</v>
      </c>
    </row>
    <row r="37">
      <c r="A37" s="7" t="n">
        <v>34</v>
      </c>
      <c r="B37" s="7" t="inlineStr">
        <is>
          <t>TERM</t>
        </is>
      </c>
      <c r="C37" s="7" t="n">
        <v>1</v>
      </c>
      <c r="D37" s="7" t="n">
        <v>1</v>
      </c>
      <c r="E37" s="7" t="inlineStr">
        <is>
          <t>F</t>
        </is>
      </c>
      <c r="F37" s="7" t="n">
        <v>46</v>
      </c>
      <c r="G37" s="7" t="n">
        <v>12</v>
      </c>
      <c r="H37" s="7" t="n">
        <v>15</v>
      </c>
      <c r="I37" s="7" t="n">
        <v>1</v>
      </c>
      <c r="J37" s="7" t="n">
        <v>1000000</v>
      </c>
    </row>
    <row r="38">
      <c r="A38" s="7" t="n">
        <v>35</v>
      </c>
      <c r="B38" s="7" t="inlineStr">
        <is>
          <t>TERM</t>
        </is>
      </c>
      <c r="C38" s="7" t="n">
        <v>1</v>
      </c>
      <c r="D38" s="7" t="n">
        <v>1</v>
      </c>
      <c r="E38" s="7" t="inlineStr">
        <is>
          <t>M</t>
        </is>
      </c>
      <c r="F38" s="7" t="n">
        <v>47</v>
      </c>
      <c r="G38" s="7" t="n">
        <v>12</v>
      </c>
      <c r="H38" s="7" t="n">
        <v>15</v>
      </c>
      <c r="I38" s="7" t="n">
        <v>1</v>
      </c>
      <c r="J38" s="7" t="n">
        <v>1000000</v>
      </c>
    </row>
    <row r="39">
      <c r="A39" s="7" t="n">
        <v>36</v>
      </c>
      <c r="B39" s="7" t="inlineStr">
        <is>
          <t>TERM</t>
        </is>
      </c>
      <c r="C39" s="7" t="n">
        <v>1</v>
      </c>
      <c r="D39" s="7" t="n">
        <v>1</v>
      </c>
      <c r="E39" s="7" t="inlineStr">
        <is>
          <t>F</t>
        </is>
      </c>
      <c r="F39" s="7" t="n">
        <v>47</v>
      </c>
      <c r="G39" s="7" t="n">
        <v>12</v>
      </c>
      <c r="H39" s="7" t="n">
        <v>15</v>
      </c>
      <c r="I39" s="7" t="n">
        <v>1</v>
      </c>
      <c r="J39" s="7" t="n">
        <v>1000000</v>
      </c>
    </row>
    <row r="40">
      <c r="A40" s="7" t="n">
        <v>37</v>
      </c>
      <c r="B40" s="7" t="inlineStr">
        <is>
          <t>TERM</t>
        </is>
      </c>
      <c r="C40" s="7" t="n">
        <v>1</v>
      </c>
      <c r="D40" s="7" t="n">
        <v>1</v>
      </c>
      <c r="E40" s="7" t="inlineStr">
        <is>
          <t>M</t>
        </is>
      </c>
      <c r="F40" s="7" t="n">
        <v>48</v>
      </c>
      <c r="G40" s="7" t="n">
        <v>12</v>
      </c>
      <c r="H40" s="7" t="n">
        <v>15</v>
      </c>
      <c r="I40" s="7" t="n">
        <v>1</v>
      </c>
      <c r="J40" s="7" t="n">
        <v>1000000</v>
      </c>
    </row>
    <row r="41">
      <c r="A41" s="7" t="n">
        <v>38</v>
      </c>
      <c r="B41" s="7" t="inlineStr">
        <is>
          <t>TERM</t>
        </is>
      </c>
      <c r="C41" s="7" t="n">
        <v>1</v>
      </c>
      <c r="D41" s="7" t="n">
        <v>1</v>
      </c>
      <c r="E41" s="7" t="inlineStr">
        <is>
          <t>F</t>
        </is>
      </c>
      <c r="F41" s="7" t="n">
        <v>48</v>
      </c>
      <c r="G41" s="7" t="n">
        <v>12</v>
      </c>
      <c r="H41" s="7" t="n">
        <v>15</v>
      </c>
      <c r="I41" s="7" t="n">
        <v>1</v>
      </c>
      <c r="J41" s="7" t="n">
        <v>1000000</v>
      </c>
    </row>
    <row r="42">
      <c r="A42" s="7" t="n">
        <v>39</v>
      </c>
      <c r="B42" s="7" t="inlineStr">
        <is>
          <t>TERM</t>
        </is>
      </c>
      <c r="C42" s="7" t="n">
        <v>1</v>
      </c>
      <c r="D42" s="7" t="n">
        <v>1</v>
      </c>
      <c r="E42" s="7" t="inlineStr">
        <is>
          <t>M</t>
        </is>
      </c>
      <c r="F42" s="7" t="n">
        <v>49</v>
      </c>
      <c r="G42" s="7" t="n">
        <v>12</v>
      </c>
      <c r="H42" s="7" t="n">
        <v>15</v>
      </c>
      <c r="I42" s="7" t="n">
        <v>1</v>
      </c>
      <c r="J42" s="7" t="n">
        <v>1000000</v>
      </c>
    </row>
    <row r="43">
      <c r="A43" s="7" t="n">
        <v>40</v>
      </c>
      <c r="B43" s="7" t="inlineStr">
        <is>
          <t>TERM</t>
        </is>
      </c>
      <c r="C43" s="7" t="n">
        <v>1</v>
      </c>
      <c r="D43" s="7" t="n">
        <v>1</v>
      </c>
      <c r="E43" s="7" t="inlineStr">
        <is>
          <t>F</t>
        </is>
      </c>
      <c r="F43" s="7" t="n">
        <v>49</v>
      </c>
      <c r="G43" s="7" t="n">
        <v>12</v>
      </c>
      <c r="H43" s="7" t="n">
        <v>15</v>
      </c>
      <c r="I43" s="7" t="n">
        <v>1</v>
      </c>
      <c r="J43" s="7" t="n">
        <v>1000000</v>
      </c>
    </row>
    <row r="44">
      <c r="A44" s="7" t="n">
        <v>41</v>
      </c>
      <c r="B44" s="7" t="inlineStr">
        <is>
          <t>TERM</t>
        </is>
      </c>
      <c r="C44" s="7" t="n">
        <v>1</v>
      </c>
      <c r="D44" s="7" t="n">
        <v>1</v>
      </c>
      <c r="E44" s="7" t="inlineStr">
        <is>
          <t>M</t>
        </is>
      </c>
      <c r="F44" s="7" t="n">
        <v>50</v>
      </c>
      <c r="G44" s="7" t="n">
        <v>12</v>
      </c>
      <c r="H44" s="7" t="n">
        <v>15</v>
      </c>
      <c r="I44" s="7" t="n">
        <v>1</v>
      </c>
      <c r="J44" s="7" t="n">
        <v>1000000</v>
      </c>
    </row>
    <row r="45">
      <c r="A45" s="7" t="n">
        <v>42</v>
      </c>
      <c r="B45" s="7" t="inlineStr">
        <is>
          <t>TERM</t>
        </is>
      </c>
      <c r="C45" s="7" t="n">
        <v>1</v>
      </c>
      <c r="D45" s="7" t="n">
        <v>1</v>
      </c>
      <c r="E45" s="7" t="inlineStr">
        <is>
          <t>F</t>
        </is>
      </c>
      <c r="F45" s="7" t="n">
        <v>50</v>
      </c>
      <c r="G45" s="7" t="n">
        <v>12</v>
      </c>
      <c r="H45" s="7" t="n">
        <v>15</v>
      </c>
      <c r="I45" s="7" t="n">
        <v>1</v>
      </c>
      <c r="J45" s="7" t="n">
        <v>1000000</v>
      </c>
    </row>
    <row r="46">
      <c r="A46" s="7" t="n">
        <v>43</v>
      </c>
      <c r="B46" s="7" t="inlineStr">
        <is>
          <t>TERM</t>
        </is>
      </c>
      <c r="C46" s="7" t="n">
        <v>1</v>
      </c>
      <c r="D46" s="7" t="n">
        <v>1</v>
      </c>
      <c r="E46" s="7" t="inlineStr">
        <is>
          <t>M</t>
        </is>
      </c>
      <c r="F46" s="7" t="n">
        <v>51</v>
      </c>
      <c r="G46" s="7" t="n">
        <v>12</v>
      </c>
      <c r="H46" s="7" t="n">
        <v>15</v>
      </c>
      <c r="I46" s="7" t="n">
        <v>1</v>
      </c>
      <c r="J46" s="7" t="n">
        <v>1000000</v>
      </c>
    </row>
    <row r="47">
      <c r="A47" s="7" t="n">
        <v>44</v>
      </c>
      <c r="B47" s="7" t="inlineStr">
        <is>
          <t>TERM</t>
        </is>
      </c>
      <c r="C47" s="7" t="n">
        <v>1</v>
      </c>
      <c r="D47" s="7" t="n">
        <v>1</v>
      </c>
      <c r="E47" s="7" t="inlineStr">
        <is>
          <t>F</t>
        </is>
      </c>
      <c r="F47" s="7" t="n">
        <v>51</v>
      </c>
      <c r="G47" s="7" t="n">
        <v>12</v>
      </c>
      <c r="H47" s="7" t="n">
        <v>15</v>
      </c>
      <c r="I47" s="7" t="n">
        <v>1</v>
      </c>
      <c r="J47" s="7" t="n">
        <v>1000000</v>
      </c>
    </row>
    <row r="48">
      <c r="A48" s="7" t="n">
        <v>45</v>
      </c>
      <c r="B48" s="7" t="inlineStr">
        <is>
          <t>TERM</t>
        </is>
      </c>
      <c r="C48" s="7" t="n">
        <v>1</v>
      </c>
      <c r="D48" s="7" t="n">
        <v>1</v>
      </c>
      <c r="E48" s="7" t="inlineStr">
        <is>
          <t>M</t>
        </is>
      </c>
      <c r="F48" s="7" t="n">
        <v>52</v>
      </c>
      <c r="G48" s="7" t="n">
        <v>12</v>
      </c>
      <c r="H48" s="7" t="n">
        <v>15</v>
      </c>
      <c r="I48" s="7" t="n">
        <v>1</v>
      </c>
      <c r="J48" s="7" t="n">
        <v>1000000</v>
      </c>
    </row>
    <row r="49">
      <c r="A49" s="7" t="n">
        <v>46</v>
      </c>
      <c r="B49" s="7" t="inlineStr">
        <is>
          <t>TERM</t>
        </is>
      </c>
      <c r="C49" s="7" t="n">
        <v>1</v>
      </c>
      <c r="D49" s="7" t="n">
        <v>1</v>
      </c>
      <c r="E49" s="7" t="inlineStr">
        <is>
          <t>F</t>
        </is>
      </c>
      <c r="F49" s="7" t="n">
        <v>52</v>
      </c>
      <c r="G49" s="7" t="n">
        <v>12</v>
      </c>
      <c r="H49" s="7" t="n">
        <v>15</v>
      </c>
      <c r="I49" s="7" t="n">
        <v>1</v>
      </c>
      <c r="J49" s="7" t="n">
        <v>1000000</v>
      </c>
    </row>
    <row r="50">
      <c r="A50" s="7" t="n">
        <v>47</v>
      </c>
      <c r="B50" s="7" t="inlineStr">
        <is>
          <t>TERM</t>
        </is>
      </c>
      <c r="C50" s="7" t="n">
        <v>1</v>
      </c>
      <c r="D50" s="7" t="n">
        <v>1</v>
      </c>
      <c r="E50" s="7" t="inlineStr">
        <is>
          <t>M</t>
        </is>
      </c>
      <c r="F50" s="7" t="n">
        <v>53</v>
      </c>
      <c r="G50" s="7" t="n">
        <v>12</v>
      </c>
      <c r="H50" s="7" t="n">
        <v>15</v>
      </c>
      <c r="I50" s="7" t="n">
        <v>1</v>
      </c>
      <c r="J50" s="7" t="n">
        <v>1000000</v>
      </c>
    </row>
    <row r="51">
      <c r="A51" s="7" t="n">
        <v>48</v>
      </c>
      <c r="B51" s="7" t="inlineStr">
        <is>
          <t>TERM</t>
        </is>
      </c>
      <c r="C51" s="7" t="n">
        <v>1</v>
      </c>
      <c r="D51" s="7" t="n">
        <v>1</v>
      </c>
      <c r="E51" s="7" t="inlineStr">
        <is>
          <t>F</t>
        </is>
      </c>
      <c r="F51" s="7" t="n">
        <v>53</v>
      </c>
      <c r="G51" s="7" t="n">
        <v>12</v>
      </c>
      <c r="H51" s="7" t="n">
        <v>15</v>
      </c>
      <c r="I51" s="7" t="n">
        <v>1</v>
      </c>
      <c r="J51" s="7" t="n">
        <v>1000000</v>
      </c>
    </row>
    <row r="52">
      <c r="A52" s="7" t="n">
        <v>49</v>
      </c>
      <c r="B52" s="7" t="inlineStr">
        <is>
          <t>TERM</t>
        </is>
      </c>
      <c r="C52" s="7" t="n">
        <v>1</v>
      </c>
      <c r="D52" s="7" t="n">
        <v>1</v>
      </c>
      <c r="E52" s="7" t="inlineStr">
        <is>
          <t>M</t>
        </is>
      </c>
      <c r="F52" s="7" t="n">
        <v>54</v>
      </c>
      <c r="G52" s="7" t="n">
        <v>12</v>
      </c>
      <c r="H52" s="7" t="n">
        <v>15</v>
      </c>
      <c r="I52" s="7" t="n">
        <v>1</v>
      </c>
      <c r="J52" s="7" t="n">
        <v>1000000</v>
      </c>
    </row>
    <row r="53">
      <c r="A53" s="7" t="n">
        <v>50</v>
      </c>
      <c r="B53" s="7" t="inlineStr">
        <is>
          <t>TERM</t>
        </is>
      </c>
      <c r="C53" s="7" t="n">
        <v>1</v>
      </c>
      <c r="D53" s="7" t="n">
        <v>1</v>
      </c>
      <c r="E53" s="7" t="inlineStr">
        <is>
          <t>F</t>
        </is>
      </c>
      <c r="F53" s="7" t="n">
        <v>54</v>
      </c>
      <c r="G53" s="7" t="n">
        <v>12</v>
      </c>
      <c r="H53" s="7" t="n">
        <v>15</v>
      </c>
      <c r="I53" s="7" t="n">
        <v>1</v>
      </c>
      <c r="J53" s="7" t="n">
        <v>1000000</v>
      </c>
    </row>
    <row r="54">
      <c r="A54" s="7" t="n">
        <v>51</v>
      </c>
      <c r="B54" s="7" t="inlineStr">
        <is>
          <t>TERM</t>
        </is>
      </c>
      <c r="C54" s="7" t="n">
        <v>1</v>
      </c>
      <c r="D54" s="7" t="n">
        <v>1</v>
      </c>
      <c r="E54" s="7" t="inlineStr">
        <is>
          <t>M</t>
        </is>
      </c>
      <c r="F54" s="7" t="n">
        <v>55</v>
      </c>
      <c r="G54" s="7" t="n">
        <v>12</v>
      </c>
      <c r="H54" s="7" t="n">
        <v>15</v>
      </c>
      <c r="I54" s="7" t="n">
        <v>1</v>
      </c>
      <c r="J54" s="7" t="n">
        <v>1000000</v>
      </c>
    </row>
    <row r="55">
      <c r="A55" s="7" t="n">
        <v>52</v>
      </c>
      <c r="B55" s="7" t="inlineStr">
        <is>
          <t>TERM</t>
        </is>
      </c>
      <c r="C55" s="7" t="n">
        <v>1</v>
      </c>
      <c r="D55" s="7" t="n">
        <v>1</v>
      </c>
      <c r="E55" s="7" t="inlineStr">
        <is>
          <t>F</t>
        </is>
      </c>
      <c r="F55" s="7" t="n">
        <v>55</v>
      </c>
      <c r="G55" s="7" t="n">
        <v>12</v>
      </c>
      <c r="H55" s="7" t="n">
        <v>15</v>
      </c>
      <c r="I55" s="7" t="n">
        <v>1</v>
      </c>
      <c r="J55" s="7" t="n">
        <v>1000000</v>
      </c>
    </row>
    <row r="56">
      <c r="A56" s="7" t="n">
        <v>53</v>
      </c>
      <c r="B56" s="7" t="inlineStr">
        <is>
          <t>TERM</t>
        </is>
      </c>
      <c r="C56" s="7" t="n">
        <v>1</v>
      </c>
      <c r="D56" s="7" t="n">
        <v>1</v>
      </c>
      <c r="E56" s="7" t="inlineStr">
        <is>
          <t>M</t>
        </is>
      </c>
      <c r="F56" s="7" t="n">
        <v>56</v>
      </c>
      <c r="G56" s="7" t="n">
        <v>12</v>
      </c>
      <c r="H56" s="7" t="n">
        <v>15</v>
      </c>
      <c r="I56" s="7" t="n">
        <v>1</v>
      </c>
      <c r="J56" s="7" t="n">
        <v>1000000</v>
      </c>
    </row>
    <row r="57">
      <c r="A57" s="7" t="n">
        <v>54</v>
      </c>
      <c r="B57" s="7" t="inlineStr">
        <is>
          <t>TERM</t>
        </is>
      </c>
      <c r="C57" s="7" t="n">
        <v>1</v>
      </c>
      <c r="D57" s="7" t="n">
        <v>1</v>
      </c>
      <c r="E57" s="7" t="inlineStr">
        <is>
          <t>F</t>
        </is>
      </c>
      <c r="F57" s="7" t="n">
        <v>56</v>
      </c>
      <c r="G57" s="7" t="n">
        <v>12</v>
      </c>
      <c r="H57" s="7" t="n">
        <v>15</v>
      </c>
      <c r="I57" s="7" t="n">
        <v>1</v>
      </c>
      <c r="J57" s="7" t="n">
        <v>1000000</v>
      </c>
    </row>
    <row r="58">
      <c r="A58" s="7" t="n">
        <v>55</v>
      </c>
      <c r="B58" s="7" t="inlineStr">
        <is>
          <t>TERM</t>
        </is>
      </c>
      <c r="C58" s="7" t="n">
        <v>1</v>
      </c>
      <c r="D58" s="7" t="n">
        <v>1</v>
      </c>
      <c r="E58" s="7" t="inlineStr">
        <is>
          <t>M</t>
        </is>
      </c>
      <c r="F58" s="7" t="n">
        <v>57</v>
      </c>
      <c r="G58" s="7" t="n">
        <v>12</v>
      </c>
      <c r="H58" s="7" t="n">
        <v>15</v>
      </c>
      <c r="I58" s="7" t="n">
        <v>1</v>
      </c>
      <c r="J58" s="7" t="n">
        <v>1000000</v>
      </c>
    </row>
    <row r="59">
      <c r="A59" s="7" t="n">
        <v>56</v>
      </c>
      <c r="B59" s="7" t="inlineStr">
        <is>
          <t>TERM</t>
        </is>
      </c>
      <c r="C59" s="7" t="n">
        <v>1</v>
      </c>
      <c r="D59" s="7" t="n">
        <v>1</v>
      </c>
      <c r="E59" s="7" t="inlineStr">
        <is>
          <t>F</t>
        </is>
      </c>
      <c r="F59" s="7" t="n">
        <v>57</v>
      </c>
      <c r="G59" s="7" t="n">
        <v>12</v>
      </c>
      <c r="H59" s="7" t="n">
        <v>15</v>
      </c>
      <c r="I59" s="7" t="n">
        <v>1</v>
      </c>
      <c r="J59" s="7" t="n">
        <v>1000000</v>
      </c>
    </row>
    <row r="60">
      <c r="A60" s="7" t="n">
        <v>57</v>
      </c>
      <c r="B60" s="7" t="inlineStr">
        <is>
          <t>TERM</t>
        </is>
      </c>
      <c r="C60" s="7" t="n">
        <v>1</v>
      </c>
      <c r="D60" s="7" t="n">
        <v>1</v>
      </c>
      <c r="E60" s="7" t="inlineStr">
        <is>
          <t>M</t>
        </is>
      </c>
      <c r="F60" s="7" t="n">
        <v>58</v>
      </c>
      <c r="G60" s="7" t="n">
        <v>12</v>
      </c>
      <c r="H60" s="7" t="n">
        <v>15</v>
      </c>
      <c r="I60" s="7" t="n">
        <v>1</v>
      </c>
      <c r="J60" s="7" t="n">
        <v>1000000</v>
      </c>
    </row>
    <row r="61">
      <c r="A61" s="7" t="n">
        <v>58</v>
      </c>
      <c r="B61" s="7" t="inlineStr">
        <is>
          <t>TERM</t>
        </is>
      </c>
      <c r="C61" s="7" t="n">
        <v>1</v>
      </c>
      <c r="D61" s="7" t="n">
        <v>1</v>
      </c>
      <c r="E61" s="7" t="inlineStr">
        <is>
          <t>F</t>
        </is>
      </c>
      <c r="F61" s="7" t="n">
        <v>58</v>
      </c>
      <c r="G61" s="7" t="n">
        <v>12</v>
      </c>
      <c r="H61" s="7" t="n">
        <v>15</v>
      </c>
      <c r="I61" s="7" t="n">
        <v>1</v>
      </c>
      <c r="J61" s="7" t="n">
        <v>1000000</v>
      </c>
    </row>
    <row r="62">
      <c r="A62" s="7" t="n">
        <v>59</v>
      </c>
      <c r="B62" s="7" t="inlineStr">
        <is>
          <t>TERM</t>
        </is>
      </c>
      <c r="C62" s="7" t="n">
        <v>1</v>
      </c>
      <c r="D62" s="7" t="n">
        <v>1</v>
      </c>
      <c r="E62" s="7" t="inlineStr">
        <is>
          <t>M</t>
        </is>
      </c>
      <c r="F62" s="7" t="n">
        <v>59</v>
      </c>
      <c r="G62" s="7" t="n">
        <v>12</v>
      </c>
      <c r="H62" s="7" t="n">
        <v>15</v>
      </c>
      <c r="I62" s="7" t="n">
        <v>1</v>
      </c>
      <c r="J62" s="7" t="n">
        <v>1000000</v>
      </c>
    </row>
    <row r="63">
      <c r="A63" s="7" t="n">
        <v>60</v>
      </c>
      <c r="B63" s="7" t="inlineStr">
        <is>
          <t>TERM</t>
        </is>
      </c>
      <c r="C63" s="7" t="n">
        <v>1</v>
      </c>
      <c r="D63" s="7" t="n">
        <v>1</v>
      </c>
      <c r="E63" s="7" t="inlineStr">
        <is>
          <t>F</t>
        </is>
      </c>
      <c r="F63" s="7" t="n">
        <v>59</v>
      </c>
      <c r="G63" s="7" t="n">
        <v>12</v>
      </c>
      <c r="H63" s="7" t="n">
        <v>15</v>
      </c>
      <c r="I63" s="7" t="n">
        <v>1</v>
      </c>
      <c r="J63" s="7" t="n">
        <v>1000000</v>
      </c>
    </row>
    <row r="64">
      <c r="A64" s="7" t="n">
        <v>61</v>
      </c>
      <c r="B64" s="7" t="inlineStr">
        <is>
          <t>TERM</t>
        </is>
      </c>
      <c r="C64" s="7" t="n">
        <v>1</v>
      </c>
      <c r="D64" s="7" t="n">
        <v>1</v>
      </c>
      <c r="E64" s="7" t="inlineStr">
        <is>
          <t>M</t>
        </is>
      </c>
      <c r="F64" s="7" t="n">
        <v>60</v>
      </c>
      <c r="G64" s="7" t="n">
        <v>12</v>
      </c>
      <c r="H64" s="7" t="n">
        <v>15</v>
      </c>
      <c r="I64" s="7" t="n">
        <v>1</v>
      </c>
      <c r="J64" s="7" t="n">
        <v>1000000</v>
      </c>
    </row>
    <row r="65">
      <c r="A65" s="7" t="n">
        <v>62</v>
      </c>
      <c r="B65" s="7" t="inlineStr">
        <is>
          <t>TERM</t>
        </is>
      </c>
      <c r="C65" s="7" t="n">
        <v>1</v>
      </c>
      <c r="D65" s="7" t="n">
        <v>1</v>
      </c>
      <c r="E65" s="7" t="inlineStr">
        <is>
          <t>F</t>
        </is>
      </c>
      <c r="F65" s="7" t="n">
        <v>60</v>
      </c>
      <c r="G65" s="7" t="n">
        <v>12</v>
      </c>
      <c r="H65" s="7" t="n">
        <v>15</v>
      </c>
      <c r="I65" s="7" t="n">
        <v>1</v>
      </c>
      <c r="J65" s="7" t="n">
        <v>1000000</v>
      </c>
    </row>
    <row r="66">
      <c r="A66" s="7" t="n">
        <v>63</v>
      </c>
      <c r="B66" s="7" t="inlineStr">
        <is>
          <t>TERM</t>
        </is>
      </c>
      <c r="C66" s="7" t="n">
        <v>1</v>
      </c>
      <c r="D66" s="7" t="n">
        <v>1</v>
      </c>
      <c r="E66" s="7" t="inlineStr">
        <is>
          <t>M</t>
        </is>
      </c>
      <c r="F66" s="7" t="n">
        <v>61</v>
      </c>
      <c r="G66" s="7" t="n">
        <v>12</v>
      </c>
      <c r="H66" s="7" t="n">
        <v>15</v>
      </c>
      <c r="I66" s="7" t="n">
        <v>1</v>
      </c>
      <c r="J66" s="7" t="n">
        <v>1000000</v>
      </c>
    </row>
    <row r="67">
      <c r="A67" s="7" t="n">
        <v>64</v>
      </c>
      <c r="B67" s="7" t="inlineStr">
        <is>
          <t>TERM</t>
        </is>
      </c>
      <c r="C67" s="7" t="n">
        <v>1</v>
      </c>
      <c r="D67" s="7" t="n">
        <v>1</v>
      </c>
      <c r="E67" s="7" t="inlineStr">
        <is>
          <t>F</t>
        </is>
      </c>
      <c r="F67" s="7" t="n">
        <v>61</v>
      </c>
      <c r="G67" s="7" t="n">
        <v>12</v>
      </c>
      <c r="H67" s="7" t="n">
        <v>15</v>
      </c>
      <c r="I67" s="7" t="n">
        <v>1</v>
      </c>
      <c r="J67" s="7" t="n">
        <v>1000000</v>
      </c>
    </row>
    <row r="68">
      <c r="A68" s="7" t="n">
        <v>65</v>
      </c>
      <c r="B68" s="7" t="inlineStr">
        <is>
          <t>TERM</t>
        </is>
      </c>
      <c r="C68" s="7" t="n">
        <v>1</v>
      </c>
      <c r="D68" s="7" t="n">
        <v>1</v>
      </c>
      <c r="E68" s="7" t="inlineStr">
        <is>
          <t>M</t>
        </is>
      </c>
      <c r="F68" s="7" t="n">
        <v>62</v>
      </c>
      <c r="G68" s="7" t="n">
        <v>12</v>
      </c>
      <c r="H68" s="7" t="n">
        <v>15</v>
      </c>
      <c r="I68" s="7" t="n">
        <v>1</v>
      </c>
      <c r="J68" s="7" t="n">
        <v>1000000</v>
      </c>
    </row>
    <row r="69">
      <c r="A69" s="7" t="n">
        <v>66</v>
      </c>
      <c r="B69" s="7" t="inlineStr">
        <is>
          <t>TERM</t>
        </is>
      </c>
      <c r="C69" s="7" t="n">
        <v>1</v>
      </c>
      <c r="D69" s="7" t="n">
        <v>1</v>
      </c>
      <c r="E69" s="7" t="inlineStr">
        <is>
          <t>F</t>
        </is>
      </c>
      <c r="F69" s="7" t="n">
        <v>62</v>
      </c>
      <c r="G69" s="7" t="n">
        <v>12</v>
      </c>
      <c r="H69" s="7" t="n">
        <v>15</v>
      </c>
      <c r="I69" s="7" t="n">
        <v>1</v>
      </c>
      <c r="J69" s="7" t="n">
        <v>1000000</v>
      </c>
    </row>
    <row r="70">
      <c r="A70" s="7" t="n">
        <v>67</v>
      </c>
      <c r="B70" s="7" t="inlineStr">
        <is>
          <t>TERM</t>
        </is>
      </c>
      <c r="C70" s="7" t="n">
        <v>1</v>
      </c>
      <c r="D70" s="7" t="n">
        <v>1</v>
      </c>
      <c r="E70" s="7" t="inlineStr">
        <is>
          <t>M</t>
        </is>
      </c>
      <c r="F70" s="7" t="n">
        <v>63</v>
      </c>
      <c r="G70" s="7" t="n">
        <v>12</v>
      </c>
      <c r="H70" s="7" t="n">
        <v>15</v>
      </c>
      <c r="I70" s="7" t="n">
        <v>1</v>
      </c>
      <c r="J70" s="7" t="n">
        <v>1000000</v>
      </c>
    </row>
    <row r="71">
      <c r="A71" s="7" t="n">
        <v>68</v>
      </c>
      <c r="B71" s="7" t="inlineStr">
        <is>
          <t>TERM</t>
        </is>
      </c>
      <c r="C71" s="7" t="n">
        <v>1</v>
      </c>
      <c r="D71" s="7" t="n">
        <v>1</v>
      </c>
      <c r="E71" s="7" t="inlineStr">
        <is>
          <t>F</t>
        </is>
      </c>
      <c r="F71" s="7" t="n">
        <v>63</v>
      </c>
      <c r="G71" s="7" t="n">
        <v>12</v>
      </c>
      <c r="H71" s="7" t="n">
        <v>15</v>
      </c>
      <c r="I71" s="7" t="n">
        <v>1</v>
      </c>
      <c r="J71" s="7" t="n">
        <v>1000000</v>
      </c>
    </row>
    <row r="72">
      <c r="A72" s="7" t="n">
        <v>69</v>
      </c>
      <c r="B72" s="7" t="inlineStr">
        <is>
          <t>TERM</t>
        </is>
      </c>
      <c r="C72" s="7" t="n">
        <v>1</v>
      </c>
      <c r="D72" s="7" t="n">
        <v>1</v>
      </c>
      <c r="E72" s="7" t="inlineStr">
        <is>
          <t>M</t>
        </is>
      </c>
      <c r="F72" s="7" t="n">
        <v>64</v>
      </c>
      <c r="G72" s="7" t="n">
        <v>12</v>
      </c>
      <c r="H72" s="7" t="n">
        <v>15</v>
      </c>
      <c r="I72" s="7" t="n">
        <v>1</v>
      </c>
      <c r="J72" s="7" t="n">
        <v>1000000</v>
      </c>
    </row>
    <row r="73">
      <c r="A73" s="7" t="n">
        <v>70</v>
      </c>
      <c r="B73" s="7" t="inlineStr">
        <is>
          <t>TERM</t>
        </is>
      </c>
      <c r="C73" s="7" t="n">
        <v>1</v>
      </c>
      <c r="D73" s="7" t="n">
        <v>1</v>
      </c>
      <c r="E73" s="7" t="inlineStr">
        <is>
          <t>F</t>
        </is>
      </c>
      <c r="F73" s="7" t="n">
        <v>64</v>
      </c>
      <c r="G73" s="7" t="n">
        <v>12</v>
      </c>
      <c r="H73" s="7" t="n">
        <v>15</v>
      </c>
      <c r="I73" s="7" t="n">
        <v>1</v>
      </c>
      <c r="J73" s="7" t="n">
        <v>1000000</v>
      </c>
    </row>
    <row r="74">
      <c r="A74" s="7" t="n">
        <v>71</v>
      </c>
      <c r="B74" s="7" t="inlineStr">
        <is>
          <t>TERM</t>
        </is>
      </c>
      <c r="C74" s="7" t="n">
        <v>1</v>
      </c>
      <c r="D74" s="7" t="n">
        <v>1</v>
      </c>
      <c r="E74" s="7" t="inlineStr">
        <is>
          <t>M</t>
        </is>
      </c>
      <c r="F74" s="7" t="n">
        <v>65</v>
      </c>
      <c r="G74" s="7" t="n">
        <v>12</v>
      </c>
      <c r="H74" s="7" t="n">
        <v>15</v>
      </c>
      <c r="I74" s="7" t="n">
        <v>1</v>
      </c>
      <c r="J74" s="7" t="n">
        <v>1000000</v>
      </c>
    </row>
    <row r="75">
      <c r="A75" s="7" t="n">
        <v>72</v>
      </c>
      <c r="B75" s="7" t="inlineStr">
        <is>
          <t>TERM</t>
        </is>
      </c>
      <c r="C75" s="7" t="n">
        <v>1</v>
      </c>
      <c r="D75" s="7" t="n">
        <v>1</v>
      </c>
      <c r="E75" s="7" t="inlineStr">
        <is>
          <t>F</t>
        </is>
      </c>
      <c r="F75" s="7" t="n">
        <v>65</v>
      </c>
      <c r="G75" s="7" t="n">
        <v>12</v>
      </c>
      <c r="H75" s="7" t="n">
        <v>15</v>
      </c>
      <c r="I75" s="7" t="n">
        <v>1</v>
      </c>
      <c r="J75" s="7" t="n">
        <v>1000000</v>
      </c>
    </row>
    <row r="76">
      <c r="A76" s="7" t="n">
        <v>73</v>
      </c>
      <c r="B76" s="7" t="inlineStr">
        <is>
          <t>TERM</t>
        </is>
      </c>
      <c r="C76" s="7" t="n">
        <v>1</v>
      </c>
      <c r="D76" s="7" t="n">
        <v>1</v>
      </c>
      <c r="E76" s="7" t="inlineStr">
        <is>
          <t>M</t>
        </is>
      </c>
      <c r="F76" s="7" t="n">
        <v>66</v>
      </c>
      <c r="G76" s="7" t="n">
        <v>12</v>
      </c>
      <c r="H76" s="7" t="n">
        <v>15</v>
      </c>
      <c r="I76" s="7" t="n">
        <v>1</v>
      </c>
      <c r="J76" s="7" t="n">
        <v>1000000</v>
      </c>
    </row>
    <row r="77">
      <c r="A77" s="7" t="n">
        <v>74</v>
      </c>
      <c r="B77" s="7" t="inlineStr">
        <is>
          <t>TERM</t>
        </is>
      </c>
      <c r="C77" s="7" t="n">
        <v>1</v>
      </c>
      <c r="D77" s="7" t="n">
        <v>1</v>
      </c>
      <c r="E77" s="7" t="inlineStr">
        <is>
          <t>F</t>
        </is>
      </c>
      <c r="F77" s="7" t="n">
        <v>66</v>
      </c>
      <c r="G77" s="7" t="n">
        <v>12</v>
      </c>
      <c r="H77" s="7" t="n">
        <v>15</v>
      </c>
      <c r="I77" s="7" t="n">
        <v>1</v>
      </c>
      <c r="J77" s="7" t="n">
        <v>1000000</v>
      </c>
    </row>
    <row r="78">
      <c r="A78" s="7" t="n">
        <v>75</v>
      </c>
      <c r="B78" s="7" t="inlineStr">
        <is>
          <t>TERM</t>
        </is>
      </c>
      <c r="C78" s="7" t="n">
        <v>1</v>
      </c>
      <c r="D78" s="7" t="n">
        <v>1</v>
      </c>
      <c r="E78" s="7" t="inlineStr">
        <is>
          <t>M</t>
        </is>
      </c>
      <c r="F78" s="7" t="n">
        <v>67</v>
      </c>
      <c r="G78" s="7" t="n">
        <v>12</v>
      </c>
      <c r="H78" s="7" t="n">
        <v>15</v>
      </c>
      <c r="I78" s="7" t="n">
        <v>1</v>
      </c>
      <c r="J78" s="7" t="n">
        <v>1000000</v>
      </c>
    </row>
    <row r="79">
      <c r="A79" s="7" t="n">
        <v>76</v>
      </c>
      <c r="B79" s="7" t="inlineStr">
        <is>
          <t>TERM</t>
        </is>
      </c>
      <c r="C79" s="7" t="n">
        <v>1</v>
      </c>
      <c r="D79" s="7" t="n">
        <v>1</v>
      </c>
      <c r="E79" s="7" t="inlineStr">
        <is>
          <t>F</t>
        </is>
      </c>
      <c r="F79" s="7" t="n">
        <v>67</v>
      </c>
      <c r="G79" s="7" t="n">
        <v>12</v>
      </c>
      <c r="H79" s="7" t="n">
        <v>15</v>
      </c>
      <c r="I79" s="7" t="n">
        <v>1</v>
      </c>
      <c r="J79" s="7" t="n">
        <v>1000000</v>
      </c>
    </row>
    <row r="80">
      <c r="A80" s="7" t="n">
        <v>77</v>
      </c>
      <c r="B80" s="7" t="inlineStr">
        <is>
          <t>TERM</t>
        </is>
      </c>
      <c r="C80" s="7" t="n">
        <v>1</v>
      </c>
      <c r="D80" s="7" t="n">
        <v>1</v>
      </c>
      <c r="E80" s="7" t="inlineStr">
        <is>
          <t>M</t>
        </is>
      </c>
      <c r="F80" s="7" t="n">
        <v>68</v>
      </c>
      <c r="G80" s="7" t="n">
        <v>12</v>
      </c>
      <c r="H80" s="7" t="n">
        <v>15</v>
      </c>
      <c r="I80" s="7" t="n">
        <v>1</v>
      </c>
      <c r="J80" s="7" t="n">
        <v>1000000</v>
      </c>
    </row>
    <row r="81">
      <c r="A81" s="7" t="n">
        <v>78</v>
      </c>
      <c r="B81" s="7" t="inlineStr">
        <is>
          <t>TERM</t>
        </is>
      </c>
      <c r="C81" s="7" t="n">
        <v>1</v>
      </c>
      <c r="D81" s="7" t="n">
        <v>1</v>
      </c>
      <c r="E81" s="7" t="inlineStr">
        <is>
          <t>F</t>
        </is>
      </c>
      <c r="F81" s="7" t="n">
        <v>68</v>
      </c>
      <c r="G81" s="7" t="n">
        <v>12</v>
      </c>
      <c r="H81" s="7" t="n">
        <v>15</v>
      </c>
      <c r="I81" s="7" t="n">
        <v>1</v>
      </c>
      <c r="J81" s="7" t="n">
        <v>1000000</v>
      </c>
    </row>
    <row r="82">
      <c r="A82" s="7" t="n">
        <v>79</v>
      </c>
      <c r="B82" s="7" t="inlineStr">
        <is>
          <t>TERM</t>
        </is>
      </c>
      <c r="C82" s="7" t="n">
        <v>1</v>
      </c>
      <c r="D82" s="7" t="n">
        <v>1</v>
      </c>
      <c r="E82" s="7" t="inlineStr">
        <is>
          <t>M</t>
        </is>
      </c>
      <c r="F82" s="7" t="n">
        <v>69</v>
      </c>
      <c r="G82" s="7" t="n">
        <v>12</v>
      </c>
      <c r="H82" s="7" t="n">
        <v>15</v>
      </c>
      <c r="I82" s="7" t="n">
        <v>1</v>
      </c>
      <c r="J82" s="7" t="n">
        <v>1000000</v>
      </c>
    </row>
    <row r="83">
      <c r="A83" s="7" t="n">
        <v>80</v>
      </c>
      <c r="B83" s="7" t="inlineStr">
        <is>
          <t>TERM</t>
        </is>
      </c>
      <c r="C83" s="7" t="n">
        <v>1</v>
      </c>
      <c r="D83" s="7" t="n">
        <v>1</v>
      </c>
      <c r="E83" s="7" t="inlineStr">
        <is>
          <t>F</t>
        </is>
      </c>
      <c r="F83" s="7" t="n">
        <v>69</v>
      </c>
      <c r="G83" s="7" t="n">
        <v>12</v>
      </c>
      <c r="H83" s="7" t="n">
        <v>15</v>
      </c>
      <c r="I83" s="7" t="n">
        <v>1</v>
      </c>
      <c r="J83" s="7" t="n">
        <v>1000000</v>
      </c>
    </row>
    <row r="84">
      <c r="A84" s="7" t="n">
        <v>81</v>
      </c>
      <c r="B84" s="7" t="inlineStr">
        <is>
          <t>TERM</t>
        </is>
      </c>
      <c r="C84" s="7" t="n">
        <v>1</v>
      </c>
      <c r="D84" s="7" t="n">
        <v>1</v>
      </c>
      <c r="E84" s="7" t="inlineStr">
        <is>
          <t>M</t>
        </is>
      </c>
      <c r="F84" s="7" t="n">
        <v>70</v>
      </c>
      <c r="G84" s="7" t="n">
        <v>12</v>
      </c>
      <c r="H84" s="7" t="n">
        <v>15</v>
      </c>
      <c r="I84" s="7" t="n">
        <v>1</v>
      </c>
      <c r="J84" s="7" t="n">
        <v>1000000</v>
      </c>
    </row>
    <row r="85">
      <c r="A85" s="7" t="n">
        <v>82</v>
      </c>
      <c r="B85" s="7" t="inlineStr">
        <is>
          <t>TERM</t>
        </is>
      </c>
      <c r="C85" s="7" t="n">
        <v>1</v>
      </c>
      <c r="D85" s="7" t="n">
        <v>1</v>
      </c>
      <c r="E85" s="7" t="inlineStr">
        <is>
          <t>F</t>
        </is>
      </c>
      <c r="F85" s="7" t="n">
        <v>70</v>
      </c>
      <c r="G85" s="7" t="n">
        <v>12</v>
      </c>
      <c r="H85" s="7" t="n">
        <v>15</v>
      </c>
      <c r="I85" s="7" t="n">
        <v>1</v>
      </c>
      <c r="J85" s="7" t="n">
        <v>1000000</v>
      </c>
    </row>
    <row r="86">
      <c r="A86" s="7" t="n">
        <v>83</v>
      </c>
      <c r="B86" s="7" t="inlineStr">
        <is>
          <t>TERM</t>
        </is>
      </c>
      <c r="C86" s="7" t="n">
        <v>1</v>
      </c>
      <c r="D86" s="7" t="n">
        <v>1</v>
      </c>
      <c r="E86" s="7" t="inlineStr">
        <is>
          <t>M</t>
        </is>
      </c>
      <c r="F86" s="7" t="n">
        <v>71</v>
      </c>
      <c r="G86" s="7" t="n">
        <v>12</v>
      </c>
      <c r="H86" s="7" t="n">
        <v>15</v>
      </c>
      <c r="I86" s="7" t="n">
        <v>1</v>
      </c>
      <c r="J86" s="7" t="n">
        <v>1000000</v>
      </c>
    </row>
    <row r="87">
      <c r="A87" s="7" t="n">
        <v>84</v>
      </c>
      <c r="B87" s="7" t="inlineStr">
        <is>
          <t>TERM</t>
        </is>
      </c>
      <c r="C87" s="7" t="n">
        <v>1</v>
      </c>
      <c r="D87" s="7" t="n">
        <v>1</v>
      </c>
      <c r="E87" s="7" t="inlineStr">
        <is>
          <t>F</t>
        </is>
      </c>
      <c r="F87" s="7" t="n">
        <v>71</v>
      </c>
      <c r="G87" s="7" t="n">
        <v>12</v>
      </c>
      <c r="H87" s="7" t="n">
        <v>15</v>
      </c>
      <c r="I87" s="7" t="n">
        <v>1</v>
      </c>
      <c r="J87" s="7" t="n">
        <v>1000000</v>
      </c>
    </row>
    <row r="88">
      <c r="A88" s="7" t="n">
        <v>85</v>
      </c>
      <c r="B88" s="7" t="inlineStr">
        <is>
          <t>TERM</t>
        </is>
      </c>
      <c r="C88" s="7" t="n">
        <v>1</v>
      </c>
      <c r="D88" s="7" t="n">
        <v>1</v>
      </c>
      <c r="E88" s="7" t="inlineStr">
        <is>
          <t>M</t>
        </is>
      </c>
      <c r="F88" s="7" t="n">
        <v>72</v>
      </c>
      <c r="G88" s="7" t="n">
        <v>12</v>
      </c>
      <c r="H88" s="7" t="n">
        <v>15</v>
      </c>
      <c r="I88" s="7" t="n">
        <v>1</v>
      </c>
      <c r="J88" s="7" t="n">
        <v>1000000</v>
      </c>
    </row>
    <row r="89">
      <c r="A89" s="7" t="n">
        <v>86</v>
      </c>
      <c r="B89" s="7" t="inlineStr">
        <is>
          <t>TERM</t>
        </is>
      </c>
      <c r="C89" s="7" t="n">
        <v>1</v>
      </c>
      <c r="D89" s="7" t="n">
        <v>1</v>
      </c>
      <c r="E89" s="7" t="inlineStr">
        <is>
          <t>F</t>
        </is>
      </c>
      <c r="F89" s="7" t="n">
        <v>72</v>
      </c>
      <c r="G89" s="7" t="n">
        <v>12</v>
      </c>
      <c r="H89" s="7" t="n">
        <v>15</v>
      </c>
      <c r="I89" s="7" t="n">
        <v>1</v>
      </c>
      <c r="J89" s="7" t="n">
        <v>1000000</v>
      </c>
    </row>
    <row r="90">
      <c r="A90" s="7" t="n">
        <v>87</v>
      </c>
      <c r="B90" s="7" t="inlineStr">
        <is>
          <t>TERM</t>
        </is>
      </c>
      <c r="C90" s="7" t="n">
        <v>1</v>
      </c>
      <c r="D90" s="7" t="n">
        <v>1</v>
      </c>
      <c r="E90" s="7" t="inlineStr">
        <is>
          <t>M</t>
        </is>
      </c>
      <c r="F90" s="7" t="n">
        <v>73</v>
      </c>
      <c r="G90" s="7" t="n">
        <v>12</v>
      </c>
      <c r="H90" s="7" t="n">
        <v>15</v>
      </c>
      <c r="I90" s="7" t="n">
        <v>1</v>
      </c>
      <c r="J90" s="7" t="n">
        <v>1000000</v>
      </c>
    </row>
    <row r="91">
      <c r="A91" s="7" t="n">
        <v>88</v>
      </c>
      <c r="B91" s="7" t="inlineStr">
        <is>
          <t>TERM</t>
        </is>
      </c>
      <c r="C91" s="7" t="n">
        <v>1</v>
      </c>
      <c r="D91" s="7" t="n">
        <v>1</v>
      </c>
      <c r="E91" s="7" t="inlineStr">
        <is>
          <t>F</t>
        </is>
      </c>
      <c r="F91" s="7" t="n">
        <v>73</v>
      </c>
      <c r="G91" s="7" t="n">
        <v>12</v>
      </c>
      <c r="H91" s="7" t="n">
        <v>15</v>
      </c>
      <c r="I91" s="7" t="n">
        <v>1</v>
      </c>
      <c r="J91" s="7" t="n">
        <v>1000000</v>
      </c>
    </row>
    <row r="92">
      <c r="A92" s="7" t="n">
        <v>89</v>
      </c>
      <c r="B92" s="7" t="inlineStr">
        <is>
          <t>TERM</t>
        </is>
      </c>
      <c r="C92" s="7" t="n">
        <v>1</v>
      </c>
      <c r="D92" s="7" t="n">
        <v>1</v>
      </c>
      <c r="E92" s="7" t="inlineStr">
        <is>
          <t>M</t>
        </is>
      </c>
      <c r="F92" s="7" t="n">
        <v>74</v>
      </c>
      <c r="G92" s="7" t="n">
        <v>12</v>
      </c>
      <c r="H92" s="7" t="n">
        <v>15</v>
      </c>
      <c r="I92" s="7" t="n">
        <v>1</v>
      </c>
      <c r="J92" s="7" t="n">
        <v>1000000</v>
      </c>
    </row>
    <row r="93">
      <c r="A93" s="7" t="n">
        <v>90</v>
      </c>
      <c r="B93" s="7" t="inlineStr">
        <is>
          <t>TERM</t>
        </is>
      </c>
      <c r="C93" s="7" t="n">
        <v>1</v>
      </c>
      <c r="D93" s="7" t="n">
        <v>1</v>
      </c>
      <c r="E93" s="7" t="inlineStr">
        <is>
          <t>F</t>
        </is>
      </c>
      <c r="F93" s="7" t="n">
        <v>74</v>
      </c>
      <c r="G93" s="7" t="n">
        <v>12</v>
      </c>
      <c r="H93" s="7" t="n">
        <v>15</v>
      </c>
      <c r="I93" s="7" t="n">
        <v>1</v>
      </c>
      <c r="J93" s="7" t="n">
        <v>1000000</v>
      </c>
    </row>
    <row r="94">
      <c r="A94" s="7" t="n">
        <v>91</v>
      </c>
      <c r="B94" s="7" t="inlineStr">
        <is>
          <t>TERM</t>
        </is>
      </c>
      <c r="C94" s="7" t="n">
        <v>1</v>
      </c>
      <c r="D94" s="7" t="n">
        <v>1</v>
      </c>
      <c r="E94" s="7" t="inlineStr">
        <is>
          <t>M</t>
        </is>
      </c>
      <c r="F94" s="7" t="n">
        <v>75</v>
      </c>
      <c r="G94" s="7" t="n">
        <v>12</v>
      </c>
      <c r="H94" s="7" t="n">
        <v>15</v>
      </c>
      <c r="I94" s="7" t="n">
        <v>1</v>
      </c>
      <c r="J94" s="7" t="n">
        <v>1000000</v>
      </c>
    </row>
    <row r="95">
      <c r="A95" s="7" t="n">
        <v>92</v>
      </c>
      <c r="B95" s="7" t="inlineStr">
        <is>
          <t>TERM</t>
        </is>
      </c>
      <c r="C95" s="7" t="n">
        <v>1</v>
      </c>
      <c r="D95" s="7" t="n">
        <v>1</v>
      </c>
      <c r="E95" s="7" t="inlineStr">
        <is>
          <t>F</t>
        </is>
      </c>
      <c r="F95" s="7" t="n">
        <v>75</v>
      </c>
      <c r="G95" s="7" t="n">
        <v>12</v>
      </c>
      <c r="H95" s="7" t="n">
        <v>15</v>
      </c>
      <c r="I95" s="7" t="n">
        <v>1</v>
      </c>
      <c r="J95" s="7" t="n">
        <v>1000000</v>
      </c>
    </row>
    <row r="96">
      <c r="A96" s="7" t="n">
        <v>93</v>
      </c>
      <c r="B96" s="7" t="inlineStr">
        <is>
          <t>TERM</t>
        </is>
      </c>
      <c r="C96" s="7" t="n">
        <v>1</v>
      </c>
      <c r="D96" s="7" t="n">
        <v>1</v>
      </c>
      <c r="E96" s="7" t="inlineStr">
        <is>
          <t>M</t>
        </is>
      </c>
      <c r="F96" s="7" t="n">
        <v>76</v>
      </c>
      <c r="G96" s="7" t="n">
        <v>12</v>
      </c>
      <c r="H96" s="7" t="n">
        <v>15</v>
      </c>
      <c r="I96" s="7" t="n">
        <v>1</v>
      </c>
      <c r="J96" s="7" t="n">
        <v>1000000</v>
      </c>
    </row>
    <row r="97">
      <c r="A97" s="7" t="n">
        <v>94</v>
      </c>
      <c r="B97" s="7" t="inlineStr">
        <is>
          <t>TERM</t>
        </is>
      </c>
      <c r="C97" s="7" t="n">
        <v>1</v>
      </c>
      <c r="D97" s="7" t="n">
        <v>1</v>
      </c>
      <c r="E97" s="7" t="inlineStr">
        <is>
          <t>F</t>
        </is>
      </c>
      <c r="F97" s="7" t="n">
        <v>76</v>
      </c>
      <c r="G97" s="7" t="n">
        <v>12</v>
      </c>
      <c r="H97" s="7" t="n">
        <v>15</v>
      </c>
      <c r="I97" s="7" t="n">
        <v>1</v>
      </c>
      <c r="J97" s="7" t="n">
        <v>1000000</v>
      </c>
    </row>
    <row r="98">
      <c r="A98" s="7" t="n">
        <v>95</v>
      </c>
      <c r="B98" s="7" t="inlineStr">
        <is>
          <t>TERM</t>
        </is>
      </c>
      <c r="C98" s="7" t="n">
        <v>1</v>
      </c>
      <c r="D98" s="7" t="n">
        <v>1</v>
      </c>
      <c r="E98" s="7" t="inlineStr">
        <is>
          <t>M</t>
        </is>
      </c>
      <c r="F98" s="7" t="n">
        <v>77</v>
      </c>
      <c r="G98" s="7" t="n">
        <v>12</v>
      </c>
      <c r="H98" s="7" t="n">
        <v>15</v>
      </c>
      <c r="I98" s="7" t="n">
        <v>1</v>
      </c>
      <c r="J98" s="7" t="n">
        <v>1000000</v>
      </c>
    </row>
    <row r="99">
      <c r="A99" s="7" t="n">
        <v>96</v>
      </c>
      <c r="B99" s="7" t="inlineStr">
        <is>
          <t>TERM</t>
        </is>
      </c>
      <c r="C99" s="7" t="n">
        <v>1</v>
      </c>
      <c r="D99" s="7" t="n">
        <v>1</v>
      </c>
      <c r="E99" s="7" t="inlineStr">
        <is>
          <t>F</t>
        </is>
      </c>
      <c r="F99" s="7" t="n">
        <v>77</v>
      </c>
      <c r="G99" s="7" t="n">
        <v>12</v>
      </c>
      <c r="H99" s="7" t="n">
        <v>15</v>
      </c>
      <c r="I99" s="7" t="n">
        <v>1</v>
      </c>
      <c r="J99" s="7" t="n">
        <v>1000000</v>
      </c>
    </row>
    <row r="100">
      <c r="A100" s="7" t="n">
        <v>97</v>
      </c>
      <c r="B100" s="7" t="inlineStr">
        <is>
          <t>TERM</t>
        </is>
      </c>
      <c r="C100" s="7" t="n">
        <v>1</v>
      </c>
      <c r="D100" s="7" t="n">
        <v>1</v>
      </c>
      <c r="E100" s="7" t="inlineStr">
        <is>
          <t>M</t>
        </is>
      </c>
      <c r="F100" s="7" t="n">
        <v>78</v>
      </c>
      <c r="G100" s="7" t="n">
        <v>12</v>
      </c>
      <c r="H100" s="7" t="n">
        <v>15</v>
      </c>
      <c r="I100" s="7" t="n">
        <v>1</v>
      </c>
      <c r="J100" s="7" t="n">
        <v>1000000</v>
      </c>
    </row>
    <row r="101">
      <c r="A101" s="7" t="n">
        <v>98</v>
      </c>
      <c r="B101" s="7" t="inlineStr">
        <is>
          <t>TERM</t>
        </is>
      </c>
      <c r="C101" s="7" t="n">
        <v>1</v>
      </c>
      <c r="D101" s="7" t="n">
        <v>1</v>
      </c>
      <c r="E101" s="7" t="inlineStr">
        <is>
          <t>F</t>
        </is>
      </c>
      <c r="F101" s="7" t="n">
        <v>78</v>
      </c>
      <c r="G101" s="7" t="n">
        <v>12</v>
      </c>
      <c r="H101" s="7" t="n">
        <v>15</v>
      </c>
      <c r="I101" s="7" t="n">
        <v>1</v>
      </c>
      <c r="J101" s="7" t="n">
        <v>1000000</v>
      </c>
    </row>
    <row r="102">
      <c r="A102" s="7" t="n">
        <v>99</v>
      </c>
      <c r="B102" s="7" t="inlineStr">
        <is>
          <t>TERM</t>
        </is>
      </c>
      <c r="C102" s="7" t="n">
        <v>1</v>
      </c>
      <c r="D102" s="7" t="n">
        <v>1</v>
      </c>
      <c r="E102" s="7" t="inlineStr">
        <is>
          <t>M</t>
        </is>
      </c>
      <c r="F102" s="7" t="n">
        <v>79</v>
      </c>
      <c r="G102" s="7" t="n">
        <v>12</v>
      </c>
      <c r="H102" s="7" t="n">
        <v>15</v>
      </c>
      <c r="I102" s="7" t="n">
        <v>1</v>
      </c>
      <c r="J102" s="7" t="n">
        <v>1000000</v>
      </c>
    </row>
    <row r="103">
      <c r="A103" s="7" t="n">
        <v>100</v>
      </c>
      <c r="B103" s="7" t="inlineStr">
        <is>
          <t>TERM</t>
        </is>
      </c>
      <c r="C103" s="7" t="n">
        <v>1</v>
      </c>
      <c r="D103" s="7" t="n">
        <v>1</v>
      </c>
      <c r="E103" s="7" t="inlineStr">
        <is>
          <t>F</t>
        </is>
      </c>
      <c r="F103" s="7" t="n">
        <v>79</v>
      </c>
      <c r="G103" s="7" t="n">
        <v>12</v>
      </c>
      <c r="H103" s="7" t="n">
        <v>15</v>
      </c>
      <c r="I103" s="7" t="n">
        <v>1</v>
      </c>
      <c r="J103" s="7" t="n">
        <v>1000000</v>
      </c>
    </row>
    <row r="104">
      <c r="A104" s="7" t="n">
        <v>101</v>
      </c>
      <c r="B104" s="7" t="inlineStr">
        <is>
          <t>WL</t>
        </is>
      </c>
      <c r="C104" s="7" t="n">
        <v>1</v>
      </c>
      <c r="D104" s="7" t="n">
        <v>1</v>
      </c>
      <c r="E104" s="7" t="inlineStr">
        <is>
          <t>M</t>
        </is>
      </c>
      <c r="F104" s="7" t="n">
        <v>15</v>
      </c>
      <c r="G104" s="7" t="n">
        <v>12</v>
      </c>
      <c r="H104" s="7" t="n">
        <v>115</v>
      </c>
      <c r="I104" s="7" t="n">
        <v>1</v>
      </c>
      <c r="J104" s="7" t="n">
        <v>1000000</v>
      </c>
    </row>
    <row r="105">
      <c r="A105" s="7" t="n">
        <v>102</v>
      </c>
      <c r="B105" s="7" t="inlineStr">
        <is>
          <t>WL</t>
        </is>
      </c>
      <c r="C105" s="7" t="n">
        <v>1</v>
      </c>
      <c r="D105" s="7" t="n">
        <v>1</v>
      </c>
      <c r="E105" s="7" t="inlineStr">
        <is>
          <t>F</t>
        </is>
      </c>
      <c r="F105" s="7" t="n">
        <v>15</v>
      </c>
      <c r="G105" s="7" t="n">
        <v>12</v>
      </c>
      <c r="H105" s="7" t="n">
        <v>115</v>
      </c>
      <c r="I105" s="7" t="n">
        <v>1</v>
      </c>
      <c r="J105" s="7" t="n">
        <v>1000000</v>
      </c>
    </row>
    <row r="106">
      <c r="A106" s="7" t="n">
        <v>103</v>
      </c>
      <c r="B106" s="7" t="inlineStr">
        <is>
          <t>WL</t>
        </is>
      </c>
      <c r="C106" s="7" t="n">
        <v>1</v>
      </c>
      <c r="D106" s="7" t="n">
        <v>1</v>
      </c>
      <c r="E106" s="7" t="inlineStr">
        <is>
          <t>M</t>
        </is>
      </c>
      <c r="F106" s="7" t="n">
        <v>16</v>
      </c>
      <c r="G106" s="7" t="n">
        <v>12</v>
      </c>
      <c r="H106" s="7" t="n">
        <v>114</v>
      </c>
      <c r="I106" s="7" t="n">
        <v>1</v>
      </c>
      <c r="J106" s="7" t="n">
        <v>1000000</v>
      </c>
    </row>
    <row r="107">
      <c r="A107" s="7" t="n">
        <v>104</v>
      </c>
      <c r="B107" s="7" t="inlineStr">
        <is>
          <t>WL</t>
        </is>
      </c>
      <c r="C107" s="7" t="n">
        <v>1</v>
      </c>
      <c r="D107" s="7" t="n">
        <v>1</v>
      </c>
      <c r="E107" s="7" t="inlineStr">
        <is>
          <t>F</t>
        </is>
      </c>
      <c r="F107" s="7" t="n">
        <v>16</v>
      </c>
      <c r="G107" s="7" t="n">
        <v>12</v>
      </c>
      <c r="H107" s="7" t="n">
        <v>114</v>
      </c>
      <c r="I107" s="7" t="n">
        <v>1</v>
      </c>
      <c r="J107" s="7" t="n">
        <v>1000000</v>
      </c>
    </row>
    <row r="108">
      <c r="A108" s="7" t="n">
        <v>105</v>
      </c>
      <c r="B108" s="7" t="inlineStr">
        <is>
          <t>WL</t>
        </is>
      </c>
      <c r="C108" s="7" t="n">
        <v>1</v>
      </c>
      <c r="D108" s="7" t="n">
        <v>1</v>
      </c>
      <c r="E108" s="7" t="inlineStr">
        <is>
          <t>M</t>
        </is>
      </c>
      <c r="F108" s="7" t="n">
        <v>17</v>
      </c>
      <c r="G108" s="7" t="n">
        <v>12</v>
      </c>
      <c r="H108" s="7" t="n">
        <v>113</v>
      </c>
      <c r="I108" s="7" t="n">
        <v>1</v>
      </c>
      <c r="J108" s="7" t="n">
        <v>1000000</v>
      </c>
    </row>
    <row r="109">
      <c r="A109" s="7" t="n">
        <v>106</v>
      </c>
      <c r="B109" s="7" t="inlineStr">
        <is>
          <t>WL</t>
        </is>
      </c>
      <c r="C109" s="7" t="n">
        <v>1</v>
      </c>
      <c r="D109" s="7" t="n">
        <v>1</v>
      </c>
      <c r="E109" s="7" t="inlineStr">
        <is>
          <t>F</t>
        </is>
      </c>
      <c r="F109" s="7" t="n">
        <v>17</v>
      </c>
      <c r="G109" s="7" t="n">
        <v>12</v>
      </c>
      <c r="H109" s="7" t="n">
        <v>113</v>
      </c>
      <c r="I109" s="7" t="n">
        <v>1</v>
      </c>
      <c r="J109" s="7" t="n">
        <v>1000000</v>
      </c>
    </row>
    <row r="110">
      <c r="A110" s="7" t="n">
        <v>107</v>
      </c>
      <c r="B110" s="7" t="inlineStr">
        <is>
          <t>WL</t>
        </is>
      </c>
      <c r="C110" s="7" t="n">
        <v>1</v>
      </c>
      <c r="D110" s="7" t="n">
        <v>1</v>
      </c>
      <c r="E110" s="7" t="inlineStr">
        <is>
          <t>M</t>
        </is>
      </c>
      <c r="F110" s="7" t="n">
        <v>18</v>
      </c>
      <c r="G110" s="7" t="n">
        <v>12</v>
      </c>
      <c r="H110" s="7" t="n">
        <v>112</v>
      </c>
      <c r="I110" s="7" t="n">
        <v>1</v>
      </c>
      <c r="J110" s="7" t="n">
        <v>1000000</v>
      </c>
    </row>
    <row r="111">
      <c r="A111" s="7" t="n">
        <v>108</v>
      </c>
      <c r="B111" s="7" t="inlineStr">
        <is>
          <t>WL</t>
        </is>
      </c>
      <c r="C111" s="7" t="n">
        <v>1</v>
      </c>
      <c r="D111" s="7" t="n">
        <v>1</v>
      </c>
      <c r="E111" s="7" t="inlineStr">
        <is>
          <t>F</t>
        </is>
      </c>
      <c r="F111" s="7" t="n">
        <v>18</v>
      </c>
      <c r="G111" s="7" t="n">
        <v>12</v>
      </c>
      <c r="H111" s="7" t="n">
        <v>112</v>
      </c>
      <c r="I111" s="7" t="n">
        <v>1</v>
      </c>
      <c r="J111" s="7" t="n">
        <v>1000000</v>
      </c>
    </row>
    <row r="112">
      <c r="A112" s="7" t="n">
        <v>109</v>
      </c>
      <c r="B112" s="7" t="inlineStr">
        <is>
          <t>WL</t>
        </is>
      </c>
      <c r="C112" s="7" t="n">
        <v>1</v>
      </c>
      <c r="D112" s="7" t="n">
        <v>1</v>
      </c>
      <c r="E112" s="7" t="inlineStr">
        <is>
          <t>M</t>
        </is>
      </c>
      <c r="F112" s="7" t="n">
        <v>19</v>
      </c>
      <c r="G112" s="7" t="n">
        <v>12</v>
      </c>
      <c r="H112" s="7" t="n">
        <v>111</v>
      </c>
      <c r="I112" s="7" t="n">
        <v>1</v>
      </c>
      <c r="J112" s="7" t="n">
        <v>1000000</v>
      </c>
    </row>
    <row r="113">
      <c r="A113" s="7" t="n">
        <v>110</v>
      </c>
      <c r="B113" s="7" t="inlineStr">
        <is>
          <t>WL</t>
        </is>
      </c>
      <c r="C113" s="7" t="n">
        <v>1</v>
      </c>
      <c r="D113" s="7" t="n">
        <v>1</v>
      </c>
      <c r="E113" s="7" t="inlineStr">
        <is>
          <t>F</t>
        </is>
      </c>
      <c r="F113" s="7" t="n">
        <v>19</v>
      </c>
      <c r="G113" s="7" t="n">
        <v>12</v>
      </c>
      <c r="H113" s="7" t="n">
        <v>111</v>
      </c>
      <c r="I113" s="7" t="n">
        <v>1</v>
      </c>
      <c r="J113" s="7" t="n">
        <v>1000000</v>
      </c>
    </row>
    <row r="114">
      <c r="A114" s="7" t="n">
        <v>111</v>
      </c>
      <c r="B114" s="7" t="inlineStr">
        <is>
          <t>WL</t>
        </is>
      </c>
      <c r="C114" s="7" t="n">
        <v>1</v>
      </c>
      <c r="D114" s="7" t="n">
        <v>1</v>
      </c>
      <c r="E114" s="7" t="inlineStr">
        <is>
          <t>M</t>
        </is>
      </c>
      <c r="F114" s="7" t="n">
        <v>20</v>
      </c>
      <c r="G114" s="7" t="n">
        <v>12</v>
      </c>
      <c r="H114" s="7" t="n">
        <v>110</v>
      </c>
      <c r="I114" s="7" t="n">
        <v>1</v>
      </c>
      <c r="J114" s="7" t="n">
        <v>1000000</v>
      </c>
    </row>
    <row r="115">
      <c r="A115" s="7" t="n">
        <v>112</v>
      </c>
      <c r="B115" s="7" t="inlineStr">
        <is>
          <t>WL</t>
        </is>
      </c>
      <c r="C115" s="7" t="n">
        <v>1</v>
      </c>
      <c r="D115" s="7" t="n">
        <v>1</v>
      </c>
      <c r="E115" s="7" t="inlineStr">
        <is>
          <t>F</t>
        </is>
      </c>
      <c r="F115" s="7" t="n">
        <v>20</v>
      </c>
      <c r="G115" s="7" t="n">
        <v>12</v>
      </c>
      <c r="H115" s="7" t="n">
        <v>110</v>
      </c>
      <c r="I115" s="7" t="n">
        <v>1</v>
      </c>
      <c r="J115" s="7" t="n">
        <v>1000000</v>
      </c>
    </row>
    <row r="116">
      <c r="A116" s="7" t="n">
        <v>113</v>
      </c>
      <c r="B116" s="7" t="inlineStr">
        <is>
          <t>WL</t>
        </is>
      </c>
      <c r="C116" s="7" t="n">
        <v>1</v>
      </c>
      <c r="D116" s="7" t="n">
        <v>1</v>
      </c>
      <c r="E116" s="7" t="inlineStr">
        <is>
          <t>M</t>
        </is>
      </c>
      <c r="F116" s="7" t="n">
        <v>21</v>
      </c>
      <c r="G116" s="7" t="n">
        <v>12</v>
      </c>
      <c r="H116" s="7" t="n">
        <v>109</v>
      </c>
      <c r="I116" s="7" t="n">
        <v>1</v>
      </c>
      <c r="J116" s="7" t="n">
        <v>1000000</v>
      </c>
    </row>
    <row r="117">
      <c r="A117" s="7" t="n">
        <v>114</v>
      </c>
      <c r="B117" s="7" t="inlineStr">
        <is>
          <t>WL</t>
        </is>
      </c>
      <c r="C117" s="7" t="n">
        <v>1</v>
      </c>
      <c r="D117" s="7" t="n">
        <v>1</v>
      </c>
      <c r="E117" s="7" t="inlineStr">
        <is>
          <t>F</t>
        </is>
      </c>
      <c r="F117" s="7" t="n">
        <v>21</v>
      </c>
      <c r="G117" s="7" t="n">
        <v>12</v>
      </c>
      <c r="H117" s="7" t="n">
        <v>109</v>
      </c>
      <c r="I117" s="7" t="n">
        <v>1</v>
      </c>
      <c r="J117" s="7" t="n">
        <v>1000000</v>
      </c>
    </row>
    <row r="118">
      <c r="A118" s="7" t="n">
        <v>115</v>
      </c>
      <c r="B118" s="7" t="inlineStr">
        <is>
          <t>WL</t>
        </is>
      </c>
      <c r="C118" s="7" t="n">
        <v>1</v>
      </c>
      <c r="D118" s="7" t="n">
        <v>1</v>
      </c>
      <c r="E118" s="7" t="inlineStr">
        <is>
          <t>M</t>
        </is>
      </c>
      <c r="F118" s="7" t="n">
        <v>22</v>
      </c>
      <c r="G118" s="7" t="n">
        <v>12</v>
      </c>
      <c r="H118" s="7" t="n">
        <v>108</v>
      </c>
      <c r="I118" s="7" t="n">
        <v>1</v>
      </c>
      <c r="J118" s="7" t="n">
        <v>1000000</v>
      </c>
    </row>
    <row r="119">
      <c r="A119" s="7" t="n">
        <v>116</v>
      </c>
      <c r="B119" s="7" t="inlineStr">
        <is>
          <t>WL</t>
        </is>
      </c>
      <c r="C119" s="7" t="n">
        <v>1</v>
      </c>
      <c r="D119" s="7" t="n">
        <v>1</v>
      </c>
      <c r="E119" s="7" t="inlineStr">
        <is>
          <t>F</t>
        </is>
      </c>
      <c r="F119" s="7" t="n">
        <v>22</v>
      </c>
      <c r="G119" s="7" t="n">
        <v>12</v>
      </c>
      <c r="H119" s="7" t="n">
        <v>108</v>
      </c>
      <c r="I119" s="7" t="n">
        <v>1</v>
      </c>
      <c r="J119" s="7" t="n">
        <v>1000000</v>
      </c>
    </row>
    <row r="120">
      <c r="A120" s="7" t="n">
        <v>117</v>
      </c>
      <c r="B120" s="7" t="inlineStr">
        <is>
          <t>WL</t>
        </is>
      </c>
      <c r="C120" s="7" t="n">
        <v>1</v>
      </c>
      <c r="D120" s="7" t="n">
        <v>1</v>
      </c>
      <c r="E120" s="7" t="inlineStr">
        <is>
          <t>M</t>
        </is>
      </c>
      <c r="F120" s="7" t="n">
        <v>23</v>
      </c>
      <c r="G120" s="7" t="n">
        <v>12</v>
      </c>
      <c r="H120" s="7" t="n">
        <v>107</v>
      </c>
      <c r="I120" s="7" t="n">
        <v>1</v>
      </c>
      <c r="J120" s="7" t="n">
        <v>1000000</v>
      </c>
    </row>
    <row r="121">
      <c r="A121" s="7" t="n">
        <v>118</v>
      </c>
      <c r="B121" s="7" t="inlineStr">
        <is>
          <t>WL</t>
        </is>
      </c>
      <c r="C121" s="7" t="n">
        <v>1</v>
      </c>
      <c r="D121" s="7" t="n">
        <v>1</v>
      </c>
      <c r="E121" s="7" t="inlineStr">
        <is>
          <t>F</t>
        </is>
      </c>
      <c r="F121" s="7" t="n">
        <v>23</v>
      </c>
      <c r="G121" s="7" t="n">
        <v>12</v>
      </c>
      <c r="H121" s="7" t="n">
        <v>107</v>
      </c>
      <c r="I121" s="7" t="n">
        <v>1</v>
      </c>
      <c r="J121" s="7" t="n">
        <v>1000000</v>
      </c>
    </row>
    <row r="122">
      <c r="A122" s="7" t="n">
        <v>119</v>
      </c>
      <c r="B122" s="7" t="inlineStr">
        <is>
          <t>WL</t>
        </is>
      </c>
      <c r="C122" s="7" t="n">
        <v>1</v>
      </c>
      <c r="D122" s="7" t="n">
        <v>1</v>
      </c>
      <c r="E122" s="7" t="inlineStr">
        <is>
          <t>M</t>
        </is>
      </c>
      <c r="F122" s="7" t="n">
        <v>24</v>
      </c>
      <c r="G122" s="7" t="n">
        <v>12</v>
      </c>
      <c r="H122" s="7" t="n">
        <v>106</v>
      </c>
      <c r="I122" s="7" t="n">
        <v>1</v>
      </c>
      <c r="J122" s="7" t="n">
        <v>1000000</v>
      </c>
    </row>
    <row r="123">
      <c r="A123" s="7" t="n">
        <v>120</v>
      </c>
      <c r="B123" s="7" t="inlineStr">
        <is>
          <t>WL</t>
        </is>
      </c>
      <c r="C123" s="7" t="n">
        <v>1</v>
      </c>
      <c r="D123" s="7" t="n">
        <v>1</v>
      </c>
      <c r="E123" s="7" t="inlineStr">
        <is>
          <t>F</t>
        </is>
      </c>
      <c r="F123" s="7" t="n">
        <v>24</v>
      </c>
      <c r="G123" s="7" t="n">
        <v>12</v>
      </c>
      <c r="H123" s="7" t="n">
        <v>106</v>
      </c>
      <c r="I123" s="7" t="n">
        <v>1</v>
      </c>
      <c r="J123" s="7" t="n">
        <v>1000000</v>
      </c>
    </row>
    <row r="124">
      <c r="A124" s="7" t="n">
        <v>121</v>
      </c>
      <c r="B124" s="7" t="inlineStr">
        <is>
          <t>WL</t>
        </is>
      </c>
      <c r="C124" s="7" t="n">
        <v>1</v>
      </c>
      <c r="D124" s="7" t="n">
        <v>1</v>
      </c>
      <c r="E124" s="7" t="inlineStr">
        <is>
          <t>M</t>
        </is>
      </c>
      <c r="F124" s="7" t="n">
        <v>25</v>
      </c>
      <c r="G124" s="7" t="n">
        <v>12</v>
      </c>
      <c r="H124" s="7" t="n">
        <v>105</v>
      </c>
      <c r="I124" s="7" t="n">
        <v>1</v>
      </c>
      <c r="J124" s="7" t="n">
        <v>1000000</v>
      </c>
    </row>
    <row r="125">
      <c r="A125" s="7" t="n">
        <v>122</v>
      </c>
      <c r="B125" s="7" t="inlineStr">
        <is>
          <t>WL</t>
        </is>
      </c>
      <c r="C125" s="7" t="n">
        <v>1</v>
      </c>
      <c r="D125" s="7" t="n">
        <v>1</v>
      </c>
      <c r="E125" s="7" t="inlineStr">
        <is>
          <t>F</t>
        </is>
      </c>
      <c r="F125" s="7" t="n">
        <v>25</v>
      </c>
      <c r="G125" s="7" t="n">
        <v>12</v>
      </c>
      <c r="H125" s="7" t="n">
        <v>105</v>
      </c>
      <c r="I125" s="7" t="n">
        <v>1</v>
      </c>
      <c r="J125" s="7" t="n">
        <v>1000000</v>
      </c>
    </row>
    <row r="126">
      <c r="A126" s="7" t="n">
        <v>123</v>
      </c>
      <c r="B126" s="7" t="inlineStr">
        <is>
          <t>WL</t>
        </is>
      </c>
      <c r="C126" s="7" t="n">
        <v>1</v>
      </c>
      <c r="D126" s="7" t="n">
        <v>1</v>
      </c>
      <c r="E126" s="7" t="inlineStr">
        <is>
          <t>M</t>
        </is>
      </c>
      <c r="F126" s="7" t="n">
        <v>26</v>
      </c>
      <c r="G126" s="7" t="n">
        <v>12</v>
      </c>
      <c r="H126" s="7" t="n">
        <v>104</v>
      </c>
      <c r="I126" s="7" t="n">
        <v>1</v>
      </c>
      <c r="J126" s="7" t="n">
        <v>1000000</v>
      </c>
    </row>
    <row r="127">
      <c r="A127" s="7" t="n">
        <v>124</v>
      </c>
      <c r="B127" s="7" t="inlineStr">
        <is>
          <t>WL</t>
        </is>
      </c>
      <c r="C127" s="7" t="n">
        <v>1</v>
      </c>
      <c r="D127" s="7" t="n">
        <v>1</v>
      </c>
      <c r="E127" s="7" t="inlineStr">
        <is>
          <t>F</t>
        </is>
      </c>
      <c r="F127" s="7" t="n">
        <v>26</v>
      </c>
      <c r="G127" s="7" t="n">
        <v>12</v>
      </c>
      <c r="H127" s="7" t="n">
        <v>104</v>
      </c>
      <c r="I127" s="7" t="n">
        <v>1</v>
      </c>
      <c r="J127" s="7" t="n">
        <v>1000000</v>
      </c>
    </row>
    <row r="128">
      <c r="A128" s="7" t="n">
        <v>125</v>
      </c>
      <c r="B128" s="7" t="inlineStr">
        <is>
          <t>WL</t>
        </is>
      </c>
      <c r="C128" s="7" t="n">
        <v>1</v>
      </c>
      <c r="D128" s="7" t="n">
        <v>1</v>
      </c>
      <c r="E128" s="7" t="inlineStr">
        <is>
          <t>M</t>
        </is>
      </c>
      <c r="F128" s="7" t="n">
        <v>27</v>
      </c>
      <c r="G128" s="7" t="n">
        <v>12</v>
      </c>
      <c r="H128" s="7" t="n">
        <v>103</v>
      </c>
      <c r="I128" s="7" t="n">
        <v>1</v>
      </c>
      <c r="J128" s="7" t="n">
        <v>1000000</v>
      </c>
    </row>
    <row r="129">
      <c r="A129" s="7" t="n">
        <v>126</v>
      </c>
      <c r="B129" s="7" t="inlineStr">
        <is>
          <t>WL</t>
        </is>
      </c>
      <c r="C129" s="7" t="n">
        <v>1</v>
      </c>
      <c r="D129" s="7" t="n">
        <v>1</v>
      </c>
      <c r="E129" s="7" t="inlineStr">
        <is>
          <t>F</t>
        </is>
      </c>
      <c r="F129" s="7" t="n">
        <v>27</v>
      </c>
      <c r="G129" s="7" t="n">
        <v>12</v>
      </c>
      <c r="H129" s="7" t="n">
        <v>103</v>
      </c>
      <c r="I129" s="7" t="n">
        <v>1</v>
      </c>
      <c r="J129" s="7" t="n">
        <v>1000000</v>
      </c>
    </row>
    <row r="130">
      <c r="A130" s="7" t="n">
        <v>127</v>
      </c>
      <c r="B130" s="7" t="inlineStr">
        <is>
          <t>WL</t>
        </is>
      </c>
      <c r="C130" s="7" t="n">
        <v>1</v>
      </c>
      <c r="D130" s="7" t="n">
        <v>1</v>
      </c>
      <c r="E130" s="7" t="inlineStr">
        <is>
          <t>M</t>
        </is>
      </c>
      <c r="F130" s="7" t="n">
        <v>28</v>
      </c>
      <c r="G130" s="7" t="n">
        <v>12</v>
      </c>
      <c r="H130" s="7" t="n">
        <v>102</v>
      </c>
      <c r="I130" s="7" t="n">
        <v>1</v>
      </c>
      <c r="J130" s="7" t="n">
        <v>1000000</v>
      </c>
    </row>
    <row r="131">
      <c r="A131" s="7" t="n">
        <v>128</v>
      </c>
      <c r="B131" s="7" t="inlineStr">
        <is>
          <t>WL</t>
        </is>
      </c>
      <c r="C131" s="7" t="n">
        <v>1</v>
      </c>
      <c r="D131" s="7" t="n">
        <v>1</v>
      </c>
      <c r="E131" s="7" t="inlineStr">
        <is>
          <t>F</t>
        </is>
      </c>
      <c r="F131" s="7" t="n">
        <v>28</v>
      </c>
      <c r="G131" s="7" t="n">
        <v>12</v>
      </c>
      <c r="H131" s="7" t="n">
        <v>102</v>
      </c>
      <c r="I131" s="7" t="n">
        <v>1</v>
      </c>
      <c r="J131" s="7" t="n">
        <v>1000000</v>
      </c>
    </row>
    <row r="132">
      <c r="A132" s="7" t="n">
        <v>129</v>
      </c>
      <c r="B132" s="7" t="inlineStr">
        <is>
          <t>WL</t>
        </is>
      </c>
      <c r="C132" s="7" t="n">
        <v>1</v>
      </c>
      <c r="D132" s="7" t="n">
        <v>1</v>
      </c>
      <c r="E132" s="7" t="inlineStr">
        <is>
          <t>M</t>
        </is>
      </c>
      <c r="F132" s="7" t="n">
        <v>29</v>
      </c>
      <c r="G132" s="7" t="n">
        <v>12</v>
      </c>
      <c r="H132" s="7" t="n">
        <v>101</v>
      </c>
      <c r="I132" s="7" t="n">
        <v>1</v>
      </c>
      <c r="J132" s="7" t="n">
        <v>1000000</v>
      </c>
    </row>
    <row r="133">
      <c r="A133" s="7" t="n">
        <v>130</v>
      </c>
      <c r="B133" s="7" t="inlineStr">
        <is>
          <t>WL</t>
        </is>
      </c>
      <c r="C133" s="7" t="n">
        <v>1</v>
      </c>
      <c r="D133" s="7" t="n">
        <v>1</v>
      </c>
      <c r="E133" s="7" t="inlineStr">
        <is>
          <t>F</t>
        </is>
      </c>
      <c r="F133" s="7" t="n">
        <v>29</v>
      </c>
      <c r="G133" s="7" t="n">
        <v>12</v>
      </c>
      <c r="H133" s="7" t="n">
        <v>101</v>
      </c>
      <c r="I133" s="7" t="n">
        <v>1</v>
      </c>
      <c r="J133" s="7" t="n">
        <v>1000000</v>
      </c>
    </row>
    <row r="134">
      <c r="A134" s="7" t="n">
        <v>131</v>
      </c>
      <c r="B134" s="7" t="inlineStr">
        <is>
          <t>WL</t>
        </is>
      </c>
      <c r="C134" s="7" t="n">
        <v>1</v>
      </c>
      <c r="D134" s="7" t="n">
        <v>1</v>
      </c>
      <c r="E134" s="7" t="inlineStr">
        <is>
          <t>M</t>
        </is>
      </c>
      <c r="F134" s="7" t="n">
        <v>30</v>
      </c>
      <c r="G134" s="7" t="n">
        <v>12</v>
      </c>
      <c r="H134" s="7" t="n">
        <v>100</v>
      </c>
      <c r="I134" s="7" t="n">
        <v>1</v>
      </c>
      <c r="J134" s="7" t="n">
        <v>1000000</v>
      </c>
    </row>
    <row r="135">
      <c r="A135" s="7" t="n">
        <v>132</v>
      </c>
      <c r="B135" s="7" t="inlineStr">
        <is>
          <t>WL</t>
        </is>
      </c>
      <c r="C135" s="7" t="n">
        <v>1</v>
      </c>
      <c r="D135" s="7" t="n">
        <v>1</v>
      </c>
      <c r="E135" s="7" t="inlineStr">
        <is>
          <t>F</t>
        </is>
      </c>
      <c r="F135" s="7" t="n">
        <v>30</v>
      </c>
      <c r="G135" s="7" t="n">
        <v>12</v>
      </c>
      <c r="H135" s="7" t="n">
        <v>100</v>
      </c>
      <c r="I135" s="7" t="n">
        <v>1</v>
      </c>
      <c r="J135" s="7" t="n">
        <v>1000000</v>
      </c>
    </row>
    <row r="136">
      <c r="A136" s="7" t="n">
        <v>133</v>
      </c>
      <c r="B136" s="7" t="inlineStr">
        <is>
          <t>WL</t>
        </is>
      </c>
      <c r="C136" s="7" t="n">
        <v>1</v>
      </c>
      <c r="D136" s="7" t="n">
        <v>1</v>
      </c>
      <c r="E136" s="7" t="inlineStr">
        <is>
          <t>M</t>
        </is>
      </c>
      <c r="F136" s="7" t="n">
        <v>31</v>
      </c>
      <c r="G136" s="7" t="n">
        <v>12</v>
      </c>
      <c r="H136" s="7" t="n">
        <v>99</v>
      </c>
      <c r="I136" s="7" t="n">
        <v>1</v>
      </c>
      <c r="J136" s="7" t="n">
        <v>1000000</v>
      </c>
    </row>
    <row r="137">
      <c r="A137" s="7" t="n">
        <v>134</v>
      </c>
      <c r="B137" s="7" t="inlineStr">
        <is>
          <t>WL</t>
        </is>
      </c>
      <c r="C137" s="7" t="n">
        <v>1</v>
      </c>
      <c r="D137" s="7" t="n">
        <v>1</v>
      </c>
      <c r="E137" s="7" t="inlineStr">
        <is>
          <t>F</t>
        </is>
      </c>
      <c r="F137" s="7" t="n">
        <v>31</v>
      </c>
      <c r="G137" s="7" t="n">
        <v>12</v>
      </c>
      <c r="H137" s="7" t="n">
        <v>99</v>
      </c>
      <c r="I137" s="7" t="n">
        <v>1</v>
      </c>
      <c r="J137" s="7" t="n">
        <v>1000000</v>
      </c>
    </row>
    <row r="138">
      <c r="A138" s="7" t="n">
        <v>135</v>
      </c>
      <c r="B138" s="7" t="inlineStr">
        <is>
          <t>WL</t>
        </is>
      </c>
      <c r="C138" s="7" t="n">
        <v>1</v>
      </c>
      <c r="D138" s="7" t="n">
        <v>1</v>
      </c>
      <c r="E138" s="7" t="inlineStr">
        <is>
          <t>M</t>
        </is>
      </c>
      <c r="F138" s="7" t="n">
        <v>32</v>
      </c>
      <c r="G138" s="7" t="n">
        <v>12</v>
      </c>
      <c r="H138" s="7" t="n">
        <v>98</v>
      </c>
      <c r="I138" s="7" t="n">
        <v>1</v>
      </c>
      <c r="J138" s="7" t="n">
        <v>1000000</v>
      </c>
    </row>
    <row r="139">
      <c r="A139" s="7" t="n">
        <v>136</v>
      </c>
      <c r="B139" s="7" t="inlineStr">
        <is>
          <t>WL</t>
        </is>
      </c>
      <c r="C139" s="7" t="n">
        <v>1</v>
      </c>
      <c r="D139" s="7" t="n">
        <v>1</v>
      </c>
      <c r="E139" s="7" t="inlineStr">
        <is>
          <t>F</t>
        </is>
      </c>
      <c r="F139" s="7" t="n">
        <v>32</v>
      </c>
      <c r="G139" s="7" t="n">
        <v>12</v>
      </c>
      <c r="H139" s="7" t="n">
        <v>98</v>
      </c>
      <c r="I139" s="7" t="n">
        <v>1</v>
      </c>
      <c r="J139" s="7" t="n">
        <v>1000000</v>
      </c>
    </row>
    <row r="140">
      <c r="A140" s="7" t="n">
        <v>137</v>
      </c>
      <c r="B140" s="7" t="inlineStr">
        <is>
          <t>WL</t>
        </is>
      </c>
      <c r="C140" s="7" t="n">
        <v>1</v>
      </c>
      <c r="D140" s="7" t="n">
        <v>1</v>
      </c>
      <c r="E140" s="7" t="inlineStr">
        <is>
          <t>M</t>
        </is>
      </c>
      <c r="F140" s="7" t="n">
        <v>33</v>
      </c>
      <c r="G140" s="7" t="n">
        <v>12</v>
      </c>
      <c r="H140" s="7" t="n">
        <v>97</v>
      </c>
      <c r="I140" s="7" t="n">
        <v>1</v>
      </c>
      <c r="J140" s="7" t="n">
        <v>1000000</v>
      </c>
    </row>
    <row r="141">
      <c r="A141" s="7" t="n">
        <v>138</v>
      </c>
      <c r="B141" s="7" t="inlineStr">
        <is>
          <t>WL</t>
        </is>
      </c>
      <c r="C141" s="7" t="n">
        <v>1</v>
      </c>
      <c r="D141" s="7" t="n">
        <v>1</v>
      </c>
      <c r="E141" s="7" t="inlineStr">
        <is>
          <t>F</t>
        </is>
      </c>
      <c r="F141" s="7" t="n">
        <v>33</v>
      </c>
      <c r="G141" s="7" t="n">
        <v>12</v>
      </c>
      <c r="H141" s="7" t="n">
        <v>97</v>
      </c>
      <c r="I141" s="7" t="n">
        <v>1</v>
      </c>
      <c r="J141" s="7" t="n">
        <v>1000000</v>
      </c>
    </row>
    <row r="142">
      <c r="A142" s="7" t="n">
        <v>139</v>
      </c>
      <c r="B142" s="7" t="inlineStr">
        <is>
          <t>WL</t>
        </is>
      </c>
      <c r="C142" s="7" t="n">
        <v>1</v>
      </c>
      <c r="D142" s="7" t="n">
        <v>1</v>
      </c>
      <c r="E142" s="7" t="inlineStr">
        <is>
          <t>M</t>
        </is>
      </c>
      <c r="F142" s="7" t="n">
        <v>34</v>
      </c>
      <c r="G142" s="7" t="n">
        <v>12</v>
      </c>
      <c r="H142" s="7" t="n">
        <v>96</v>
      </c>
      <c r="I142" s="7" t="n">
        <v>1</v>
      </c>
      <c r="J142" s="7" t="n">
        <v>1000000</v>
      </c>
    </row>
    <row r="143">
      <c r="A143" s="7" t="n">
        <v>140</v>
      </c>
      <c r="B143" s="7" t="inlineStr">
        <is>
          <t>WL</t>
        </is>
      </c>
      <c r="C143" s="7" t="n">
        <v>1</v>
      </c>
      <c r="D143" s="7" t="n">
        <v>1</v>
      </c>
      <c r="E143" s="7" t="inlineStr">
        <is>
          <t>F</t>
        </is>
      </c>
      <c r="F143" s="7" t="n">
        <v>34</v>
      </c>
      <c r="G143" s="7" t="n">
        <v>12</v>
      </c>
      <c r="H143" s="7" t="n">
        <v>96</v>
      </c>
      <c r="I143" s="7" t="n">
        <v>1</v>
      </c>
      <c r="J143" s="7" t="n">
        <v>1000000</v>
      </c>
    </row>
    <row r="144">
      <c r="A144" s="7" t="n">
        <v>141</v>
      </c>
      <c r="B144" s="7" t="inlineStr">
        <is>
          <t>WL</t>
        </is>
      </c>
      <c r="C144" s="7" t="n">
        <v>1</v>
      </c>
      <c r="D144" s="7" t="n">
        <v>1</v>
      </c>
      <c r="E144" s="7" t="inlineStr">
        <is>
          <t>M</t>
        </is>
      </c>
      <c r="F144" s="7" t="n">
        <v>35</v>
      </c>
      <c r="G144" s="7" t="n">
        <v>12</v>
      </c>
      <c r="H144" s="7" t="n">
        <v>95</v>
      </c>
      <c r="I144" s="7" t="n">
        <v>1</v>
      </c>
      <c r="J144" s="7" t="n">
        <v>1000000</v>
      </c>
    </row>
    <row r="145">
      <c r="A145" s="7" t="n">
        <v>142</v>
      </c>
      <c r="B145" s="7" t="inlineStr">
        <is>
          <t>WL</t>
        </is>
      </c>
      <c r="C145" s="7" t="n">
        <v>1</v>
      </c>
      <c r="D145" s="7" t="n">
        <v>1</v>
      </c>
      <c r="E145" s="7" t="inlineStr">
        <is>
          <t>F</t>
        </is>
      </c>
      <c r="F145" s="7" t="n">
        <v>35</v>
      </c>
      <c r="G145" s="7" t="n">
        <v>12</v>
      </c>
      <c r="H145" s="7" t="n">
        <v>95</v>
      </c>
      <c r="I145" s="7" t="n">
        <v>1</v>
      </c>
      <c r="J145" s="7" t="n">
        <v>1000000</v>
      </c>
    </row>
    <row r="146">
      <c r="A146" s="7" t="n">
        <v>143</v>
      </c>
      <c r="B146" s="7" t="inlineStr">
        <is>
          <t>WL</t>
        </is>
      </c>
      <c r="C146" s="7" t="n">
        <v>1</v>
      </c>
      <c r="D146" s="7" t="n">
        <v>1</v>
      </c>
      <c r="E146" s="7" t="inlineStr">
        <is>
          <t>M</t>
        </is>
      </c>
      <c r="F146" s="7" t="n">
        <v>36</v>
      </c>
      <c r="G146" s="7" t="n">
        <v>12</v>
      </c>
      <c r="H146" s="7" t="n">
        <v>94</v>
      </c>
      <c r="I146" s="7" t="n">
        <v>1</v>
      </c>
      <c r="J146" s="7" t="n">
        <v>1000000</v>
      </c>
    </row>
    <row r="147">
      <c r="A147" s="7" t="n">
        <v>144</v>
      </c>
      <c r="B147" s="7" t="inlineStr">
        <is>
          <t>WL</t>
        </is>
      </c>
      <c r="C147" s="7" t="n">
        <v>1</v>
      </c>
      <c r="D147" s="7" t="n">
        <v>1</v>
      </c>
      <c r="E147" s="7" t="inlineStr">
        <is>
          <t>F</t>
        </is>
      </c>
      <c r="F147" s="7" t="n">
        <v>36</v>
      </c>
      <c r="G147" s="7" t="n">
        <v>12</v>
      </c>
      <c r="H147" s="7" t="n">
        <v>94</v>
      </c>
      <c r="I147" s="7" t="n">
        <v>1</v>
      </c>
      <c r="J147" s="7" t="n">
        <v>1000000</v>
      </c>
    </row>
    <row r="148">
      <c r="A148" s="7" t="n">
        <v>145</v>
      </c>
      <c r="B148" s="7" t="inlineStr">
        <is>
          <t>WL</t>
        </is>
      </c>
      <c r="C148" s="7" t="n">
        <v>1</v>
      </c>
      <c r="D148" s="7" t="n">
        <v>1</v>
      </c>
      <c r="E148" s="7" t="inlineStr">
        <is>
          <t>M</t>
        </is>
      </c>
      <c r="F148" s="7" t="n">
        <v>37</v>
      </c>
      <c r="G148" s="7" t="n">
        <v>12</v>
      </c>
      <c r="H148" s="7" t="n">
        <v>93</v>
      </c>
      <c r="I148" s="7" t="n">
        <v>1</v>
      </c>
      <c r="J148" s="7" t="n">
        <v>1000000</v>
      </c>
    </row>
    <row r="149">
      <c r="A149" s="7" t="n">
        <v>146</v>
      </c>
      <c r="B149" s="7" t="inlineStr">
        <is>
          <t>WL</t>
        </is>
      </c>
      <c r="C149" s="7" t="n">
        <v>1</v>
      </c>
      <c r="D149" s="7" t="n">
        <v>1</v>
      </c>
      <c r="E149" s="7" t="inlineStr">
        <is>
          <t>F</t>
        </is>
      </c>
      <c r="F149" s="7" t="n">
        <v>37</v>
      </c>
      <c r="G149" s="7" t="n">
        <v>12</v>
      </c>
      <c r="H149" s="7" t="n">
        <v>93</v>
      </c>
      <c r="I149" s="7" t="n">
        <v>1</v>
      </c>
      <c r="J149" s="7" t="n">
        <v>1000000</v>
      </c>
    </row>
    <row r="150">
      <c r="A150" s="7" t="n">
        <v>147</v>
      </c>
      <c r="B150" s="7" t="inlineStr">
        <is>
          <t>WL</t>
        </is>
      </c>
      <c r="C150" s="7" t="n">
        <v>1</v>
      </c>
      <c r="D150" s="7" t="n">
        <v>1</v>
      </c>
      <c r="E150" s="7" t="inlineStr">
        <is>
          <t>M</t>
        </is>
      </c>
      <c r="F150" s="7" t="n">
        <v>38</v>
      </c>
      <c r="G150" s="7" t="n">
        <v>12</v>
      </c>
      <c r="H150" s="7" t="n">
        <v>92</v>
      </c>
      <c r="I150" s="7" t="n">
        <v>1</v>
      </c>
      <c r="J150" s="7" t="n">
        <v>1000000</v>
      </c>
    </row>
    <row r="151">
      <c r="A151" s="7" t="n">
        <v>148</v>
      </c>
      <c r="B151" s="7" t="inlineStr">
        <is>
          <t>WL</t>
        </is>
      </c>
      <c r="C151" s="7" t="n">
        <v>1</v>
      </c>
      <c r="D151" s="7" t="n">
        <v>1</v>
      </c>
      <c r="E151" s="7" t="inlineStr">
        <is>
          <t>F</t>
        </is>
      </c>
      <c r="F151" s="7" t="n">
        <v>38</v>
      </c>
      <c r="G151" s="7" t="n">
        <v>12</v>
      </c>
      <c r="H151" s="7" t="n">
        <v>92</v>
      </c>
      <c r="I151" s="7" t="n">
        <v>1</v>
      </c>
      <c r="J151" s="7" t="n">
        <v>1000000</v>
      </c>
    </row>
    <row r="152">
      <c r="A152" s="7" t="n">
        <v>149</v>
      </c>
      <c r="B152" s="7" t="inlineStr">
        <is>
          <t>WL</t>
        </is>
      </c>
      <c r="C152" s="7" t="n">
        <v>1</v>
      </c>
      <c r="D152" s="7" t="n">
        <v>1</v>
      </c>
      <c r="E152" s="7" t="inlineStr">
        <is>
          <t>M</t>
        </is>
      </c>
      <c r="F152" s="7" t="n">
        <v>39</v>
      </c>
      <c r="G152" s="7" t="n">
        <v>12</v>
      </c>
      <c r="H152" s="7" t="n">
        <v>91</v>
      </c>
      <c r="I152" s="7" t="n">
        <v>1</v>
      </c>
      <c r="J152" s="7" t="n">
        <v>1000000</v>
      </c>
    </row>
    <row r="153">
      <c r="A153" s="7" t="n">
        <v>150</v>
      </c>
      <c r="B153" s="7" t="inlineStr">
        <is>
          <t>WL</t>
        </is>
      </c>
      <c r="C153" s="7" t="n">
        <v>1</v>
      </c>
      <c r="D153" s="7" t="n">
        <v>1</v>
      </c>
      <c r="E153" s="7" t="inlineStr">
        <is>
          <t>F</t>
        </is>
      </c>
      <c r="F153" s="7" t="n">
        <v>39</v>
      </c>
      <c r="G153" s="7" t="n">
        <v>12</v>
      </c>
      <c r="H153" s="7" t="n">
        <v>91</v>
      </c>
      <c r="I153" s="7" t="n">
        <v>1</v>
      </c>
      <c r="J153" s="7" t="n">
        <v>1000000</v>
      </c>
    </row>
    <row r="154">
      <c r="A154" s="7" t="n">
        <v>151</v>
      </c>
      <c r="B154" s="7" t="inlineStr">
        <is>
          <t>WL</t>
        </is>
      </c>
      <c r="C154" s="7" t="n">
        <v>1</v>
      </c>
      <c r="D154" s="7" t="n">
        <v>1</v>
      </c>
      <c r="E154" s="7" t="inlineStr">
        <is>
          <t>M</t>
        </is>
      </c>
      <c r="F154" s="7" t="n">
        <v>40</v>
      </c>
      <c r="G154" s="7" t="n">
        <v>12</v>
      </c>
      <c r="H154" s="7" t="n">
        <v>90</v>
      </c>
      <c r="I154" s="7" t="n">
        <v>1</v>
      </c>
      <c r="J154" s="7" t="n">
        <v>1000000</v>
      </c>
    </row>
    <row r="155">
      <c r="A155" s="7" t="n">
        <v>152</v>
      </c>
      <c r="B155" s="7" t="inlineStr">
        <is>
          <t>WL</t>
        </is>
      </c>
      <c r="C155" s="7" t="n">
        <v>1</v>
      </c>
      <c r="D155" s="7" t="n">
        <v>1</v>
      </c>
      <c r="E155" s="7" t="inlineStr">
        <is>
          <t>F</t>
        </is>
      </c>
      <c r="F155" s="7" t="n">
        <v>40</v>
      </c>
      <c r="G155" s="7" t="n">
        <v>12</v>
      </c>
      <c r="H155" s="7" t="n">
        <v>90</v>
      </c>
      <c r="I155" s="7" t="n">
        <v>1</v>
      </c>
      <c r="J155" s="7" t="n">
        <v>1000000</v>
      </c>
    </row>
    <row r="156">
      <c r="A156" s="7" t="n">
        <v>153</v>
      </c>
      <c r="B156" s="7" t="inlineStr">
        <is>
          <t>WL</t>
        </is>
      </c>
      <c r="C156" s="7" t="n">
        <v>1</v>
      </c>
      <c r="D156" s="7" t="n">
        <v>1</v>
      </c>
      <c r="E156" s="7" t="inlineStr">
        <is>
          <t>M</t>
        </is>
      </c>
      <c r="F156" s="7" t="n">
        <v>41</v>
      </c>
      <c r="G156" s="7" t="n">
        <v>12</v>
      </c>
      <c r="H156" s="7" t="n">
        <v>89</v>
      </c>
      <c r="I156" s="7" t="n">
        <v>1</v>
      </c>
      <c r="J156" s="7" t="n">
        <v>1000000</v>
      </c>
    </row>
    <row r="157">
      <c r="A157" s="7" t="n">
        <v>154</v>
      </c>
      <c r="B157" s="7" t="inlineStr">
        <is>
          <t>WL</t>
        </is>
      </c>
      <c r="C157" s="7" t="n">
        <v>1</v>
      </c>
      <c r="D157" s="7" t="n">
        <v>1</v>
      </c>
      <c r="E157" s="7" t="inlineStr">
        <is>
          <t>F</t>
        </is>
      </c>
      <c r="F157" s="7" t="n">
        <v>41</v>
      </c>
      <c r="G157" s="7" t="n">
        <v>12</v>
      </c>
      <c r="H157" s="7" t="n">
        <v>89</v>
      </c>
      <c r="I157" s="7" t="n">
        <v>1</v>
      </c>
      <c r="J157" s="7" t="n">
        <v>1000000</v>
      </c>
    </row>
    <row r="158">
      <c r="A158" s="7" t="n">
        <v>155</v>
      </c>
      <c r="B158" s="7" t="inlineStr">
        <is>
          <t>WL</t>
        </is>
      </c>
      <c r="C158" s="7" t="n">
        <v>1</v>
      </c>
      <c r="D158" s="7" t="n">
        <v>1</v>
      </c>
      <c r="E158" s="7" t="inlineStr">
        <is>
          <t>M</t>
        </is>
      </c>
      <c r="F158" s="7" t="n">
        <v>42</v>
      </c>
      <c r="G158" s="7" t="n">
        <v>12</v>
      </c>
      <c r="H158" s="7" t="n">
        <v>88</v>
      </c>
      <c r="I158" s="7" t="n">
        <v>1</v>
      </c>
      <c r="J158" s="7" t="n">
        <v>1000000</v>
      </c>
    </row>
    <row r="159">
      <c r="A159" s="7" t="n">
        <v>156</v>
      </c>
      <c r="B159" s="7" t="inlineStr">
        <is>
          <t>WL</t>
        </is>
      </c>
      <c r="C159" s="7" t="n">
        <v>1</v>
      </c>
      <c r="D159" s="7" t="n">
        <v>1</v>
      </c>
      <c r="E159" s="7" t="inlineStr">
        <is>
          <t>F</t>
        </is>
      </c>
      <c r="F159" s="7" t="n">
        <v>42</v>
      </c>
      <c r="G159" s="7" t="n">
        <v>12</v>
      </c>
      <c r="H159" s="7" t="n">
        <v>88</v>
      </c>
      <c r="I159" s="7" t="n">
        <v>1</v>
      </c>
      <c r="J159" s="7" t="n">
        <v>1000000</v>
      </c>
    </row>
    <row r="160">
      <c r="A160" s="7" t="n">
        <v>157</v>
      </c>
      <c r="B160" s="7" t="inlineStr">
        <is>
          <t>WL</t>
        </is>
      </c>
      <c r="C160" s="7" t="n">
        <v>1</v>
      </c>
      <c r="D160" s="7" t="n">
        <v>1</v>
      </c>
      <c r="E160" s="7" t="inlineStr">
        <is>
          <t>M</t>
        </is>
      </c>
      <c r="F160" s="7" t="n">
        <v>43</v>
      </c>
      <c r="G160" s="7" t="n">
        <v>12</v>
      </c>
      <c r="H160" s="7" t="n">
        <v>87</v>
      </c>
      <c r="I160" s="7" t="n">
        <v>1</v>
      </c>
      <c r="J160" s="7" t="n">
        <v>1000000</v>
      </c>
    </row>
    <row r="161">
      <c r="A161" s="7" t="n">
        <v>158</v>
      </c>
      <c r="B161" s="7" t="inlineStr">
        <is>
          <t>WL</t>
        </is>
      </c>
      <c r="C161" s="7" t="n">
        <v>1</v>
      </c>
      <c r="D161" s="7" t="n">
        <v>1</v>
      </c>
      <c r="E161" s="7" t="inlineStr">
        <is>
          <t>F</t>
        </is>
      </c>
      <c r="F161" s="7" t="n">
        <v>43</v>
      </c>
      <c r="G161" s="7" t="n">
        <v>12</v>
      </c>
      <c r="H161" s="7" t="n">
        <v>87</v>
      </c>
      <c r="I161" s="7" t="n">
        <v>1</v>
      </c>
      <c r="J161" s="7" t="n">
        <v>1000000</v>
      </c>
    </row>
    <row r="162">
      <c r="A162" s="7" t="n">
        <v>159</v>
      </c>
      <c r="B162" s="7" t="inlineStr">
        <is>
          <t>WL</t>
        </is>
      </c>
      <c r="C162" s="7" t="n">
        <v>1</v>
      </c>
      <c r="D162" s="7" t="n">
        <v>1</v>
      </c>
      <c r="E162" s="7" t="inlineStr">
        <is>
          <t>M</t>
        </is>
      </c>
      <c r="F162" s="7" t="n">
        <v>44</v>
      </c>
      <c r="G162" s="7" t="n">
        <v>12</v>
      </c>
      <c r="H162" s="7" t="n">
        <v>86</v>
      </c>
      <c r="I162" s="7" t="n">
        <v>1</v>
      </c>
      <c r="J162" s="7" t="n">
        <v>1000000</v>
      </c>
    </row>
    <row r="163">
      <c r="A163" s="7" t="n">
        <v>160</v>
      </c>
      <c r="B163" s="7" t="inlineStr">
        <is>
          <t>WL</t>
        </is>
      </c>
      <c r="C163" s="7" t="n">
        <v>1</v>
      </c>
      <c r="D163" s="7" t="n">
        <v>1</v>
      </c>
      <c r="E163" s="7" t="inlineStr">
        <is>
          <t>F</t>
        </is>
      </c>
      <c r="F163" s="7" t="n">
        <v>44</v>
      </c>
      <c r="G163" s="7" t="n">
        <v>12</v>
      </c>
      <c r="H163" s="7" t="n">
        <v>86</v>
      </c>
      <c r="I163" s="7" t="n">
        <v>1</v>
      </c>
      <c r="J163" s="7" t="n">
        <v>1000000</v>
      </c>
    </row>
    <row r="164">
      <c r="A164" s="7" t="n">
        <v>161</v>
      </c>
      <c r="B164" s="7" t="inlineStr">
        <is>
          <t>WL</t>
        </is>
      </c>
      <c r="C164" s="7" t="n">
        <v>1</v>
      </c>
      <c r="D164" s="7" t="n">
        <v>1</v>
      </c>
      <c r="E164" s="7" t="inlineStr">
        <is>
          <t>M</t>
        </is>
      </c>
      <c r="F164" s="7" t="n">
        <v>45</v>
      </c>
      <c r="G164" s="7" t="n">
        <v>12</v>
      </c>
      <c r="H164" s="7" t="n">
        <v>85</v>
      </c>
      <c r="I164" s="7" t="n">
        <v>1</v>
      </c>
      <c r="J164" s="7" t="n">
        <v>1000000</v>
      </c>
    </row>
    <row r="165">
      <c r="A165" s="7" t="n">
        <v>162</v>
      </c>
      <c r="B165" s="7" t="inlineStr">
        <is>
          <t>WL</t>
        </is>
      </c>
      <c r="C165" s="7" t="n">
        <v>1</v>
      </c>
      <c r="D165" s="7" t="n">
        <v>1</v>
      </c>
      <c r="E165" s="7" t="inlineStr">
        <is>
          <t>F</t>
        </is>
      </c>
      <c r="F165" s="7" t="n">
        <v>45</v>
      </c>
      <c r="G165" s="7" t="n">
        <v>12</v>
      </c>
      <c r="H165" s="7" t="n">
        <v>85</v>
      </c>
      <c r="I165" s="7" t="n">
        <v>1</v>
      </c>
      <c r="J165" s="7" t="n">
        <v>1000000</v>
      </c>
    </row>
    <row r="166">
      <c r="A166" s="7" t="n">
        <v>163</v>
      </c>
      <c r="B166" s="7" t="inlineStr">
        <is>
          <t>WL</t>
        </is>
      </c>
      <c r="C166" s="7" t="n">
        <v>1</v>
      </c>
      <c r="D166" s="7" t="n">
        <v>1</v>
      </c>
      <c r="E166" s="7" t="inlineStr">
        <is>
          <t>M</t>
        </is>
      </c>
      <c r="F166" s="7" t="n">
        <v>46</v>
      </c>
      <c r="G166" s="7" t="n">
        <v>12</v>
      </c>
      <c r="H166" s="7" t="n">
        <v>84</v>
      </c>
      <c r="I166" s="7" t="n">
        <v>1</v>
      </c>
      <c r="J166" s="7" t="n">
        <v>1000000</v>
      </c>
    </row>
    <row r="167">
      <c r="A167" s="7" t="n">
        <v>164</v>
      </c>
      <c r="B167" s="7" t="inlineStr">
        <is>
          <t>WL</t>
        </is>
      </c>
      <c r="C167" s="7" t="n">
        <v>1</v>
      </c>
      <c r="D167" s="7" t="n">
        <v>1</v>
      </c>
      <c r="E167" s="7" t="inlineStr">
        <is>
          <t>F</t>
        </is>
      </c>
      <c r="F167" s="7" t="n">
        <v>46</v>
      </c>
      <c r="G167" s="7" t="n">
        <v>12</v>
      </c>
      <c r="H167" s="7" t="n">
        <v>84</v>
      </c>
      <c r="I167" s="7" t="n">
        <v>1</v>
      </c>
      <c r="J167" s="7" t="n">
        <v>1000000</v>
      </c>
    </row>
    <row r="168">
      <c r="A168" s="7" t="n">
        <v>165</v>
      </c>
      <c r="B168" s="7" t="inlineStr">
        <is>
          <t>WL</t>
        </is>
      </c>
      <c r="C168" s="7" t="n">
        <v>1</v>
      </c>
      <c r="D168" s="7" t="n">
        <v>1</v>
      </c>
      <c r="E168" s="7" t="inlineStr">
        <is>
          <t>M</t>
        </is>
      </c>
      <c r="F168" s="7" t="n">
        <v>47</v>
      </c>
      <c r="G168" s="7" t="n">
        <v>12</v>
      </c>
      <c r="H168" s="7" t="n">
        <v>83</v>
      </c>
      <c r="I168" s="7" t="n">
        <v>1</v>
      </c>
      <c r="J168" s="7" t="n">
        <v>1000000</v>
      </c>
    </row>
    <row r="169">
      <c r="A169" s="7" t="n">
        <v>166</v>
      </c>
      <c r="B169" s="7" t="inlineStr">
        <is>
          <t>WL</t>
        </is>
      </c>
      <c r="C169" s="7" t="n">
        <v>1</v>
      </c>
      <c r="D169" s="7" t="n">
        <v>1</v>
      </c>
      <c r="E169" s="7" t="inlineStr">
        <is>
          <t>F</t>
        </is>
      </c>
      <c r="F169" s="7" t="n">
        <v>47</v>
      </c>
      <c r="G169" s="7" t="n">
        <v>12</v>
      </c>
      <c r="H169" s="7" t="n">
        <v>83</v>
      </c>
      <c r="I169" s="7" t="n">
        <v>1</v>
      </c>
      <c r="J169" s="7" t="n">
        <v>1000000</v>
      </c>
    </row>
    <row r="170">
      <c r="A170" s="7" t="n">
        <v>167</v>
      </c>
      <c r="B170" s="7" t="inlineStr">
        <is>
          <t>WL</t>
        </is>
      </c>
      <c r="C170" s="7" t="n">
        <v>1</v>
      </c>
      <c r="D170" s="7" t="n">
        <v>1</v>
      </c>
      <c r="E170" s="7" t="inlineStr">
        <is>
          <t>M</t>
        </is>
      </c>
      <c r="F170" s="7" t="n">
        <v>48</v>
      </c>
      <c r="G170" s="7" t="n">
        <v>12</v>
      </c>
      <c r="H170" s="7" t="n">
        <v>82</v>
      </c>
      <c r="I170" s="7" t="n">
        <v>1</v>
      </c>
      <c r="J170" s="7" t="n">
        <v>1000000</v>
      </c>
    </row>
    <row r="171">
      <c r="A171" s="7" t="n">
        <v>168</v>
      </c>
      <c r="B171" s="7" t="inlineStr">
        <is>
          <t>WL</t>
        </is>
      </c>
      <c r="C171" s="7" t="n">
        <v>1</v>
      </c>
      <c r="D171" s="7" t="n">
        <v>1</v>
      </c>
      <c r="E171" s="7" t="inlineStr">
        <is>
          <t>F</t>
        </is>
      </c>
      <c r="F171" s="7" t="n">
        <v>48</v>
      </c>
      <c r="G171" s="7" t="n">
        <v>12</v>
      </c>
      <c r="H171" s="7" t="n">
        <v>82</v>
      </c>
      <c r="I171" s="7" t="n">
        <v>1</v>
      </c>
      <c r="J171" s="7" t="n">
        <v>1000000</v>
      </c>
    </row>
    <row r="172">
      <c r="A172" s="7" t="n">
        <v>169</v>
      </c>
      <c r="B172" s="7" t="inlineStr">
        <is>
          <t>WL</t>
        </is>
      </c>
      <c r="C172" s="7" t="n">
        <v>1</v>
      </c>
      <c r="D172" s="7" t="n">
        <v>1</v>
      </c>
      <c r="E172" s="7" t="inlineStr">
        <is>
          <t>M</t>
        </is>
      </c>
      <c r="F172" s="7" t="n">
        <v>49</v>
      </c>
      <c r="G172" s="7" t="n">
        <v>12</v>
      </c>
      <c r="H172" s="7" t="n">
        <v>81</v>
      </c>
      <c r="I172" s="7" t="n">
        <v>1</v>
      </c>
      <c r="J172" s="7" t="n">
        <v>1000000</v>
      </c>
    </row>
    <row r="173">
      <c r="A173" s="7" t="n">
        <v>170</v>
      </c>
      <c r="B173" s="7" t="inlineStr">
        <is>
          <t>WL</t>
        </is>
      </c>
      <c r="C173" s="7" t="n">
        <v>1</v>
      </c>
      <c r="D173" s="7" t="n">
        <v>1</v>
      </c>
      <c r="E173" s="7" t="inlineStr">
        <is>
          <t>F</t>
        </is>
      </c>
      <c r="F173" s="7" t="n">
        <v>49</v>
      </c>
      <c r="G173" s="7" t="n">
        <v>12</v>
      </c>
      <c r="H173" s="7" t="n">
        <v>81</v>
      </c>
      <c r="I173" s="7" t="n">
        <v>1</v>
      </c>
      <c r="J173" s="7" t="n">
        <v>1000000</v>
      </c>
    </row>
    <row r="174">
      <c r="A174" s="7" t="n">
        <v>171</v>
      </c>
      <c r="B174" s="7" t="inlineStr">
        <is>
          <t>WL</t>
        </is>
      </c>
      <c r="C174" s="7" t="n">
        <v>1</v>
      </c>
      <c r="D174" s="7" t="n">
        <v>1</v>
      </c>
      <c r="E174" s="7" t="inlineStr">
        <is>
          <t>M</t>
        </is>
      </c>
      <c r="F174" s="7" t="n">
        <v>50</v>
      </c>
      <c r="G174" s="7" t="n">
        <v>12</v>
      </c>
      <c r="H174" s="7" t="n">
        <v>80</v>
      </c>
      <c r="I174" s="7" t="n">
        <v>1</v>
      </c>
      <c r="J174" s="7" t="n">
        <v>1000000</v>
      </c>
    </row>
    <row r="175">
      <c r="A175" s="7" t="n">
        <v>172</v>
      </c>
      <c r="B175" s="7" t="inlineStr">
        <is>
          <t>WL</t>
        </is>
      </c>
      <c r="C175" s="7" t="n">
        <v>1</v>
      </c>
      <c r="D175" s="7" t="n">
        <v>1</v>
      </c>
      <c r="E175" s="7" t="inlineStr">
        <is>
          <t>F</t>
        </is>
      </c>
      <c r="F175" s="7" t="n">
        <v>50</v>
      </c>
      <c r="G175" s="7" t="n">
        <v>12</v>
      </c>
      <c r="H175" s="7" t="n">
        <v>80</v>
      </c>
      <c r="I175" s="7" t="n">
        <v>1</v>
      </c>
      <c r="J175" s="7" t="n">
        <v>1000000</v>
      </c>
    </row>
    <row r="176">
      <c r="A176" s="7" t="n">
        <v>173</v>
      </c>
      <c r="B176" s="7" t="inlineStr">
        <is>
          <t>WL</t>
        </is>
      </c>
      <c r="C176" s="7" t="n">
        <v>1</v>
      </c>
      <c r="D176" s="7" t="n">
        <v>1</v>
      </c>
      <c r="E176" s="7" t="inlineStr">
        <is>
          <t>M</t>
        </is>
      </c>
      <c r="F176" s="7" t="n">
        <v>51</v>
      </c>
      <c r="G176" s="7" t="n">
        <v>12</v>
      </c>
      <c r="H176" s="7" t="n">
        <v>79</v>
      </c>
      <c r="I176" s="7" t="n">
        <v>1</v>
      </c>
      <c r="J176" s="7" t="n">
        <v>1000000</v>
      </c>
    </row>
    <row r="177">
      <c r="A177" s="7" t="n">
        <v>174</v>
      </c>
      <c r="B177" s="7" t="inlineStr">
        <is>
          <t>WL</t>
        </is>
      </c>
      <c r="C177" s="7" t="n">
        <v>1</v>
      </c>
      <c r="D177" s="7" t="n">
        <v>1</v>
      </c>
      <c r="E177" s="7" t="inlineStr">
        <is>
          <t>F</t>
        </is>
      </c>
      <c r="F177" s="7" t="n">
        <v>51</v>
      </c>
      <c r="G177" s="7" t="n">
        <v>12</v>
      </c>
      <c r="H177" s="7" t="n">
        <v>79</v>
      </c>
      <c r="I177" s="7" t="n">
        <v>1</v>
      </c>
      <c r="J177" s="7" t="n">
        <v>1000000</v>
      </c>
    </row>
    <row r="178">
      <c r="A178" s="7" t="n">
        <v>175</v>
      </c>
      <c r="B178" s="7" t="inlineStr">
        <is>
          <t>WL</t>
        </is>
      </c>
      <c r="C178" s="7" t="n">
        <v>1</v>
      </c>
      <c r="D178" s="7" t="n">
        <v>1</v>
      </c>
      <c r="E178" s="7" t="inlineStr">
        <is>
          <t>M</t>
        </is>
      </c>
      <c r="F178" s="7" t="n">
        <v>52</v>
      </c>
      <c r="G178" s="7" t="n">
        <v>12</v>
      </c>
      <c r="H178" s="7" t="n">
        <v>78</v>
      </c>
      <c r="I178" s="7" t="n">
        <v>1</v>
      </c>
      <c r="J178" s="7" t="n">
        <v>1000000</v>
      </c>
    </row>
    <row r="179">
      <c r="A179" s="7" t="n">
        <v>176</v>
      </c>
      <c r="B179" s="7" t="inlineStr">
        <is>
          <t>WL</t>
        </is>
      </c>
      <c r="C179" s="7" t="n">
        <v>1</v>
      </c>
      <c r="D179" s="7" t="n">
        <v>1</v>
      </c>
      <c r="E179" s="7" t="inlineStr">
        <is>
          <t>F</t>
        </is>
      </c>
      <c r="F179" s="7" t="n">
        <v>52</v>
      </c>
      <c r="G179" s="7" t="n">
        <v>12</v>
      </c>
      <c r="H179" s="7" t="n">
        <v>78</v>
      </c>
      <c r="I179" s="7" t="n">
        <v>1</v>
      </c>
      <c r="J179" s="7" t="n">
        <v>1000000</v>
      </c>
    </row>
    <row r="180">
      <c r="A180" s="7" t="n">
        <v>177</v>
      </c>
      <c r="B180" s="7" t="inlineStr">
        <is>
          <t>WL</t>
        </is>
      </c>
      <c r="C180" s="7" t="n">
        <v>1</v>
      </c>
      <c r="D180" s="7" t="n">
        <v>1</v>
      </c>
      <c r="E180" s="7" t="inlineStr">
        <is>
          <t>M</t>
        </is>
      </c>
      <c r="F180" s="7" t="n">
        <v>53</v>
      </c>
      <c r="G180" s="7" t="n">
        <v>12</v>
      </c>
      <c r="H180" s="7" t="n">
        <v>77</v>
      </c>
      <c r="I180" s="7" t="n">
        <v>1</v>
      </c>
      <c r="J180" s="7" t="n">
        <v>1000000</v>
      </c>
    </row>
    <row r="181">
      <c r="A181" s="7" t="n">
        <v>178</v>
      </c>
      <c r="B181" s="7" t="inlineStr">
        <is>
          <t>WL</t>
        </is>
      </c>
      <c r="C181" s="7" t="n">
        <v>1</v>
      </c>
      <c r="D181" s="7" t="n">
        <v>1</v>
      </c>
      <c r="E181" s="7" t="inlineStr">
        <is>
          <t>F</t>
        </is>
      </c>
      <c r="F181" s="7" t="n">
        <v>53</v>
      </c>
      <c r="G181" s="7" t="n">
        <v>12</v>
      </c>
      <c r="H181" s="7" t="n">
        <v>77</v>
      </c>
      <c r="I181" s="7" t="n">
        <v>1</v>
      </c>
      <c r="J181" s="7" t="n">
        <v>1000000</v>
      </c>
    </row>
    <row r="182">
      <c r="A182" s="7" t="n">
        <v>179</v>
      </c>
      <c r="B182" s="7" t="inlineStr">
        <is>
          <t>WL</t>
        </is>
      </c>
      <c r="C182" s="7" t="n">
        <v>1</v>
      </c>
      <c r="D182" s="7" t="n">
        <v>1</v>
      </c>
      <c r="E182" s="7" t="inlineStr">
        <is>
          <t>M</t>
        </is>
      </c>
      <c r="F182" s="7" t="n">
        <v>54</v>
      </c>
      <c r="G182" s="7" t="n">
        <v>12</v>
      </c>
      <c r="H182" s="7" t="n">
        <v>76</v>
      </c>
      <c r="I182" s="7" t="n">
        <v>1</v>
      </c>
      <c r="J182" s="7" t="n">
        <v>1000000</v>
      </c>
    </row>
    <row r="183">
      <c r="A183" s="7" t="n">
        <v>180</v>
      </c>
      <c r="B183" s="7" t="inlineStr">
        <is>
          <t>WL</t>
        </is>
      </c>
      <c r="C183" s="7" t="n">
        <v>1</v>
      </c>
      <c r="D183" s="7" t="n">
        <v>1</v>
      </c>
      <c r="E183" s="7" t="inlineStr">
        <is>
          <t>F</t>
        </is>
      </c>
      <c r="F183" s="7" t="n">
        <v>54</v>
      </c>
      <c r="G183" s="7" t="n">
        <v>12</v>
      </c>
      <c r="H183" s="7" t="n">
        <v>76</v>
      </c>
      <c r="I183" s="7" t="n">
        <v>1</v>
      </c>
      <c r="J183" s="7" t="n">
        <v>1000000</v>
      </c>
    </row>
    <row r="184">
      <c r="A184" s="7" t="n">
        <v>181</v>
      </c>
      <c r="B184" s="7" t="inlineStr">
        <is>
          <t>WL</t>
        </is>
      </c>
      <c r="C184" s="7" t="n">
        <v>1</v>
      </c>
      <c r="D184" s="7" t="n">
        <v>1</v>
      </c>
      <c r="E184" s="7" t="inlineStr">
        <is>
          <t>M</t>
        </is>
      </c>
      <c r="F184" s="7" t="n">
        <v>55</v>
      </c>
      <c r="G184" s="7" t="n">
        <v>12</v>
      </c>
      <c r="H184" s="7" t="n">
        <v>75</v>
      </c>
      <c r="I184" s="7" t="n">
        <v>1</v>
      </c>
      <c r="J184" s="7" t="n">
        <v>1000000</v>
      </c>
    </row>
    <row r="185">
      <c r="A185" s="7" t="n">
        <v>182</v>
      </c>
      <c r="B185" s="7" t="inlineStr">
        <is>
          <t>WL</t>
        </is>
      </c>
      <c r="C185" s="7" t="n">
        <v>1</v>
      </c>
      <c r="D185" s="7" t="n">
        <v>1</v>
      </c>
      <c r="E185" s="7" t="inlineStr">
        <is>
          <t>F</t>
        </is>
      </c>
      <c r="F185" s="7" t="n">
        <v>55</v>
      </c>
      <c r="G185" s="7" t="n">
        <v>12</v>
      </c>
      <c r="H185" s="7" t="n">
        <v>75</v>
      </c>
      <c r="I185" s="7" t="n">
        <v>1</v>
      </c>
      <c r="J185" s="7" t="n">
        <v>1000000</v>
      </c>
    </row>
    <row r="186">
      <c r="A186" s="7" t="n">
        <v>183</v>
      </c>
      <c r="B186" s="7" t="inlineStr">
        <is>
          <t>WL</t>
        </is>
      </c>
      <c r="C186" s="7" t="n">
        <v>1</v>
      </c>
      <c r="D186" s="7" t="n">
        <v>1</v>
      </c>
      <c r="E186" s="7" t="inlineStr">
        <is>
          <t>M</t>
        </is>
      </c>
      <c r="F186" s="7" t="n">
        <v>56</v>
      </c>
      <c r="G186" s="7" t="n">
        <v>12</v>
      </c>
      <c r="H186" s="7" t="n">
        <v>74</v>
      </c>
      <c r="I186" s="7" t="n">
        <v>1</v>
      </c>
      <c r="J186" s="7" t="n">
        <v>1000000</v>
      </c>
    </row>
    <row r="187">
      <c r="A187" s="7" t="n">
        <v>184</v>
      </c>
      <c r="B187" s="7" t="inlineStr">
        <is>
          <t>WL</t>
        </is>
      </c>
      <c r="C187" s="7" t="n">
        <v>1</v>
      </c>
      <c r="D187" s="7" t="n">
        <v>1</v>
      </c>
      <c r="E187" s="7" t="inlineStr">
        <is>
          <t>F</t>
        </is>
      </c>
      <c r="F187" s="7" t="n">
        <v>56</v>
      </c>
      <c r="G187" s="7" t="n">
        <v>12</v>
      </c>
      <c r="H187" s="7" t="n">
        <v>74</v>
      </c>
      <c r="I187" s="7" t="n">
        <v>1</v>
      </c>
      <c r="J187" s="7" t="n">
        <v>1000000</v>
      </c>
    </row>
    <row r="188">
      <c r="A188" s="7" t="n">
        <v>185</v>
      </c>
      <c r="B188" s="7" t="inlineStr">
        <is>
          <t>WL</t>
        </is>
      </c>
      <c r="C188" s="7" t="n">
        <v>1</v>
      </c>
      <c r="D188" s="7" t="n">
        <v>1</v>
      </c>
      <c r="E188" s="7" t="inlineStr">
        <is>
          <t>M</t>
        </is>
      </c>
      <c r="F188" s="7" t="n">
        <v>57</v>
      </c>
      <c r="G188" s="7" t="n">
        <v>12</v>
      </c>
      <c r="H188" s="7" t="n">
        <v>73</v>
      </c>
      <c r="I188" s="7" t="n">
        <v>1</v>
      </c>
      <c r="J188" s="7" t="n">
        <v>1000000</v>
      </c>
    </row>
    <row r="189">
      <c r="A189" s="7" t="n">
        <v>186</v>
      </c>
      <c r="B189" s="7" t="inlineStr">
        <is>
          <t>WL</t>
        </is>
      </c>
      <c r="C189" s="7" t="n">
        <v>1</v>
      </c>
      <c r="D189" s="7" t="n">
        <v>1</v>
      </c>
      <c r="E189" s="7" t="inlineStr">
        <is>
          <t>F</t>
        </is>
      </c>
      <c r="F189" s="7" t="n">
        <v>57</v>
      </c>
      <c r="G189" s="7" t="n">
        <v>12</v>
      </c>
      <c r="H189" s="7" t="n">
        <v>73</v>
      </c>
      <c r="I189" s="7" t="n">
        <v>1</v>
      </c>
      <c r="J189" s="7" t="n">
        <v>1000000</v>
      </c>
    </row>
    <row r="190">
      <c r="A190" s="7" t="n">
        <v>187</v>
      </c>
      <c r="B190" s="7" t="inlineStr">
        <is>
          <t>WL</t>
        </is>
      </c>
      <c r="C190" s="7" t="n">
        <v>1</v>
      </c>
      <c r="D190" s="7" t="n">
        <v>1</v>
      </c>
      <c r="E190" s="7" t="inlineStr">
        <is>
          <t>M</t>
        </is>
      </c>
      <c r="F190" s="7" t="n">
        <v>58</v>
      </c>
      <c r="G190" s="7" t="n">
        <v>12</v>
      </c>
      <c r="H190" s="7" t="n">
        <v>72</v>
      </c>
      <c r="I190" s="7" t="n">
        <v>1</v>
      </c>
      <c r="J190" s="7" t="n">
        <v>1000000</v>
      </c>
    </row>
    <row r="191">
      <c r="A191" s="7" t="n">
        <v>188</v>
      </c>
      <c r="B191" s="7" t="inlineStr">
        <is>
          <t>WL</t>
        </is>
      </c>
      <c r="C191" s="7" t="n">
        <v>1</v>
      </c>
      <c r="D191" s="7" t="n">
        <v>1</v>
      </c>
      <c r="E191" s="7" t="inlineStr">
        <is>
          <t>F</t>
        </is>
      </c>
      <c r="F191" s="7" t="n">
        <v>58</v>
      </c>
      <c r="G191" s="7" t="n">
        <v>12</v>
      </c>
      <c r="H191" s="7" t="n">
        <v>72</v>
      </c>
      <c r="I191" s="7" t="n">
        <v>1</v>
      </c>
      <c r="J191" s="7" t="n">
        <v>1000000</v>
      </c>
    </row>
    <row r="192">
      <c r="A192" s="7" t="n">
        <v>189</v>
      </c>
      <c r="B192" s="7" t="inlineStr">
        <is>
          <t>WL</t>
        </is>
      </c>
      <c r="C192" s="7" t="n">
        <v>1</v>
      </c>
      <c r="D192" s="7" t="n">
        <v>1</v>
      </c>
      <c r="E192" s="7" t="inlineStr">
        <is>
          <t>M</t>
        </is>
      </c>
      <c r="F192" s="7" t="n">
        <v>59</v>
      </c>
      <c r="G192" s="7" t="n">
        <v>12</v>
      </c>
      <c r="H192" s="7" t="n">
        <v>71</v>
      </c>
      <c r="I192" s="7" t="n">
        <v>1</v>
      </c>
      <c r="J192" s="7" t="n">
        <v>1000000</v>
      </c>
    </row>
    <row r="193">
      <c r="A193" s="7" t="n">
        <v>190</v>
      </c>
      <c r="B193" s="7" t="inlineStr">
        <is>
          <t>WL</t>
        </is>
      </c>
      <c r="C193" s="7" t="n">
        <v>1</v>
      </c>
      <c r="D193" s="7" t="n">
        <v>1</v>
      </c>
      <c r="E193" s="7" t="inlineStr">
        <is>
          <t>F</t>
        </is>
      </c>
      <c r="F193" s="7" t="n">
        <v>59</v>
      </c>
      <c r="G193" s="7" t="n">
        <v>12</v>
      </c>
      <c r="H193" s="7" t="n">
        <v>71</v>
      </c>
      <c r="I193" s="7" t="n">
        <v>1</v>
      </c>
      <c r="J193" s="7" t="n">
        <v>1000000</v>
      </c>
    </row>
    <row r="194">
      <c r="A194" s="7" t="n">
        <v>191</v>
      </c>
      <c r="B194" s="7" t="inlineStr">
        <is>
          <t>WL</t>
        </is>
      </c>
      <c r="C194" s="7" t="n">
        <v>1</v>
      </c>
      <c r="D194" s="7" t="n">
        <v>1</v>
      </c>
      <c r="E194" s="7" t="inlineStr">
        <is>
          <t>M</t>
        </is>
      </c>
      <c r="F194" s="7" t="n">
        <v>60</v>
      </c>
      <c r="G194" s="7" t="n">
        <v>12</v>
      </c>
      <c r="H194" s="7" t="n">
        <v>70</v>
      </c>
      <c r="I194" s="7" t="n">
        <v>1</v>
      </c>
      <c r="J194" s="7" t="n">
        <v>1000000</v>
      </c>
    </row>
    <row r="195">
      <c r="A195" s="7" t="n">
        <v>192</v>
      </c>
      <c r="B195" s="7" t="inlineStr">
        <is>
          <t>WL</t>
        </is>
      </c>
      <c r="C195" s="7" t="n">
        <v>1</v>
      </c>
      <c r="D195" s="7" t="n">
        <v>1</v>
      </c>
      <c r="E195" s="7" t="inlineStr">
        <is>
          <t>F</t>
        </is>
      </c>
      <c r="F195" s="7" t="n">
        <v>60</v>
      </c>
      <c r="G195" s="7" t="n">
        <v>12</v>
      </c>
      <c r="H195" s="7" t="n">
        <v>70</v>
      </c>
      <c r="I195" s="7" t="n">
        <v>1</v>
      </c>
      <c r="J195" s="7" t="n">
        <v>1000000</v>
      </c>
    </row>
    <row r="196">
      <c r="A196" s="7" t="n">
        <v>193</v>
      </c>
      <c r="B196" s="7" t="inlineStr">
        <is>
          <t>WL</t>
        </is>
      </c>
      <c r="C196" s="7" t="n">
        <v>1</v>
      </c>
      <c r="D196" s="7" t="n">
        <v>1</v>
      </c>
      <c r="E196" s="7" t="inlineStr">
        <is>
          <t>M</t>
        </is>
      </c>
      <c r="F196" s="7" t="n">
        <v>61</v>
      </c>
      <c r="G196" s="7" t="n">
        <v>12</v>
      </c>
      <c r="H196" s="7" t="n">
        <v>69</v>
      </c>
      <c r="I196" s="7" t="n">
        <v>1</v>
      </c>
      <c r="J196" s="7" t="n">
        <v>1000000</v>
      </c>
    </row>
    <row r="197">
      <c r="A197" s="7" t="n">
        <v>194</v>
      </c>
      <c r="B197" s="7" t="inlineStr">
        <is>
          <t>WL</t>
        </is>
      </c>
      <c r="C197" s="7" t="n">
        <v>1</v>
      </c>
      <c r="D197" s="7" t="n">
        <v>1</v>
      </c>
      <c r="E197" s="7" t="inlineStr">
        <is>
          <t>F</t>
        </is>
      </c>
      <c r="F197" s="7" t="n">
        <v>61</v>
      </c>
      <c r="G197" s="7" t="n">
        <v>12</v>
      </c>
      <c r="H197" s="7" t="n">
        <v>69</v>
      </c>
      <c r="I197" s="7" t="n">
        <v>1</v>
      </c>
      <c r="J197" s="7" t="n">
        <v>1000000</v>
      </c>
    </row>
    <row r="198">
      <c r="A198" s="7" t="n">
        <v>195</v>
      </c>
      <c r="B198" s="7" t="inlineStr">
        <is>
          <t>WL</t>
        </is>
      </c>
      <c r="C198" s="7" t="n">
        <v>1</v>
      </c>
      <c r="D198" s="7" t="n">
        <v>1</v>
      </c>
      <c r="E198" s="7" t="inlineStr">
        <is>
          <t>M</t>
        </is>
      </c>
      <c r="F198" s="7" t="n">
        <v>62</v>
      </c>
      <c r="G198" s="7" t="n">
        <v>12</v>
      </c>
      <c r="H198" s="7" t="n">
        <v>68</v>
      </c>
      <c r="I198" s="7" t="n">
        <v>1</v>
      </c>
      <c r="J198" s="7" t="n">
        <v>1000000</v>
      </c>
    </row>
    <row r="199">
      <c r="A199" s="7" t="n">
        <v>196</v>
      </c>
      <c r="B199" s="7" t="inlineStr">
        <is>
          <t>WL</t>
        </is>
      </c>
      <c r="C199" s="7" t="n">
        <v>1</v>
      </c>
      <c r="D199" s="7" t="n">
        <v>1</v>
      </c>
      <c r="E199" s="7" t="inlineStr">
        <is>
          <t>F</t>
        </is>
      </c>
      <c r="F199" s="7" t="n">
        <v>62</v>
      </c>
      <c r="G199" s="7" t="n">
        <v>12</v>
      </c>
      <c r="H199" s="7" t="n">
        <v>68</v>
      </c>
      <c r="I199" s="7" t="n">
        <v>1</v>
      </c>
      <c r="J199" s="7" t="n">
        <v>1000000</v>
      </c>
    </row>
    <row r="200">
      <c r="A200" s="7" t="n">
        <v>197</v>
      </c>
      <c r="B200" s="7" t="inlineStr">
        <is>
          <t>WL</t>
        </is>
      </c>
      <c r="C200" s="7" t="n">
        <v>1</v>
      </c>
      <c r="D200" s="7" t="n">
        <v>1</v>
      </c>
      <c r="E200" s="7" t="inlineStr">
        <is>
          <t>M</t>
        </is>
      </c>
      <c r="F200" s="7" t="n">
        <v>63</v>
      </c>
      <c r="G200" s="7" t="n">
        <v>12</v>
      </c>
      <c r="H200" s="7" t="n">
        <v>67</v>
      </c>
      <c r="I200" s="7" t="n">
        <v>1</v>
      </c>
      <c r="J200" s="7" t="n">
        <v>1000000</v>
      </c>
    </row>
    <row r="201">
      <c r="A201" s="7" t="n">
        <v>198</v>
      </c>
      <c r="B201" s="7" t="inlineStr">
        <is>
          <t>WL</t>
        </is>
      </c>
      <c r="C201" s="7" t="n">
        <v>1</v>
      </c>
      <c r="D201" s="7" t="n">
        <v>1</v>
      </c>
      <c r="E201" s="7" t="inlineStr">
        <is>
          <t>F</t>
        </is>
      </c>
      <c r="F201" s="7" t="n">
        <v>63</v>
      </c>
      <c r="G201" s="7" t="n">
        <v>12</v>
      </c>
      <c r="H201" s="7" t="n">
        <v>67</v>
      </c>
      <c r="I201" s="7" t="n">
        <v>1</v>
      </c>
      <c r="J201" s="7" t="n">
        <v>1000000</v>
      </c>
    </row>
    <row r="202">
      <c r="A202" s="7" t="n">
        <v>199</v>
      </c>
      <c r="B202" s="7" t="inlineStr">
        <is>
          <t>WL</t>
        </is>
      </c>
      <c r="C202" s="7" t="n">
        <v>1</v>
      </c>
      <c r="D202" s="7" t="n">
        <v>1</v>
      </c>
      <c r="E202" s="7" t="inlineStr">
        <is>
          <t>M</t>
        </is>
      </c>
      <c r="F202" s="7" t="n">
        <v>64</v>
      </c>
      <c r="G202" s="7" t="n">
        <v>12</v>
      </c>
      <c r="H202" s="7" t="n">
        <v>66</v>
      </c>
      <c r="I202" s="7" t="n">
        <v>1</v>
      </c>
      <c r="J202" s="7" t="n">
        <v>1000000</v>
      </c>
    </row>
    <row r="203">
      <c r="A203" s="7" t="n">
        <v>200</v>
      </c>
      <c r="B203" s="7" t="inlineStr">
        <is>
          <t>WL</t>
        </is>
      </c>
      <c r="C203" s="7" t="n">
        <v>1</v>
      </c>
      <c r="D203" s="7" t="n">
        <v>1</v>
      </c>
      <c r="E203" s="7" t="inlineStr">
        <is>
          <t>F</t>
        </is>
      </c>
      <c r="F203" s="7" t="n">
        <v>64</v>
      </c>
      <c r="G203" s="7" t="n">
        <v>12</v>
      </c>
      <c r="H203" s="7" t="n">
        <v>66</v>
      </c>
      <c r="I203" s="7" t="n">
        <v>1</v>
      </c>
      <c r="J203" s="7" t="n">
        <v>1000000</v>
      </c>
    </row>
    <row r="204">
      <c r="A204" s="7" t="n">
        <v>201</v>
      </c>
      <c r="B204" s="7" t="inlineStr">
        <is>
          <t>ENDW</t>
        </is>
      </c>
      <c r="C204" s="7" t="n">
        <v>1</v>
      </c>
      <c r="D204" s="7" t="n">
        <v>1</v>
      </c>
      <c r="E204" s="7" t="inlineStr">
        <is>
          <t>M</t>
        </is>
      </c>
      <c r="F204" s="7" t="n">
        <v>30</v>
      </c>
      <c r="G204" s="7" t="n">
        <v>12</v>
      </c>
      <c r="H204" s="7" t="n">
        <v>10</v>
      </c>
      <c r="I204" s="7" t="n">
        <v>1</v>
      </c>
      <c r="J204" s="7" t="n">
        <v>1000000</v>
      </c>
    </row>
    <row r="205">
      <c r="A205" s="7" t="n">
        <v>202</v>
      </c>
      <c r="B205" s="7" t="inlineStr">
        <is>
          <t>ENDW</t>
        </is>
      </c>
      <c r="C205" s="7" t="n">
        <v>1</v>
      </c>
      <c r="D205" s="7" t="n">
        <v>1</v>
      </c>
      <c r="E205" s="7" t="inlineStr">
        <is>
          <t>F</t>
        </is>
      </c>
      <c r="F205" s="7" t="n">
        <v>30</v>
      </c>
      <c r="G205" s="7" t="n">
        <v>12</v>
      </c>
      <c r="H205" s="7" t="n">
        <v>10</v>
      </c>
      <c r="I205" s="7" t="n">
        <v>1</v>
      </c>
      <c r="J205" s="7" t="n">
        <v>1000000</v>
      </c>
    </row>
    <row r="206">
      <c r="A206" s="7" t="n">
        <v>203</v>
      </c>
      <c r="B206" s="7" t="inlineStr">
        <is>
          <t>ENDW</t>
        </is>
      </c>
      <c r="C206" s="7" t="n">
        <v>1</v>
      </c>
      <c r="D206" s="7" t="n">
        <v>1</v>
      </c>
      <c r="E206" s="7" t="inlineStr">
        <is>
          <t>M</t>
        </is>
      </c>
      <c r="F206" s="7" t="n">
        <v>31</v>
      </c>
      <c r="G206" s="7" t="n">
        <v>12</v>
      </c>
      <c r="H206" s="7" t="n">
        <v>10</v>
      </c>
      <c r="I206" s="7" t="n">
        <v>1</v>
      </c>
      <c r="J206" s="7" t="n">
        <v>1000000</v>
      </c>
    </row>
    <row r="207">
      <c r="A207" s="7" t="n">
        <v>204</v>
      </c>
      <c r="B207" s="7" t="inlineStr">
        <is>
          <t>ENDW</t>
        </is>
      </c>
      <c r="C207" s="7" t="n">
        <v>1</v>
      </c>
      <c r="D207" s="7" t="n">
        <v>1</v>
      </c>
      <c r="E207" s="7" t="inlineStr">
        <is>
          <t>F</t>
        </is>
      </c>
      <c r="F207" s="7" t="n">
        <v>31</v>
      </c>
      <c r="G207" s="7" t="n">
        <v>12</v>
      </c>
      <c r="H207" s="7" t="n">
        <v>10</v>
      </c>
      <c r="I207" s="7" t="n">
        <v>1</v>
      </c>
      <c r="J207" s="7" t="n">
        <v>1000000</v>
      </c>
    </row>
    <row r="208">
      <c r="A208" s="7" t="n">
        <v>205</v>
      </c>
      <c r="B208" s="7" t="inlineStr">
        <is>
          <t>ENDW</t>
        </is>
      </c>
      <c r="C208" s="7" t="n">
        <v>1</v>
      </c>
      <c r="D208" s="7" t="n">
        <v>1</v>
      </c>
      <c r="E208" s="7" t="inlineStr">
        <is>
          <t>M</t>
        </is>
      </c>
      <c r="F208" s="7" t="n">
        <v>32</v>
      </c>
      <c r="G208" s="7" t="n">
        <v>12</v>
      </c>
      <c r="H208" s="7" t="n">
        <v>10</v>
      </c>
      <c r="I208" s="7" t="n">
        <v>1</v>
      </c>
      <c r="J208" s="7" t="n">
        <v>1000000</v>
      </c>
    </row>
    <row r="209">
      <c r="A209" s="7" t="n">
        <v>206</v>
      </c>
      <c r="B209" s="7" t="inlineStr">
        <is>
          <t>ENDW</t>
        </is>
      </c>
      <c r="C209" s="7" t="n">
        <v>1</v>
      </c>
      <c r="D209" s="7" t="n">
        <v>1</v>
      </c>
      <c r="E209" s="7" t="inlineStr">
        <is>
          <t>F</t>
        </is>
      </c>
      <c r="F209" s="7" t="n">
        <v>32</v>
      </c>
      <c r="G209" s="7" t="n">
        <v>12</v>
      </c>
      <c r="H209" s="7" t="n">
        <v>10</v>
      </c>
      <c r="I209" s="7" t="n">
        <v>1</v>
      </c>
      <c r="J209" s="7" t="n">
        <v>1000000</v>
      </c>
    </row>
    <row r="210">
      <c r="A210" s="7" t="n">
        <v>207</v>
      </c>
      <c r="B210" s="7" t="inlineStr">
        <is>
          <t>ENDW</t>
        </is>
      </c>
      <c r="C210" s="7" t="n">
        <v>1</v>
      </c>
      <c r="D210" s="7" t="n">
        <v>1</v>
      </c>
      <c r="E210" s="7" t="inlineStr">
        <is>
          <t>M</t>
        </is>
      </c>
      <c r="F210" s="7" t="n">
        <v>33</v>
      </c>
      <c r="G210" s="7" t="n">
        <v>12</v>
      </c>
      <c r="H210" s="7" t="n">
        <v>10</v>
      </c>
      <c r="I210" s="7" t="n">
        <v>1</v>
      </c>
      <c r="J210" s="7" t="n">
        <v>1000000</v>
      </c>
    </row>
    <row r="211">
      <c r="A211" s="7" t="n">
        <v>208</v>
      </c>
      <c r="B211" s="7" t="inlineStr">
        <is>
          <t>ENDW</t>
        </is>
      </c>
      <c r="C211" s="7" t="n">
        <v>1</v>
      </c>
      <c r="D211" s="7" t="n">
        <v>1</v>
      </c>
      <c r="E211" s="7" t="inlineStr">
        <is>
          <t>F</t>
        </is>
      </c>
      <c r="F211" s="7" t="n">
        <v>33</v>
      </c>
      <c r="G211" s="7" t="n">
        <v>12</v>
      </c>
      <c r="H211" s="7" t="n">
        <v>10</v>
      </c>
      <c r="I211" s="7" t="n">
        <v>1</v>
      </c>
      <c r="J211" s="7" t="n">
        <v>1000000</v>
      </c>
    </row>
    <row r="212">
      <c r="A212" s="7" t="n">
        <v>209</v>
      </c>
      <c r="B212" s="7" t="inlineStr">
        <is>
          <t>ENDW</t>
        </is>
      </c>
      <c r="C212" s="7" t="n">
        <v>1</v>
      </c>
      <c r="D212" s="7" t="n">
        <v>1</v>
      </c>
      <c r="E212" s="7" t="inlineStr">
        <is>
          <t>M</t>
        </is>
      </c>
      <c r="F212" s="7" t="n">
        <v>34</v>
      </c>
      <c r="G212" s="7" t="n">
        <v>12</v>
      </c>
      <c r="H212" s="7" t="n">
        <v>10</v>
      </c>
      <c r="I212" s="7" t="n">
        <v>1</v>
      </c>
      <c r="J212" s="7" t="n">
        <v>1000000</v>
      </c>
    </row>
    <row r="213">
      <c r="A213" s="7" t="n">
        <v>210</v>
      </c>
      <c r="B213" s="7" t="inlineStr">
        <is>
          <t>ENDW</t>
        </is>
      </c>
      <c r="C213" s="7" t="n">
        <v>1</v>
      </c>
      <c r="D213" s="7" t="n">
        <v>1</v>
      </c>
      <c r="E213" s="7" t="inlineStr">
        <is>
          <t>F</t>
        </is>
      </c>
      <c r="F213" s="7" t="n">
        <v>34</v>
      </c>
      <c r="G213" s="7" t="n">
        <v>12</v>
      </c>
      <c r="H213" s="7" t="n">
        <v>10</v>
      </c>
      <c r="I213" s="7" t="n">
        <v>1</v>
      </c>
      <c r="J213" s="7" t="n">
        <v>1000000</v>
      </c>
    </row>
    <row r="214">
      <c r="A214" s="7" t="n">
        <v>211</v>
      </c>
      <c r="B214" s="7" t="inlineStr">
        <is>
          <t>ENDW</t>
        </is>
      </c>
      <c r="C214" s="7" t="n">
        <v>1</v>
      </c>
      <c r="D214" s="7" t="n">
        <v>1</v>
      </c>
      <c r="E214" s="7" t="inlineStr">
        <is>
          <t>M</t>
        </is>
      </c>
      <c r="F214" s="7" t="n">
        <v>35</v>
      </c>
      <c r="G214" s="7" t="n">
        <v>12</v>
      </c>
      <c r="H214" s="7" t="n">
        <v>10</v>
      </c>
      <c r="I214" s="7" t="n">
        <v>1</v>
      </c>
      <c r="J214" s="7" t="n">
        <v>1000000</v>
      </c>
    </row>
    <row r="215">
      <c r="A215" s="7" t="n">
        <v>212</v>
      </c>
      <c r="B215" s="7" t="inlineStr">
        <is>
          <t>ENDW</t>
        </is>
      </c>
      <c r="C215" s="7" t="n">
        <v>1</v>
      </c>
      <c r="D215" s="7" t="n">
        <v>1</v>
      </c>
      <c r="E215" s="7" t="inlineStr">
        <is>
          <t>F</t>
        </is>
      </c>
      <c r="F215" s="7" t="n">
        <v>35</v>
      </c>
      <c r="G215" s="7" t="n">
        <v>12</v>
      </c>
      <c r="H215" s="7" t="n">
        <v>10</v>
      </c>
      <c r="I215" s="7" t="n">
        <v>1</v>
      </c>
      <c r="J215" s="7" t="n">
        <v>1000000</v>
      </c>
    </row>
    <row r="216">
      <c r="A216" s="7" t="n">
        <v>213</v>
      </c>
      <c r="B216" s="7" t="inlineStr">
        <is>
          <t>ENDW</t>
        </is>
      </c>
      <c r="C216" s="7" t="n">
        <v>1</v>
      </c>
      <c r="D216" s="7" t="n">
        <v>1</v>
      </c>
      <c r="E216" s="7" t="inlineStr">
        <is>
          <t>M</t>
        </is>
      </c>
      <c r="F216" s="7" t="n">
        <v>36</v>
      </c>
      <c r="G216" s="7" t="n">
        <v>12</v>
      </c>
      <c r="H216" s="7" t="n">
        <v>10</v>
      </c>
      <c r="I216" s="7" t="n">
        <v>1</v>
      </c>
      <c r="J216" s="7" t="n">
        <v>1000000</v>
      </c>
    </row>
    <row r="217">
      <c r="A217" s="7" t="n">
        <v>214</v>
      </c>
      <c r="B217" s="7" t="inlineStr">
        <is>
          <t>ENDW</t>
        </is>
      </c>
      <c r="C217" s="7" t="n">
        <v>1</v>
      </c>
      <c r="D217" s="7" t="n">
        <v>1</v>
      </c>
      <c r="E217" s="7" t="inlineStr">
        <is>
          <t>F</t>
        </is>
      </c>
      <c r="F217" s="7" t="n">
        <v>36</v>
      </c>
      <c r="G217" s="7" t="n">
        <v>12</v>
      </c>
      <c r="H217" s="7" t="n">
        <v>10</v>
      </c>
      <c r="I217" s="7" t="n">
        <v>1</v>
      </c>
      <c r="J217" s="7" t="n">
        <v>1000000</v>
      </c>
    </row>
    <row r="218">
      <c r="A218" s="7" t="n">
        <v>215</v>
      </c>
      <c r="B218" s="7" t="inlineStr">
        <is>
          <t>ENDW</t>
        </is>
      </c>
      <c r="C218" s="7" t="n">
        <v>1</v>
      </c>
      <c r="D218" s="7" t="n">
        <v>1</v>
      </c>
      <c r="E218" s="7" t="inlineStr">
        <is>
          <t>M</t>
        </is>
      </c>
      <c r="F218" s="7" t="n">
        <v>37</v>
      </c>
      <c r="G218" s="7" t="n">
        <v>12</v>
      </c>
      <c r="H218" s="7" t="n">
        <v>10</v>
      </c>
      <c r="I218" s="7" t="n">
        <v>1</v>
      </c>
      <c r="J218" s="7" t="n">
        <v>1000000</v>
      </c>
    </row>
    <row r="219">
      <c r="A219" s="7" t="n">
        <v>216</v>
      </c>
      <c r="B219" s="7" t="inlineStr">
        <is>
          <t>ENDW</t>
        </is>
      </c>
      <c r="C219" s="7" t="n">
        <v>1</v>
      </c>
      <c r="D219" s="7" t="n">
        <v>1</v>
      </c>
      <c r="E219" s="7" t="inlineStr">
        <is>
          <t>F</t>
        </is>
      </c>
      <c r="F219" s="7" t="n">
        <v>37</v>
      </c>
      <c r="G219" s="7" t="n">
        <v>12</v>
      </c>
      <c r="H219" s="7" t="n">
        <v>10</v>
      </c>
      <c r="I219" s="7" t="n">
        <v>1</v>
      </c>
      <c r="J219" s="7" t="n">
        <v>1000000</v>
      </c>
    </row>
    <row r="220">
      <c r="A220" s="7" t="n">
        <v>217</v>
      </c>
      <c r="B220" s="7" t="inlineStr">
        <is>
          <t>ENDW</t>
        </is>
      </c>
      <c r="C220" s="7" t="n">
        <v>1</v>
      </c>
      <c r="D220" s="7" t="n">
        <v>1</v>
      </c>
      <c r="E220" s="7" t="inlineStr">
        <is>
          <t>M</t>
        </is>
      </c>
      <c r="F220" s="7" t="n">
        <v>38</v>
      </c>
      <c r="G220" s="7" t="n">
        <v>12</v>
      </c>
      <c r="H220" s="7" t="n">
        <v>10</v>
      </c>
      <c r="I220" s="7" t="n">
        <v>1</v>
      </c>
      <c r="J220" s="7" t="n">
        <v>1000000</v>
      </c>
    </row>
    <row r="221">
      <c r="A221" s="7" t="n">
        <v>218</v>
      </c>
      <c r="B221" s="7" t="inlineStr">
        <is>
          <t>ENDW</t>
        </is>
      </c>
      <c r="C221" s="7" t="n">
        <v>1</v>
      </c>
      <c r="D221" s="7" t="n">
        <v>1</v>
      </c>
      <c r="E221" s="7" t="inlineStr">
        <is>
          <t>F</t>
        </is>
      </c>
      <c r="F221" s="7" t="n">
        <v>38</v>
      </c>
      <c r="G221" s="7" t="n">
        <v>12</v>
      </c>
      <c r="H221" s="7" t="n">
        <v>10</v>
      </c>
      <c r="I221" s="7" t="n">
        <v>1</v>
      </c>
      <c r="J221" s="7" t="n">
        <v>1000000</v>
      </c>
    </row>
    <row r="222">
      <c r="A222" s="7" t="n">
        <v>219</v>
      </c>
      <c r="B222" s="7" t="inlineStr">
        <is>
          <t>ENDW</t>
        </is>
      </c>
      <c r="C222" s="7" t="n">
        <v>1</v>
      </c>
      <c r="D222" s="7" t="n">
        <v>1</v>
      </c>
      <c r="E222" s="7" t="inlineStr">
        <is>
          <t>M</t>
        </is>
      </c>
      <c r="F222" s="7" t="n">
        <v>39</v>
      </c>
      <c r="G222" s="7" t="n">
        <v>12</v>
      </c>
      <c r="H222" s="7" t="n">
        <v>10</v>
      </c>
      <c r="I222" s="7" t="n">
        <v>1</v>
      </c>
      <c r="J222" s="7" t="n">
        <v>1000000</v>
      </c>
    </row>
    <row r="223">
      <c r="A223" s="7" t="n">
        <v>220</v>
      </c>
      <c r="B223" s="7" t="inlineStr">
        <is>
          <t>ENDW</t>
        </is>
      </c>
      <c r="C223" s="7" t="n">
        <v>1</v>
      </c>
      <c r="D223" s="7" t="n">
        <v>1</v>
      </c>
      <c r="E223" s="7" t="inlineStr">
        <is>
          <t>F</t>
        </is>
      </c>
      <c r="F223" s="7" t="n">
        <v>39</v>
      </c>
      <c r="G223" s="7" t="n">
        <v>12</v>
      </c>
      <c r="H223" s="7" t="n">
        <v>10</v>
      </c>
      <c r="I223" s="7" t="n">
        <v>1</v>
      </c>
      <c r="J223" s="7" t="n">
        <v>1000000</v>
      </c>
    </row>
    <row r="224">
      <c r="A224" s="7" t="n">
        <v>221</v>
      </c>
      <c r="B224" s="7" t="inlineStr">
        <is>
          <t>ENDW</t>
        </is>
      </c>
      <c r="C224" s="7" t="n">
        <v>1</v>
      </c>
      <c r="D224" s="7" t="n">
        <v>1</v>
      </c>
      <c r="E224" s="7" t="inlineStr">
        <is>
          <t>M</t>
        </is>
      </c>
      <c r="F224" s="7" t="n">
        <v>40</v>
      </c>
      <c r="G224" s="7" t="n">
        <v>12</v>
      </c>
      <c r="H224" s="7" t="n">
        <v>10</v>
      </c>
      <c r="I224" s="7" t="n">
        <v>1</v>
      </c>
      <c r="J224" s="7" t="n">
        <v>1000000</v>
      </c>
    </row>
    <row r="225">
      <c r="A225" s="7" t="n">
        <v>222</v>
      </c>
      <c r="B225" s="7" t="inlineStr">
        <is>
          <t>ENDW</t>
        </is>
      </c>
      <c r="C225" s="7" t="n">
        <v>1</v>
      </c>
      <c r="D225" s="7" t="n">
        <v>1</v>
      </c>
      <c r="E225" s="7" t="inlineStr">
        <is>
          <t>F</t>
        </is>
      </c>
      <c r="F225" s="7" t="n">
        <v>40</v>
      </c>
      <c r="G225" s="7" t="n">
        <v>12</v>
      </c>
      <c r="H225" s="7" t="n">
        <v>10</v>
      </c>
      <c r="I225" s="7" t="n">
        <v>1</v>
      </c>
      <c r="J225" s="7" t="n">
        <v>1000000</v>
      </c>
    </row>
    <row r="226">
      <c r="A226" s="7" t="n">
        <v>223</v>
      </c>
      <c r="B226" s="7" t="inlineStr">
        <is>
          <t>ENDW</t>
        </is>
      </c>
      <c r="C226" s="7" t="n">
        <v>1</v>
      </c>
      <c r="D226" s="7" t="n">
        <v>1</v>
      </c>
      <c r="E226" s="7" t="inlineStr">
        <is>
          <t>M</t>
        </is>
      </c>
      <c r="F226" s="7" t="n">
        <v>41</v>
      </c>
      <c r="G226" s="7" t="n">
        <v>12</v>
      </c>
      <c r="H226" s="7" t="n">
        <v>10</v>
      </c>
      <c r="I226" s="7" t="n">
        <v>1</v>
      </c>
      <c r="J226" s="7" t="n">
        <v>1000000</v>
      </c>
    </row>
    <row r="227">
      <c r="A227" s="7" t="n">
        <v>224</v>
      </c>
      <c r="B227" s="7" t="inlineStr">
        <is>
          <t>ENDW</t>
        </is>
      </c>
      <c r="C227" s="7" t="n">
        <v>1</v>
      </c>
      <c r="D227" s="7" t="n">
        <v>1</v>
      </c>
      <c r="E227" s="7" t="inlineStr">
        <is>
          <t>F</t>
        </is>
      </c>
      <c r="F227" s="7" t="n">
        <v>41</v>
      </c>
      <c r="G227" s="7" t="n">
        <v>12</v>
      </c>
      <c r="H227" s="7" t="n">
        <v>10</v>
      </c>
      <c r="I227" s="7" t="n">
        <v>1</v>
      </c>
      <c r="J227" s="7" t="n">
        <v>1000000</v>
      </c>
    </row>
    <row r="228">
      <c r="A228" s="7" t="n">
        <v>225</v>
      </c>
      <c r="B228" s="7" t="inlineStr">
        <is>
          <t>ENDW</t>
        </is>
      </c>
      <c r="C228" s="7" t="n">
        <v>1</v>
      </c>
      <c r="D228" s="7" t="n">
        <v>1</v>
      </c>
      <c r="E228" s="7" t="inlineStr">
        <is>
          <t>M</t>
        </is>
      </c>
      <c r="F228" s="7" t="n">
        <v>42</v>
      </c>
      <c r="G228" s="7" t="n">
        <v>12</v>
      </c>
      <c r="H228" s="7" t="n">
        <v>10</v>
      </c>
      <c r="I228" s="7" t="n">
        <v>1</v>
      </c>
      <c r="J228" s="7" t="n">
        <v>1000000</v>
      </c>
    </row>
    <row r="229">
      <c r="A229" s="7" t="n">
        <v>226</v>
      </c>
      <c r="B229" s="7" t="inlineStr">
        <is>
          <t>ENDW</t>
        </is>
      </c>
      <c r="C229" s="7" t="n">
        <v>1</v>
      </c>
      <c r="D229" s="7" t="n">
        <v>1</v>
      </c>
      <c r="E229" s="7" t="inlineStr">
        <is>
          <t>F</t>
        </is>
      </c>
      <c r="F229" s="7" t="n">
        <v>42</v>
      </c>
      <c r="G229" s="7" t="n">
        <v>12</v>
      </c>
      <c r="H229" s="7" t="n">
        <v>10</v>
      </c>
      <c r="I229" s="7" t="n">
        <v>1</v>
      </c>
      <c r="J229" s="7" t="n">
        <v>1000000</v>
      </c>
    </row>
    <row r="230">
      <c r="A230" s="7" t="n">
        <v>227</v>
      </c>
      <c r="B230" s="7" t="inlineStr">
        <is>
          <t>ENDW</t>
        </is>
      </c>
      <c r="C230" s="7" t="n">
        <v>1</v>
      </c>
      <c r="D230" s="7" t="n">
        <v>1</v>
      </c>
      <c r="E230" s="7" t="inlineStr">
        <is>
          <t>M</t>
        </is>
      </c>
      <c r="F230" s="7" t="n">
        <v>43</v>
      </c>
      <c r="G230" s="7" t="n">
        <v>12</v>
      </c>
      <c r="H230" s="7" t="n">
        <v>10</v>
      </c>
      <c r="I230" s="7" t="n">
        <v>1</v>
      </c>
      <c r="J230" s="7" t="n">
        <v>1000000</v>
      </c>
    </row>
    <row r="231">
      <c r="A231" s="7" t="n">
        <v>228</v>
      </c>
      <c r="B231" s="7" t="inlineStr">
        <is>
          <t>ENDW</t>
        </is>
      </c>
      <c r="C231" s="7" t="n">
        <v>1</v>
      </c>
      <c r="D231" s="7" t="n">
        <v>1</v>
      </c>
      <c r="E231" s="7" t="inlineStr">
        <is>
          <t>F</t>
        </is>
      </c>
      <c r="F231" s="7" t="n">
        <v>43</v>
      </c>
      <c r="G231" s="7" t="n">
        <v>12</v>
      </c>
      <c r="H231" s="7" t="n">
        <v>10</v>
      </c>
      <c r="I231" s="7" t="n">
        <v>1</v>
      </c>
      <c r="J231" s="7" t="n">
        <v>1000000</v>
      </c>
    </row>
    <row r="232">
      <c r="A232" s="7" t="n">
        <v>229</v>
      </c>
      <c r="B232" s="7" t="inlineStr">
        <is>
          <t>ENDW</t>
        </is>
      </c>
      <c r="C232" s="7" t="n">
        <v>1</v>
      </c>
      <c r="D232" s="7" t="n">
        <v>1</v>
      </c>
      <c r="E232" s="7" t="inlineStr">
        <is>
          <t>M</t>
        </is>
      </c>
      <c r="F232" s="7" t="n">
        <v>44</v>
      </c>
      <c r="G232" s="7" t="n">
        <v>12</v>
      </c>
      <c r="H232" s="7" t="n">
        <v>10</v>
      </c>
      <c r="I232" s="7" t="n">
        <v>1</v>
      </c>
      <c r="J232" s="7" t="n">
        <v>1000000</v>
      </c>
    </row>
    <row r="233">
      <c r="A233" s="7" t="n">
        <v>230</v>
      </c>
      <c r="B233" s="7" t="inlineStr">
        <is>
          <t>ENDW</t>
        </is>
      </c>
      <c r="C233" s="7" t="n">
        <v>1</v>
      </c>
      <c r="D233" s="7" t="n">
        <v>1</v>
      </c>
      <c r="E233" s="7" t="inlineStr">
        <is>
          <t>F</t>
        </is>
      </c>
      <c r="F233" s="7" t="n">
        <v>44</v>
      </c>
      <c r="G233" s="7" t="n">
        <v>12</v>
      </c>
      <c r="H233" s="7" t="n">
        <v>10</v>
      </c>
      <c r="I233" s="7" t="n">
        <v>1</v>
      </c>
      <c r="J233" s="7" t="n">
        <v>1000000</v>
      </c>
    </row>
    <row r="234">
      <c r="A234" s="7" t="n">
        <v>231</v>
      </c>
      <c r="B234" s="7" t="inlineStr">
        <is>
          <t>ENDW</t>
        </is>
      </c>
      <c r="C234" s="7" t="n">
        <v>1</v>
      </c>
      <c r="D234" s="7" t="n">
        <v>1</v>
      </c>
      <c r="E234" s="7" t="inlineStr">
        <is>
          <t>M</t>
        </is>
      </c>
      <c r="F234" s="7" t="n">
        <v>45</v>
      </c>
      <c r="G234" s="7" t="n">
        <v>12</v>
      </c>
      <c r="H234" s="7" t="n">
        <v>10</v>
      </c>
      <c r="I234" s="7" t="n">
        <v>1</v>
      </c>
      <c r="J234" s="7" t="n">
        <v>1000000</v>
      </c>
    </row>
    <row r="235">
      <c r="A235" s="7" t="n">
        <v>232</v>
      </c>
      <c r="B235" s="7" t="inlineStr">
        <is>
          <t>ENDW</t>
        </is>
      </c>
      <c r="C235" s="7" t="n">
        <v>1</v>
      </c>
      <c r="D235" s="7" t="n">
        <v>1</v>
      </c>
      <c r="E235" s="7" t="inlineStr">
        <is>
          <t>F</t>
        </is>
      </c>
      <c r="F235" s="7" t="n">
        <v>45</v>
      </c>
      <c r="G235" s="7" t="n">
        <v>12</v>
      </c>
      <c r="H235" s="7" t="n">
        <v>10</v>
      </c>
      <c r="I235" s="7" t="n">
        <v>1</v>
      </c>
      <c r="J235" s="7" t="n">
        <v>1000000</v>
      </c>
    </row>
    <row r="236">
      <c r="A236" s="7" t="n">
        <v>233</v>
      </c>
      <c r="B236" s="7" t="inlineStr">
        <is>
          <t>ENDW</t>
        </is>
      </c>
      <c r="C236" s="7" t="n">
        <v>1</v>
      </c>
      <c r="D236" s="7" t="n">
        <v>1</v>
      </c>
      <c r="E236" s="7" t="inlineStr">
        <is>
          <t>M</t>
        </is>
      </c>
      <c r="F236" s="7" t="n">
        <v>46</v>
      </c>
      <c r="G236" s="7" t="n">
        <v>12</v>
      </c>
      <c r="H236" s="7" t="n">
        <v>10</v>
      </c>
      <c r="I236" s="7" t="n">
        <v>1</v>
      </c>
      <c r="J236" s="7" t="n">
        <v>1000000</v>
      </c>
    </row>
    <row r="237">
      <c r="A237" s="7" t="n">
        <v>234</v>
      </c>
      <c r="B237" s="7" t="inlineStr">
        <is>
          <t>ENDW</t>
        </is>
      </c>
      <c r="C237" s="7" t="n">
        <v>1</v>
      </c>
      <c r="D237" s="7" t="n">
        <v>1</v>
      </c>
      <c r="E237" s="7" t="inlineStr">
        <is>
          <t>F</t>
        </is>
      </c>
      <c r="F237" s="7" t="n">
        <v>46</v>
      </c>
      <c r="G237" s="7" t="n">
        <v>12</v>
      </c>
      <c r="H237" s="7" t="n">
        <v>10</v>
      </c>
      <c r="I237" s="7" t="n">
        <v>1</v>
      </c>
      <c r="J237" s="7" t="n">
        <v>1000000</v>
      </c>
    </row>
    <row r="238">
      <c r="A238" s="7" t="n">
        <v>235</v>
      </c>
      <c r="B238" s="7" t="inlineStr">
        <is>
          <t>ENDW</t>
        </is>
      </c>
      <c r="C238" s="7" t="n">
        <v>1</v>
      </c>
      <c r="D238" s="7" t="n">
        <v>1</v>
      </c>
      <c r="E238" s="7" t="inlineStr">
        <is>
          <t>M</t>
        </is>
      </c>
      <c r="F238" s="7" t="n">
        <v>47</v>
      </c>
      <c r="G238" s="7" t="n">
        <v>12</v>
      </c>
      <c r="H238" s="7" t="n">
        <v>10</v>
      </c>
      <c r="I238" s="7" t="n">
        <v>1</v>
      </c>
      <c r="J238" s="7" t="n">
        <v>1000000</v>
      </c>
    </row>
    <row r="239">
      <c r="A239" s="7" t="n">
        <v>236</v>
      </c>
      <c r="B239" s="7" t="inlineStr">
        <is>
          <t>ENDW</t>
        </is>
      </c>
      <c r="C239" s="7" t="n">
        <v>1</v>
      </c>
      <c r="D239" s="7" t="n">
        <v>1</v>
      </c>
      <c r="E239" s="7" t="inlineStr">
        <is>
          <t>F</t>
        </is>
      </c>
      <c r="F239" s="7" t="n">
        <v>47</v>
      </c>
      <c r="G239" s="7" t="n">
        <v>12</v>
      </c>
      <c r="H239" s="7" t="n">
        <v>10</v>
      </c>
      <c r="I239" s="7" t="n">
        <v>1</v>
      </c>
      <c r="J239" s="7" t="n">
        <v>1000000</v>
      </c>
    </row>
    <row r="240">
      <c r="A240" s="7" t="n">
        <v>237</v>
      </c>
      <c r="B240" s="7" t="inlineStr">
        <is>
          <t>ENDW</t>
        </is>
      </c>
      <c r="C240" s="7" t="n">
        <v>1</v>
      </c>
      <c r="D240" s="7" t="n">
        <v>1</v>
      </c>
      <c r="E240" s="7" t="inlineStr">
        <is>
          <t>M</t>
        </is>
      </c>
      <c r="F240" s="7" t="n">
        <v>48</v>
      </c>
      <c r="G240" s="7" t="n">
        <v>12</v>
      </c>
      <c r="H240" s="7" t="n">
        <v>10</v>
      </c>
      <c r="I240" s="7" t="n">
        <v>1</v>
      </c>
      <c r="J240" s="7" t="n">
        <v>1000000</v>
      </c>
    </row>
    <row r="241">
      <c r="A241" s="7" t="n">
        <v>238</v>
      </c>
      <c r="B241" s="7" t="inlineStr">
        <is>
          <t>ENDW</t>
        </is>
      </c>
      <c r="C241" s="7" t="n">
        <v>1</v>
      </c>
      <c r="D241" s="7" t="n">
        <v>1</v>
      </c>
      <c r="E241" s="7" t="inlineStr">
        <is>
          <t>F</t>
        </is>
      </c>
      <c r="F241" s="7" t="n">
        <v>48</v>
      </c>
      <c r="G241" s="7" t="n">
        <v>12</v>
      </c>
      <c r="H241" s="7" t="n">
        <v>10</v>
      </c>
      <c r="I241" s="7" t="n">
        <v>1</v>
      </c>
      <c r="J241" s="7" t="n">
        <v>1000000</v>
      </c>
    </row>
    <row r="242">
      <c r="A242" s="7" t="n">
        <v>239</v>
      </c>
      <c r="B242" s="7" t="inlineStr">
        <is>
          <t>ENDW</t>
        </is>
      </c>
      <c r="C242" s="7" t="n">
        <v>1</v>
      </c>
      <c r="D242" s="7" t="n">
        <v>1</v>
      </c>
      <c r="E242" s="7" t="inlineStr">
        <is>
          <t>M</t>
        </is>
      </c>
      <c r="F242" s="7" t="n">
        <v>49</v>
      </c>
      <c r="G242" s="7" t="n">
        <v>12</v>
      </c>
      <c r="H242" s="7" t="n">
        <v>10</v>
      </c>
      <c r="I242" s="7" t="n">
        <v>1</v>
      </c>
      <c r="J242" s="7" t="n">
        <v>1000000</v>
      </c>
    </row>
    <row r="243">
      <c r="A243" s="7" t="n">
        <v>240</v>
      </c>
      <c r="B243" s="7" t="inlineStr">
        <is>
          <t>ENDW</t>
        </is>
      </c>
      <c r="C243" s="7" t="n">
        <v>1</v>
      </c>
      <c r="D243" s="7" t="n">
        <v>1</v>
      </c>
      <c r="E243" s="7" t="inlineStr">
        <is>
          <t>F</t>
        </is>
      </c>
      <c r="F243" s="7" t="n">
        <v>49</v>
      </c>
      <c r="G243" s="7" t="n">
        <v>12</v>
      </c>
      <c r="H243" s="7" t="n">
        <v>10</v>
      </c>
      <c r="I243" s="7" t="n">
        <v>1</v>
      </c>
      <c r="J243" s="7" t="n">
        <v>1000000</v>
      </c>
    </row>
    <row r="244">
      <c r="A244" s="7" t="n">
        <v>241</v>
      </c>
      <c r="B244" s="7" t="inlineStr">
        <is>
          <t>ENDW</t>
        </is>
      </c>
      <c r="C244" s="7" t="n">
        <v>1</v>
      </c>
      <c r="D244" s="7" t="n">
        <v>1</v>
      </c>
      <c r="E244" s="7" t="inlineStr">
        <is>
          <t>M</t>
        </is>
      </c>
      <c r="F244" s="7" t="n">
        <v>50</v>
      </c>
      <c r="G244" s="7" t="n">
        <v>12</v>
      </c>
      <c r="H244" s="7" t="n">
        <v>10</v>
      </c>
      <c r="I244" s="7" t="n">
        <v>1</v>
      </c>
      <c r="J244" s="7" t="n">
        <v>1000000</v>
      </c>
    </row>
    <row r="245">
      <c r="A245" s="7" t="n">
        <v>242</v>
      </c>
      <c r="B245" s="7" t="inlineStr">
        <is>
          <t>ENDW</t>
        </is>
      </c>
      <c r="C245" s="7" t="n">
        <v>1</v>
      </c>
      <c r="D245" s="7" t="n">
        <v>1</v>
      </c>
      <c r="E245" s="7" t="inlineStr">
        <is>
          <t>F</t>
        </is>
      </c>
      <c r="F245" s="7" t="n">
        <v>50</v>
      </c>
      <c r="G245" s="7" t="n">
        <v>12</v>
      </c>
      <c r="H245" s="7" t="n">
        <v>10</v>
      </c>
      <c r="I245" s="7" t="n">
        <v>1</v>
      </c>
      <c r="J245" s="7" t="n">
        <v>1000000</v>
      </c>
    </row>
    <row r="246">
      <c r="A246" s="7" t="n">
        <v>243</v>
      </c>
      <c r="B246" s="7" t="inlineStr">
        <is>
          <t>ENDW</t>
        </is>
      </c>
      <c r="C246" s="7" t="n">
        <v>1</v>
      </c>
      <c r="D246" s="7" t="n">
        <v>1</v>
      </c>
      <c r="E246" s="7" t="inlineStr">
        <is>
          <t>M</t>
        </is>
      </c>
      <c r="F246" s="7" t="n">
        <v>51</v>
      </c>
      <c r="G246" s="7" t="n">
        <v>12</v>
      </c>
      <c r="H246" s="7" t="n">
        <v>10</v>
      </c>
      <c r="I246" s="7" t="n">
        <v>1</v>
      </c>
      <c r="J246" s="7" t="n">
        <v>1000000</v>
      </c>
    </row>
    <row r="247">
      <c r="A247" s="7" t="n">
        <v>244</v>
      </c>
      <c r="B247" s="7" t="inlineStr">
        <is>
          <t>ENDW</t>
        </is>
      </c>
      <c r="C247" s="7" t="n">
        <v>1</v>
      </c>
      <c r="D247" s="7" t="n">
        <v>1</v>
      </c>
      <c r="E247" s="7" t="inlineStr">
        <is>
          <t>F</t>
        </is>
      </c>
      <c r="F247" s="7" t="n">
        <v>51</v>
      </c>
      <c r="G247" s="7" t="n">
        <v>12</v>
      </c>
      <c r="H247" s="7" t="n">
        <v>10</v>
      </c>
      <c r="I247" s="7" t="n">
        <v>1</v>
      </c>
      <c r="J247" s="7" t="n">
        <v>1000000</v>
      </c>
    </row>
    <row r="248">
      <c r="A248" s="7" t="n">
        <v>245</v>
      </c>
      <c r="B248" s="7" t="inlineStr">
        <is>
          <t>ENDW</t>
        </is>
      </c>
      <c r="C248" s="7" t="n">
        <v>1</v>
      </c>
      <c r="D248" s="7" t="n">
        <v>1</v>
      </c>
      <c r="E248" s="7" t="inlineStr">
        <is>
          <t>M</t>
        </is>
      </c>
      <c r="F248" s="7" t="n">
        <v>52</v>
      </c>
      <c r="G248" s="7" t="n">
        <v>12</v>
      </c>
      <c r="H248" s="7" t="n">
        <v>10</v>
      </c>
      <c r="I248" s="7" t="n">
        <v>1</v>
      </c>
      <c r="J248" s="7" t="n">
        <v>1000000</v>
      </c>
    </row>
    <row r="249">
      <c r="A249" s="7" t="n">
        <v>246</v>
      </c>
      <c r="B249" s="7" t="inlineStr">
        <is>
          <t>ENDW</t>
        </is>
      </c>
      <c r="C249" s="7" t="n">
        <v>1</v>
      </c>
      <c r="D249" s="7" t="n">
        <v>1</v>
      </c>
      <c r="E249" s="7" t="inlineStr">
        <is>
          <t>F</t>
        </is>
      </c>
      <c r="F249" s="7" t="n">
        <v>52</v>
      </c>
      <c r="G249" s="7" t="n">
        <v>12</v>
      </c>
      <c r="H249" s="7" t="n">
        <v>10</v>
      </c>
      <c r="I249" s="7" t="n">
        <v>1</v>
      </c>
      <c r="J249" s="7" t="n">
        <v>1000000</v>
      </c>
    </row>
    <row r="250">
      <c r="A250" s="7" t="n">
        <v>247</v>
      </c>
      <c r="B250" s="7" t="inlineStr">
        <is>
          <t>ENDW</t>
        </is>
      </c>
      <c r="C250" s="7" t="n">
        <v>1</v>
      </c>
      <c r="D250" s="7" t="n">
        <v>1</v>
      </c>
      <c r="E250" s="7" t="inlineStr">
        <is>
          <t>M</t>
        </is>
      </c>
      <c r="F250" s="7" t="n">
        <v>53</v>
      </c>
      <c r="G250" s="7" t="n">
        <v>12</v>
      </c>
      <c r="H250" s="7" t="n">
        <v>10</v>
      </c>
      <c r="I250" s="7" t="n">
        <v>1</v>
      </c>
      <c r="J250" s="7" t="n">
        <v>1000000</v>
      </c>
    </row>
    <row r="251">
      <c r="A251" s="7" t="n">
        <v>248</v>
      </c>
      <c r="B251" s="7" t="inlineStr">
        <is>
          <t>ENDW</t>
        </is>
      </c>
      <c r="C251" s="7" t="n">
        <v>1</v>
      </c>
      <c r="D251" s="7" t="n">
        <v>1</v>
      </c>
      <c r="E251" s="7" t="inlineStr">
        <is>
          <t>F</t>
        </is>
      </c>
      <c r="F251" s="7" t="n">
        <v>53</v>
      </c>
      <c r="G251" s="7" t="n">
        <v>12</v>
      </c>
      <c r="H251" s="7" t="n">
        <v>10</v>
      </c>
      <c r="I251" s="7" t="n">
        <v>1</v>
      </c>
      <c r="J251" s="7" t="n">
        <v>1000000</v>
      </c>
    </row>
    <row r="252">
      <c r="A252" s="7" t="n">
        <v>249</v>
      </c>
      <c r="B252" s="7" t="inlineStr">
        <is>
          <t>ENDW</t>
        </is>
      </c>
      <c r="C252" s="7" t="n">
        <v>1</v>
      </c>
      <c r="D252" s="7" t="n">
        <v>1</v>
      </c>
      <c r="E252" s="7" t="inlineStr">
        <is>
          <t>M</t>
        </is>
      </c>
      <c r="F252" s="7" t="n">
        <v>54</v>
      </c>
      <c r="G252" s="7" t="n">
        <v>12</v>
      </c>
      <c r="H252" s="7" t="n">
        <v>10</v>
      </c>
      <c r="I252" s="7" t="n">
        <v>1</v>
      </c>
      <c r="J252" s="7" t="n">
        <v>1000000</v>
      </c>
    </row>
    <row r="253">
      <c r="A253" s="7" t="n">
        <v>250</v>
      </c>
      <c r="B253" s="7" t="inlineStr">
        <is>
          <t>ENDW</t>
        </is>
      </c>
      <c r="C253" s="7" t="n">
        <v>1</v>
      </c>
      <c r="D253" s="7" t="n">
        <v>1</v>
      </c>
      <c r="E253" s="7" t="inlineStr">
        <is>
          <t>F</t>
        </is>
      </c>
      <c r="F253" s="7" t="n">
        <v>54</v>
      </c>
      <c r="G253" s="7" t="n">
        <v>12</v>
      </c>
      <c r="H253" s="7" t="n">
        <v>10</v>
      </c>
      <c r="I253" s="7" t="n">
        <v>1</v>
      </c>
      <c r="J253" s="7" t="n">
        <v>1000000</v>
      </c>
    </row>
    <row r="254">
      <c r="A254" s="7" t="n">
        <v>251</v>
      </c>
      <c r="B254" s="7" t="inlineStr">
        <is>
          <t>ENDW</t>
        </is>
      </c>
      <c r="C254" s="7" t="n">
        <v>1</v>
      </c>
      <c r="D254" s="7" t="n">
        <v>1</v>
      </c>
      <c r="E254" s="7" t="inlineStr">
        <is>
          <t>M</t>
        </is>
      </c>
      <c r="F254" s="7" t="n">
        <v>55</v>
      </c>
      <c r="G254" s="7" t="n">
        <v>12</v>
      </c>
      <c r="H254" s="7" t="n">
        <v>10</v>
      </c>
      <c r="I254" s="7" t="n">
        <v>1</v>
      </c>
      <c r="J254" s="7" t="n">
        <v>1000000</v>
      </c>
    </row>
    <row r="255">
      <c r="A255" s="7" t="n">
        <v>252</v>
      </c>
      <c r="B255" s="7" t="inlineStr">
        <is>
          <t>ENDW</t>
        </is>
      </c>
      <c r="C255" s="7" t="n">
        <v>1</v>
      </c>
      <c r="D255" s="7" t="n">
        <v>1</v>
      </c>
      <c r="E255" s="7" t="inlineStr">
        <is>
          <t>F</t>
        </is>
      </c>
      <c r="F255" s="7" t="n">
        <v>55</v>
      </c>
      <c r="G255" s="7" t="n">
        <v>12</v>
      </c>
      <c r="H255" s="7" t="n">
        <v>10</v>
      </c>
      <c r="I255" s="7" t="n">
        <v>1</v>
      </c>
      <c r="J255" s="7" t="n">
        <v>1000000</v>
      </c>
    </row>
    <row r="256">
      <c r="A256" s="7" t="n">
        <v>253</v>
      </c>
      <c r="B256" s="7" t="inlineStr">
        <is>
          <t>ENDW</t>
        </is>
      </c>
      <c r="C256" s="7" t="n">
        <v>1</v>
      </c>
      <c r="D256" s="7" t="n">
        <v>1</v>
      </c>
      <c r="E256" s="7" t="inlineStr">
        <is>
          <t>M</t>
        </is>
      </c>
      <c r="F256" s="7" t="n">
        <v>56</v>
      </c>
      <c r="G256" s="7" t="n">
        <v>12</v>
      </c>
      <c r="H256" s="7" t="n">
        <v>10</v>
      </c>
      <c r="I256" s="7" t="n">
        <v>1</v>
      </c>
      <c r="J256" s="7" t="n">
        <v>1000000</v>
      </c>
    </row>
    <row r="257">
      <c r="A257" s="7" t="n">
        <v>254</v>
      </c>
      <c r="B257" s="7" t="inlineStr">
        <is>
          <t>ENDW</t>
        </is>
      </c>
      <c r="C257" s="7" t="n">
        <v>1</v>
      </c>
      <c r="D257" s="7" t="n">
        <v>1</v>
      </c>
      <c r="E257" s="7" t="inlineStr">
        <is>
          <t>F</t>
        </is>
      </c>
      <c r="F257" s="7" t="n">
        <v>56</v>
      </c>
      <c r="G257" s="7" t="n">
        <v>12</v>
      </c>
      <c r="H257" s="7" t="n">
        <v>10</v>
      </c>
      <c r="I257" s="7" t="n">
        <v>1</v>
      </c>
      <c r="J257" s="7" t="n">
        <v>1000000</v>
      </c>
    </row>
    <row r="258">
      <c r="A258" s="7" t="n">
        <v>255</v>
      </c>
      <c r="B258" s="7" t="inlineStr">
        <is>
          <t>ENDW</t>
        </is>
      </c>
      <c r="C258" s="7" t="n">
        <v>1</v>
      </c>
      <c r="D258" s="7" t="n">
        <v>1</v>
      </c>
      <c r="E258" s="7" t="inlineStr">
        <is>
          <t>M</t>
        </is>
      </c>
      <c r="F258" s="7" t="n">
        <v>57</v>
      </c>
      <c r="G258" s="7" t="n">
        <v>12</v>
      </c>
      <c r="H258" s="7" t="n">
        <v>10</v>
      </c>
      <c r="I258" s="7" t="n">
        <v>1</v>
      </c>
      <c r="J258" s="7" t="n">
        <v>1000000</v>
      </c>
    </row>
    <row r="259">
      <c r="A259" s="7" t="n">
        <v>256</v>
      </c>
      <c r="B259" s="7" t="inlineStr">
        <is>
          <t>ENDW</t>
        </is>
      </c>
      <c r="C259" s="7" t="n">
        <v>1</v>
      </c>
      <c r="D259" s="7" t="n">
        <v>1</v>
      </c>
      <c r="E259" s="7" t="inlineStr">
        <is>
          <t>F</t>
        </is>
      </c>
      <c r="F259" s="7" t="n">
        <v>57</v>
      </c>
      <c r="G259" s="7" t="n">
        <v>12</v>
      </c>
      <c r="H259" s="7" t="n">
        <v>10</v>
      </c>
      <c r="I259" s="7" t="n">
        <v>1</v>
      </c>
      <c r="J259" s="7" t="n">
        <v>1000000</v>
      </c>
    </row>
    <row r="260">
      <c r="A260" s="7" t="n">
        <v>257</v>
      </c>
      <c r="B260" s="7" t="inlineStr">
        <is>
          <t>ENDW</t>
        </is>
      </c>
      <c r="C260" s="7" t="n">
        <v>1</v>
      </c>
      <c r="D260" s="7" t="n">
        <v>1</v>
      </c>
      <c r="E260" s="7" t="inlineStr">
        <is>
          <t>M</t>
        </is>
      </c>
      <c r="F260" s="7" t="n">
        <v>58</v>
      </c>
      <c r="G260" s="7" t="n">
        <v>12</v>
      </c>
      <c r="H260" s="7" t="n">
        <v>10</v>
      </c>
      <c r="I260" s="7" t="n">
        <v>1</v>
      </c>
      <c r="J260" s="7" t="n">
        <v>1000000</v>
      </c>
    </row>
    <row r="261">
      <c r="A261" s="7" t="n">
        <v>258</v>
      </c>
      <c r="B261" s="7" t="inlineStr">
        <is>
          <t>ENDW</t>
        </is>
      </c>
      <c r="C261" s="7" t="n">
        <v>1</v>
      </c>
      <c r="D261" s="7" t="n">
        <v>1</v>
      </c>
      <c r="E261" s="7" t="inlineStr">
        <is>
          <t>F</t>
        </is>
      </c>
      <c r="F261" s="7" t="n">
        <v>58</v>
      </c>
      <c r="G261" s="7" t="n">
        <v>12</v>
      </c>
      <c r="H261" s="7" t="n">
        <v>10</v>
      </c>
      <c r="I261" s="7" t="n">
        <v>1</v>
      </c>
      <c r="J261" s="7" t="n">
        <v>1000000</v>
      </c>
    </row>
    <row r="262">
      <c r="A262" s="7" t="n">
        <v>259</v>
      </c>
      <c r="B262" s="7" t="inlineStr">
        <is>
          <t>ENDW</t>
        </is>
      </c>
      <c r="C262" s="7" t="n">
        <v>1</v>
      </c>
      <c r="D262" s="7" t="n">
        <v>1</v>
      </c>
      <c r="E262" s="7" t="inlineStr">
        <is>
          <t>M</t>
        </is>
      </c>
      <c r="F262" s="7" t="n">
        <v>59</v>
      </c>
      <c r="G262" s="7" t="n">
        <v>12</v>
      </c>
      <c r="H262" s="7" t="n">
        <v>10</v>
      </c>
      <c r="I262" s="7" t="n">
        <v>1</v>
      </c>
      <c r="J262" s="7" t="n">
        <v>1000000</v>
      </c>
    </row>
    <row r="263">
      <c r="A263" s="7" t="n">
        <v>260</v>
      </c>
      <c r="B263" s="7" t="inlineStr">
        <is>
          <t>ENDW</t>
        </is>
      </c>
      <c r="C263" s="7" t="n">
        <v>1</v>
      </c>
      <c r="D263" s="7" t="n">
        <v>1</v>
      </c>
      <c r="E263" s="7" t="inlineStr">
        <is>
          <t>F</t>
        </is>
      </c>
      <c r="F263" s="7" t="n">
        <v>59</v>
      </c>
      <c r="G263" s="7" t="n">
        <v>12</v>
      </c>
      <c r="H263" s="7" t="n">
        <v>10</v>
      </c>
      <c r="I263" s="7" t="n">
        <v>1</v>
      </c>
      <c r="J263" s="7" t="n">
        <v>1000000</v>
      </c>
    </row>
    <row r="264">
      <c r="A264" s="7" t="n">
        <v>261</v>
      </c>
      <c r="B264" s="7" t="inlineStr">
        <is>
          <t>ENDW</t>
        </is>
      </c>
      <c r="C264" s="7" t="n">
        <v>1</v>
      </c>
      <c r="D264" s="7" t="n">
        <v>1</v>
      </c>
      <c r="E264" s="7" t="inlineStr">
        <is>
          <t>M</t>
        </is>
      </c>
      <c r="F264" s="7" t="n">
        <v>60</v>
      </c>
      <c r="G264" s="7" t="n">
        <v>12</v>
      </c>
      <c r="H264" s="7" t="n">
        <v>10</v>
      </c>
      <c r="I264" s="7" t="n">
        <v>1</v>
      </c>
      <c r="J264" s="7" t="n">
        <v>1000000</v>
      </c>
    </row>
    <row r="265">
      <c r="A265" s="7" t="n">
        <v>262</v>
      </c>
      <c r="B265" s="7" t="inlineStr">
        <is>
          <t>ENDW</t>
        </is>
      </c>
      <c r="C265" s="7" t="n">
        <v>1</v>
      </c>
      <c r="D265" s="7" t="n">
        <v>1</v>
      </c>
      <c r="E265" s="7" t="inlineStr">
        <is>
          <t>F</t>
        </is>
      </c>
      <c r="F265" s="7" t="n">
        <v>60</v>
      </c>
      <c r="G265" s="7" t="n">
        <v>12</v>
      </c>
      <c r="H265" s="7" t="n">
        <v>10</v>
      </c>
      <c r="I265" s="7" t="n">
        <v>1</v>
      </c>
      <c r="J265" s="7" t="n">
        <v>1000000</v>
      </c>
    </row>
    <row r="266">
      <c r="A266" s="7" t="n">
        <v>263</v>
      </c>
      <c r="B266" s="7" t="inlineStr">
        <is>
          <t>ENDW</t>
        </is>
      </c>
      <c r="C266" s="7" t="n">
        <v>1</v>
      </c>
      <c r="D266" s="7" t="n">
        <v>1</v>
      </c>
      <c r="E266" s="7" t="inlineStr">
        <is>
          <t>M</t>
        </is>
      </c>
      <c r="F266" s="7" t="n">
        <v>61</v>
      </c>
      <c r="G266" s="7" t="n">
        <v>12</v>
      </c>
      <c r="H266" s="7" t="n">
        <v>10</v>
      </c>
      <c r="I266" s="7" t="n">
        <v>1</v>
      </c>
      <c r="J266" s="7" t="n">
        <v>1000000</v>
      </c>
    </row>
    <row r="267">
      <c r="A267" s="7" t="n">
        <v>264</v>
      </c>
      <c r="B267" s="7" t="inlineStr">
        <is>
          <t>ENDW</t>
        </is>
      </c>
      <c r="C267" s="7" t="n">
        <v>1</v>
      </c>
      <c r="D267" s="7" t="n">
        <v>1</v>
      </c>
      <c r="E267" s="7" t="inlineStr">
        <is>
          <t>F</t>
        </is>
      </c>
      <c r="F267" s="7" t="n">
        <v>61</v>
      </c>
      <c r="G267" s="7" t="n">
        <v>12</v>
      </c>
      <c r="H267" s="7" t="n">
        <v>10</v>
      </c>
      <c r="I267" s="7" t="n">
        <v>1</v>
      </c>
      <c r="J267" s="7" t="n">
        <v>1000000</v>
      </c>
    </row>
    <row r="268">
      <c r="A268" s="7" t="n">
        <v>265</v>
      </c>
      <c r="B268" s="7" t="inlineStr">
        <is>
          <t>ENDW</t>
        </is>
      </c>
      <c r="C268" s="7" t="n">
        <v>1</v>
      </c>
      <c r="D268" s="7" t="n">
        <v>1</v>
      </c>
      <c r="E268" s="7" t="inlineStr">
        <is>
          <t>M</t>
        </is>
      </c>
      <c r="F268" s="7" t="n">
        <v>62</v>
      </c>
      <c r="G268" s="7" t="n">
        <v>12</v>
      </c>
      <c r="H268" s="7" t="n">
        <v>10</v>
      </c>
      <c r="I268" s="7" t="n">
        <v>1</v>
      </c>
      <c r="J268" s="7" t="n">
        <v>1000000</v>
      </c>
    </row>
    <row r="269">
      <c r="A269" s="7" t="n">
        <v>266</v>
      </c>
      <c r="B269" s="7" t="inlineStr">
        <is>
          <t>ENDW</t>
        </is>
      </c>
      <c r="C269" s="7" t="n">
        <v>1</v>
      </c>
      <c r="D269" s="7" t="n">
        <v>1</v>
      </c>
      <c r="E269" s="7" t="inlineStr">
        <is>
          <t>F</t>
        </is>
      </c>
      <c r="F269" s="7" t="n">
        <v>62</v>
      </c>
      <c r="G269" s="7" t="n">
        <v>12</v>
      </c>
      <c r="H269" s="7" t="n">
        <v>10</v>
      </c>
      <c r="I269" s="7" t="n">
        <v>1</v>
      </c>
      <c r="J269" s="7" t="n">
        <v>1000000</v>
      </c>
    </row>
    <row r="270">
      <c r="A270" s="7" t="n">
        <v>267</v>
      </c>
      <c r="B270" s="7" t="inlineStr">
        <is>
          <t>ENDW</t>
        </is>
      </c>
      <c r="C270" s="7" t="n">
        <v>1</v>
      </c>
      <c r="D270" s="7" t="n">
        <v>1</v>
      </c>
      <c r="E270" s="7" t="inlineStr">
        <is>
          <t>M</t>
        </is>
      </c>
      <c r="F270" s="7" t="n">
        <v>63</v>
      </c>
      <c r="G270" s="7" t="n">
        <v>12</v>
      </c>
      <c r="H270" s="7" t="n">
        <v>10</v>
      </c>
      <c r="I270" s="7" t="n">
        <v>1</v>
      </c>
      <c r="J270" s="7" t="n">
        <v>1000000</v>
      </c>
    </row>
    <row r="271">
      <c r="A271" s="7" t="n">
        <v>268</v>
      </c>
      <c r="B271" s="7" t="inlineStr">
        <is>
          <t>ENDW</t>
        </is>
      </c>
      <c r="C271" s="7" t="n">
        <v>1</v>
      </c>
      <c r="D271" s="7" t="n">
        <v>1</v>
      </c>
      <c r="E271" s="7" t="inlineStr">
        <is>
          <t>F</t>
        </is>
      </c>
      <c r="F271" s="7" t="n">
        <v>63</v>
      </c>
      <c r="G271" s="7" t="n">
        <v>12</v>
      </c>
      <c r="H271" s="7" t="n">
        <v>10</v>
      </c>
      <c r="I271" s="7" t="n">
        <v>1</v>
      </c>
      <c r="J271" s="7" t="n">
        <v>1000000</v>
      </c>
    </row>
    <row r="272">
      <c r="A272" s="7" t="n">
        <v>269</v>
      </c>
      <c r="B272" s="7" t="inlineStr">
        <is>
          <t>ENDW</t>
        </is>
      </c>
      <c r="C272" s="7" t="n">
        <v>1</v>
      </c>
      <c r="D272" s="7" t="n">
        <v>1</v>
      </c>
      <c r="E272" s="7" t="inlineStr">
        <is>
          <t>M</t>
        </is>
      </c>
      <c r="F272" s="7" t="n">
        <v>64</v>
      </c>
      <c r="G272" s="7" t="n">
        <v>12</v>
      </c>
      <c r="H272" s="7" t="n">
        <v>10</v>
      </c>
      <c r="I272" s="7" t="n">
        <v>1</v>
      </c>
      <c r="J272" s="7" t="n">
        <v>1000000</v>
      </c>
    </row>
    <row r="273">
      <c r="A273" s="7" t="n">
        <v>270</v>
      </c>
      <c r="B273" s="7" t="inlineStr">
        <is>
          <t>ENDW</t>
        </is>
      </c>
      <c r="C273" s="7" t="n">
        <v>1</v>
      </c>
      <c r="D273" s="7" t="n">
        <v>1</v>
      </c>
      <c r="E273" s="7" t="inlineStr">
        <is>
          <t>F</t>
        </is>
      </c>
      <c r="F273" s="7" t="n">
        <v>64</v>
      </c>
      <c r="G273" s="7" t="n">
        <v>12</v>
      </c>
      <c r="H273" s="7" t="n">
        <v>10</v>
      </c>
      <c r="I273" s="7" t="n">
        <v>1</v>
      </c>
      <c r="J273" s="7" t="n">
        <v>1000000</v>
      </c>
    </row>
    <row r="274">
      <c r="A274" s="7" t="n">
        <v>271</v>
      </c>
      <c r="B274" s="7" t="inlineStr">
        <is>
          <t>ENDW</t>
        </is>
      </c>
      <c r="C274" s="7" t="n">
        <v>1</v>
      </c>
      <c r="D274" s="7" t="n">
        <v>1</v>
      </c>
      <c r="E274" s="7" t="inlineStr">
        <is>
          <t>M</t>
        </is>
      </c>
      <c r="F274" s="7" t="n">
        <v>65</v>
      </c>
      <c r="G274" s="7" t="n">
        <v>12</v>
      </c>
      <c r="H274" s="7" t="n">
        <v>10</v>
      </c>
      <c r="I274" s="7" t="n">
        <v>1</v>
      </c>
      <c r="J274" s="7" t="n">
        <v>1000000</v>
      </c>
    </row>
    <row r="275">
      <c r="A275" s="7" t="n">
        <v>272</v>
      </c>
      <c r="B275" s="7" t="inlineStr">
        <is>
          <t>ENDW</t>
        </is>
      </c>
      <c r="C275" s="7" t="n">
        <v>1</v>
      </c>
      <c r="D275" s="7" t="n">
        <v>1</v>
      </c>
      <c r="E275" s="7" t="inlineStr">
        <is>
          <t>F</t>
        </is>
      </c>
      <c r="F275" s="7" t="n">
        <v>65</v>
      </c>
      <c r="G275" s="7" t="n">
        <v>12</v>
      </c>
      <c r="H275" s="7" t="n">
        <v>10</v>
      </c>
      <c r="I275" s="7" t="n">
        <v>1</v>
      </c>
      <c r="J275" s="7" t="n">
        <v>1000000</v>
      </c>
    </row>
    <row r="276">
      <c r="A276" s="7" t="n">
        <v>273</v>
      </c>
      <c r="B276" s="7" t="inlineStr">
        <is>
          <t>ENDW</t>
        </is>
      </c>
      <c r="C276" s="7" t="n">
        <v>1</v>
      </c>
      <c r="D276" s="7" t="n">
        <v>1</v>
      </c>
      <c r="E276" s="7" t="inlineStr">
        <is>
          <t>M</t>
        </is>
      </c>
      <c r="F276" s="7" t="n">
        <v>66</v>
      </c>
      <c r="G276" s="7" t="n">
        <v>12</v>
      </c>
      <c r="H276" s="7" t="n">
        <v>10</v>
      </c>
      <c r="I276" s="7" t="n">
        <v>1</v>
      </c>
      <c r="J276" s="7" t="n">
        <v>1000000</v>
      </c>
    </row>
    <row r="277">
      <c r="A277" s="7" t="n">
        <v>274</v>
      </c>
      <c r="B277" s="7" t="inlineStr">
        <is>
          <t>ENDW</t>
        </is>
      </c>
      <c r="C277" s="7" t="n">
        <v>1</v>
      </c>
      <c r="D277" s="7" t="n">
        <v>1</v>
      </c>
      <c r="E277" s="7" t="inlineStr">
        <is>
          <t>F</t>
        </is>
      </c>
      <c r="F277" s="7" t="n">
        <v>66</v>
      </c>
      <c r="G277" s="7" t="n">
        <v>12</v>
      </c>
      <c r="H277" s="7" t="n">
        <v>10</v>
      </c>
      <c r="I277" s="7" t="n">
        <v>1</v>
      </c>
      <c r="J277" s="7" t="n">
        <v>1000000</v>
      </c>
    </row>
    <row r="278">
      <c r="A278" s="7" t="n">
        <v>275</v>
      </c>
      <c r="B278" s="7" t="inlineStr">
        <is>
          <t>ENDW</t>
        </is>
      </c>
      <c r="C278" s="7" t="n">
        <v>1</v>
      </c>
      <c r="D278" s="7" t="n">
        <v>1</v>
      </c>
      <c r="E278" s="7" t="inlineStr">
        <is>
          <t>M</t>
        </is>
      </c>
      <c r="F278" s="7" t="n">
        <v>67</v>
      </c>
      <c r="G278" s="7" t="n">
        <v>12</v>
      </c>
      <c r="H278" s="7" t="n">
        <v>10</v>
      </c>
      <c r="I278" s="7" t="n">
        <v>1</v>
      </c>
      <c r="J278" s="7" t="n">
        <v>1000000</v>
      </c>
    </row>
    <row r="279">
      <c r="A279" s="7" t="n">
        <v>276</v>
      </c>
      <c r="B279" s="7" t="inlineStr">
        <is>
          <t>ENDW</t>
        </is>
      </c>
      <c r="C279" s="7" t="n">
        <v>1</v>
      </c>
      <c r="D279" s="7" t="n">
        <v>1</v>
      </c>
      <c r="E279" s="7" t="inlineStr">
        <is>
          <t>F</t>
        </is>
      </c>
      <c r="F279" s="7" t="n">
        <v>67</v>
      </c>
      <c r="G279" s="7" t="n">
        <v>12</v>
      </c>
      <c r="H279" s="7" t="n">
        <v>10</v>
      </c>
      <c r="I279" s="7" t="n">
        <v>1</v>
      </c>
      <c r="J279" s="7" t="n">
        <v>1000000</v>
      </c>
    </row>
    <row r="280">
      <c r="A280" s="7" t="n">
        <v>277</v>
      </c>
      <c r="B280" s="7" t="inlineStr">
        <is>
          <t>ENDW</t>
        </is>
      </c>
      <c r="C280" s="7" t="n">
        <v>1</v>
      </c>
      <c r="D280" s="7" t="n">
        <v>1</v>
      </c>
      <c r="E280" s="7" t="inlineStr">
        <is>
          <t>M</t>
        </is>
      </c>
      <c r="F280" s="7" t="n">
        <v>68</v>
      </c>
      <c r="G280" s="7" t="n">
        <v>12</v>
      </c>
      <c r="H280" s="7" t="n">
        <v>10</v>
      </c>
      <c r="I280" s="7" t="n">
        <v>1</v>
      </c>
      <c r="J280" s="7" t="n">
        <v>1000000</v>
      </c>
    </row>
    <row r="281">
      <c r="A281" s="7" t="n">
        <v>278</v>
      </c>
      <c r="B281" s="7" t="inlineStr">
        <is>
          <t>ENDW</t>
        </is>
      </c>
      <c r="C281" s="7" t="n">
        <v>1</v>
      </c>
      <c r="D281" s="7" t="n">
        <v>1</v>
      </c>
      <c r="E281" s="7" t="inlineStr">
        <is>
          <t>F</t>
        </is>
      </c>
      <c r="F281" s="7" t="n">
        <v>68</v>
      </c>
      <c r="G281" s="7" t="n">
        <v>12</v>
      </c>
      <c r="H281" s="7" t="n">
        <v>10</v>
      </c>
      <c r="I281" s="7" t="n">
        <v>1</v>
      </c>
      <c r="J281" s="7" t="n">
        <v>1000000</v>
      </c>
    </row>
    <row r="282">
      <c r="A282" s="7" t="n">
        <v>279</v>
      </c>
      <c r="B282" s="7" t="inlineStr">
        <is>
          <t>ENDW</t>
        </is>
      </c>
      <c r="C282" s="7" t="n">
        <v>1</v>
      </c>
      <c r="D282" s="7" t="n">
        <v>1</v>
      </c>
      <c r="E282" s="7" t="inlineStr">
        <is>
          <t>M</t>
        </is>
      </c>
      <c r="F282" s="7" t="n">
        <v>69</v>
      </c>
      <c r="G282" s="7" t="n">
        <v>12</v>
      </c>
      <c r="H282" s="7" t="n">
        <v>10</v>
      </c>
      <c r="I282" s="7" t="n">
        <v>1</v>
      </c>
      <c r="J282" s="7" t="n">
        <v>1000000</v>
      </c>
    </row>
    <row r="283">
      <c r="A283" s="7" t="n">
        <v>280</v>
      </c>
      <c r="B283" s="7" t="inlineStr">
        <is>
          <t>ENDW</t>
        </is>
      </c>
      <c r="C283" s="7" t="n">
        <v>1</v>
      </c>
      <c r="D283" s="7" t="n">
        <v>1</v>
      </c>
      <c r="E283" s="7" t="inlineStr">
        <is>
          <t>F</t>
        </is>
      </c>
      <c r="F283" s="7" t="n">
        <v>69</v>
      </c>
      <c r="G283" s="7" t="n">
        <v>12</v>
      </c>
      <c r="H283" s="7" t="n">
        <v>10</v>
      </c>
      <c r="I283" s="7" t="n">
        <v>1</v>
      </c>
      <c r="J283" s="7" t="n">
        <v>1000000</v>
      </c>
    </row>
    <row r="284">
      <c r="A284" s="7" t="n">
        <v>281</v>
      </c>
      <c r="B284" s="7" t="inlineStr">
        <is>
          <t>ENDW</t>
        </is>
      </c>
      <c r="C284" s="7" t="n">
        <v>1</v>
      </c>
      <c r="D284" s="7" t="n">
        <v>1</v>
      </c>
      <c r="E284" s="7" t="inlineStr">
        <is>
          <t>M</t>
        </is>
      </c>
      <c r="F284" s="7" t="n">
        <v>70</v>
      </c>
      <c r="G284" s="7" t="n">
        <v>12</v>
      </c>
      <c r="H284" s="7" t="n">
        <v>10</v>
      </c>
      <c r="I284" s="7" t="n">
        <v>1</v>
      </c>
      <c r="J284" s="7" t="n">
        <v>1000000</v>
      </c>
    </row>
    <row r="285">
      <c r="A285" s="7" t="n">
        <v>282</v>
      </c>
      <c r="B285" s="7" t="inlineStr">
        <is>
          <t>ENDW</t>
        </is>
      </c>
      <c r="C285" s="7" t="n">
        <v>1</v>
      </c>
      <c r="D285" s="7" t="n">
        <v>1</v>
      </c>
      <c r="E285" s="7" t="inlineStr">
        <is>
          <t>F</t>
        </is>
      </c>
      <c r="F285" s="7" t="n">
        <v>70</v>
      </c>
      <c r="G285" s="7" t="n">
        <v>12</v>
      </c>
      <c r="H285" s="7" t="n">
        <v>10</v>
      </c>
      <c r="I285" s="7" t="n">
        <v>1</v>
      </c>
      <c r="J285" s="7" t="n">
        <v>1000000</v>
      </c>
    </row>
    <row r="286">
      <c r="A286" s="7" t="n">
        <v>283</v>
      </c>
      <c r="B286" s="7" t="inlineStr">
        <is>
          <t>ENDW</t>
        </is>
      </c>
      <c r="C286" s="7" t="n">
        <v>1</v>
      </c>
      <c r="D286" s="7" t="n">
        <v>1</v>
      </c>
      <c r="E286" s="7" t="inlineStr">
        <is>
          <t>M</t>
        </is>
      </c>
      <c r="F286" s="7" t="n">
        <v>71</v>
      </c>
      <c r="G286" s="7" t="n">
        <v>12</v>
      </c>
      <c r="H286" s="7" t="n">
        <v>10</v>
      </c>
      <c r="I286" s="7" t="n">
        <v>1</v>
      </c>
      <c r="J286" s="7" t="n">
        <v>1000000</v>
      </c>
    </row>
    <row r="287">
      <c r="A287" s="7" t="n">
        <v>284</v>
      </c>
      <c r="B287" s="7" t="inlineStr">
        <is>
          <t>ENDW</t>
        </is>
      </c>
      <c r="C287" s="7" t="n">
        <v>1</v>
      </c>
      <c r="D287" s="7" t="n">
        <v>1</v>
      </c>
      <c r="E287" s="7" t="inlineStr">
        <is>
          <t>F</t>
        </is>
      </c>
      <c r="F287" s="7" t="n">
        <v>71</v>
      </c>
      <c r="G287" s="7" t="n">
        <v>12</v>
      </c>
      <c r="H287" s="7" t="n">
        <v>10</v>
      </c>
      <c r="I287" s="7" t="n">
        <v>1</v>
      </c>
      <c r="J287" s="7" t="n">
        <v>1000000</v>
      </c>
    </row>
    <row r="288">
      <c r="A288" s="7" t="n">
        <v>285</v>
      </c>
      <c r="B288" s="7" t="inlineStr">
        <is>
          <t>ENDW</t>
        </is>
      </c>
      <c r="C288" s="7" t="n">
        <v>1</v>
      </c>
      <c r="D288" s="7" t="n">
        <v>1</v>
      </c>
      <c r="E288" s="7" t="inlineStr">
        <is>
          <t>M</t>
        </is>
      </c>
      <c r="F288" s="7" t="n">
        <v>72</v>
      </c>
      <c r="G288" s="7" t="n">
        <v>12</v>
      </c>
      <c r="H288" s="7" t="n">
        <v>10</v>
      </c>
      <c r="I288" s="7" t="n">
        <v>1</v>
      </c>
      <c r="J288" s="7" t="n">
        <v>1000000</v>
      </c>
    </row>
    <row r="289">
      <c r="A289" s="7" t="n">
        <v>286</v>
      </c>
      <c r="B289" s="7" t="inlineStr">
        <is>
          <t>ENDW</t>
        </is>
      </c>
      <c r="C289" s="7" t="n">
        <v>1</v>
      </c>
      <c r="D289" s="7" t="n">
        <v>1</v>
      </c>
      <c r="E289" s="7" t="inlineStr">
        <is>
          <t>F</t>
        </is>
      </c>
      <c r="F289" s="7" t="n">
        <v>72</v>
      </c>
      <c r="G289" s="7" t="n">
        <v>12</v>
      </c>
      <c r="H289" s="7" t="n">
        <v>10</v>
      </c>
      <c r="I289" s="7" t="n">
        <v>1</v>
      </c>
      <c r="J289" s="7" t="n">
        <v>1000000</v>
      </c>
    </row>
    <row r="290">
      <c r="A290" s="7" t="n">
        <v>287</v>
      </c>
      <c r="B290" s="7" t="inlineStr">
        <is>
          <t>ENDW</t>
        </is>
      </c>
      <c r="C290" s="7" t="n">
        <v>1</v>
      </c>
      <c r="D290" s="7" t="n">
        <v>1</v>
      </c>
      <c r="E290" s="7" t="inlineStr">
        <is>
          <t>M</t>
        </is>
      </c>
      <c r="F290" s="7" t="n">
        <v>73</v>
      </c>
      <c r="G290" s="7" t="n">
        <v>12</v>
      </c>
      <c r="H290" s="7" t="n">
        <v>10</v>
      </c>
      <c r="I290" s="7" t="n">
        <v>1</v>
      </c>
      <c r="J290" s="7" t="n">
        <v>1000000</v>
      </c>
    </row>
    <row r="291">
      <c r="A291" s="7" t="n">
        <v>288</v>
      </c>
      <c r="B291" s="7" t="inlineStr">
        <is>
          <t>ENDW</t>
        </is>
      </c>
      <c r="C291" s="7" t="n">
        <v>1</v>
      </c>
      <c r="D291" s="7" t="n">
        <v>1</v>
      </c>
      <c r="E291" s="7" t="inlineStr">
        <is>
          <t>F</t>
        </is>
      </c>
      <c r="F291" s="7" t="n">
        <v>73</v>
      </c>
      <c r="G291" s="7" t="n">
        <v>12</v>
      </c>
      <c r="H291" s="7" t="n">
        <v>10</v>
      </c>
      <c r="I291" s="7" t="n">
        <v>1</v>
      </c>
      <c r="J291" s="7" t="n">
        <v>1000000</v>
      </c>
    </row>
    <row r="292">
      <c r="A292" s="7" t="n">
        <v>289</v>
      </c>
      <c r="B292" s="7" t="inlineStr">
        <is>
          <t>ENDW</t>
        </is>
      </c>
      <c r="C292" s="7" t="n">
        <v>1</v>
      </c>
      <c r="D292" s="7" t="n">
        <v>1</v>
      </c>
      <c r="E292" s="7" t="inlineStr">
        <is>
          <t>M</t>
        </is>
      </c>
      <c r="F292" s="7" t="n">
        <v>74</v>
      </c>
      <c r="G292" s="7" t="n">
        <v>12</v>
      </c>
      <c r="H292" s="7" t="n">
        <v>10</v>
      </c>
      <c r="I292" s="7" t="n">
        <v>1</v>
      </c>
      <c r="J292" s="7" t="n">
        <v>1000000</v>
      </c>
    </row>
    <row r="293">
      <c r="A293" s="7" t="n">
        <v>290</v>
      </c>
      <c r="B293" s="7" t="inlineStr">
        <is>
          <t>ENDW</t>
        </is>
      </c>
      <c r="C293" s="7" t="n">
        <v>1</v>
      </c>
      <c r="D293" s="7" t="n">
        <v>1</v>
      </c>
      <c r="E293" s="7" t="inlineStr">
        <is>
          <t>F</t>
        </is>
      </c>
      <c r="F293" s="7" t="n">
        <v>74</v>
      </c>
      <c r="G293" s="7" t="n">
        <v>12</v>
      </c>
      <c r="H293" s="7" t="n">
        <v>10</v>
      </c>
      <c r="I293" s="7" t="n">
        <v>1</v>
      </c>
      <c r="J293" s="7" t="n">
        <v>1000000</v>
      </c>
    </row>
    <row r="294">
      <c r="A294" s="7" t="n">
        <v>291</v>
      </c>
      <c r="B294" s="7" t="inlineStr">
        <is>
          <t>ENDW</t>
        </is>
      </c>
      <c r="C294" s="7" t="n">
        <v>1</v>
      </c>
      <c r="D294" s="7" t="n">
        <v>1</v>
      </c>
      <c r="E294" s="7" t="inlineStr">
        <is>
          <t>M</t>
        </is>
      </c>
      <c r="F294" s="7" t="n">
        <v>75</v>
      </c>
      <c r="G294" s="7" t="n">
        <v>12</v>
      </c>
      <c r="H294" s="7" t="n">
        <v>10</v>
      </c>
      <c r="I294" s="7" t="n">
        <v>1</v>
      </c>
      <c r="J294" s="7" t="n">
        <v>1000000</v>
      </c>
    </row>
    <row r="295">
      <c r="A295" s="7" t="n">
        <v>292</v>
      </c>
      <c r="B295" s="7" t="inlineStr">
        <is>
          <t>ENDW</t>
        </is>
      </c>
      <c r="C295" s="7" t="n">
        <v>1</v>
      </c>
      <c r="D295" s="7" t="n">
        <v>1</v>
      </c>
      <c r="E295" s="7" t="inlineStr">
        <is>
          <t>F</t>
        </is>
      </c>
      <c r="F295" s="7" t="n">
        <v>75</v>
      </c>
      <c r="G295" s="7" t="n">
        <v>12</v>
      </c>
      <c r="H295" s="7" t="n">
        <v>10</v>
      </c>
      <c r="I295" s="7" t="n">
        <v>1</v>
      </c>
      <c r="J295" s="7" t="n">
        <v>1000000</v>
      </c>
    </row>
    <row r="296">
      <c r="A296" s="7" t="n">
        <v>293</v>
      </c>
      <c r="B296" s="7" t="inlineStr">
        <is>
          <t>ENDW</t>
        </is>
      </c>
      <c r="C296" s="7" t="n">
        <v>1</v>
      </c>
      <c r="D296" s="7" t="n">
        <v>1</v>
      </c>
      <c r="E296" s="7" t="inlineStr">
        <is>
          <t>M</t>
        </is>
      </c>
      <c r="F296" s="7" t="n">
        <v>76</v>
      </c>
      <c r="G296" s="7" t="n">
        <v>12</v>
      </c>
      <c r="H296" s="7" t="n">
        <v>10</v>
      </c>
      <c r="I296" s="7" t="n">
        <v>1</v>
      </c>
      <c r="J296" s="7" t="n">
        <v>1000000</v>
      </c>
    </row>
    <row r="297">
      <c r="A297" s="7" t="n">
        <v>294</v>
      </c>
      <c r="B297" s="7" t="inlineStr">
        <is>
          <t>ENDW</t>
        </is>
      </c>
      <c r="C297" s="7" t="n">
        <v>1</v>
      </c>
      <c r="D297" s="7" t="n">
        <v>1</v>
      </c>
      <c r="E297" s="7" t="inlineStr">
        <is>
          <t>F</t>
        </is>
      </c>
      <c r="F297" s="7" t="n">
        <v>76</v>
      </c>
      <c r="G297" s="7" t="n">
        <v>12</v>
      </c>
      <c r="H297" s="7" t="n">
        <v>10</v>
      </c>
      <c r="I297" s="7" t="n">
        <v>1</v>
      </c>
      <c r="J297" s="7" t="n">
        <v>1000000</v>
      </c>
    </row>
    <row r="298">
      <c r="A298" s="7" t="n">
        <v>295</v>
      </c>
      <c r="B298" s="7" t="inlineStr">
        <is>
          <t>ENDW</t>
        </is>
      </c>
      <c r="C298" s="7" t="n">
        <v>1</v>
      </c>
      <c r="D298" s="7" t="n">
        <v>1</v>
      </c>
      <c r="E298" s="7" t="inlineStr">
        <is>
          <t>M</t>
        </is>
      </c>
      <c r="F298" s="7" t="n">
        <v>77</v>
      </c>
      <c r="G298" s="7" t="n">
        <v>12</v>
      </c>
      <c r="H298" s="7" t="n">
        <v>10</v>
      </c>
      <c r="I298" s="7" t="n">
        <v>1</v>
      </c>
      <c r="J298" s="7" t="n">
        <v>1000000</v>
      </c>
    </row>
    <row r="299">
      <c r="A299" s="7" t="n">
        <v>296</v>
      </c>
      <c r="B299" s="7" t="inlineStr">
        <is>
          <t>ENDW</t>
        </is>
      </c>
      <c r="C299" s="7" t="n">
        <v>1</v>
      </c>
      <c r="D299" s="7" t="n">
        <v>1</v>
      </c>
      <c r="E299" s="7" t="inlineStr">
        <is>
          <t>F</t>
        </is>
      </c>
      <c r="F299" s="7" t="n">
        <v>77</v>
      </c>
      <c r="G299" s="7" t="n">
        <v>12</v>
      </c>
      <c r="H299" s="7" t="n">
        <v>10</v>
      </c>
      <c r="I299" s="7" t="n">
        <v>1</v>
      </c>
      <c r="J299" s="7" t="n">
        <v>1000000</v>
      </c>
    </row>
    <row r="300">
      <c r="A300" s="7" t="n">
        <v>297</v>
      </c>
      <c r="B300" s="7" t="inlineStr">
        <is>
          <t>ENDW</t>
        </is>
      </c>
      <c r="C300" s="7" t="n">
        <v>1</v>
      </c>
      <c r="D300" s="7" t="n">
        <v>1</v>
      </c>
      <c r="E300" s="7" t="inlineStr">
        <is>
          <t>M</t>
        </is>
      </c>
      <c r="F300" s="7" t="n">
        <v>78</v>
      </c>
      <c r="G300" s="7" t="n">
        <v>12</v>
      </c>
      <c r="H300" s="7" t="n">
        <v>10</v>
      </c>
      <c r="I300" s="7" t="n">
        <v>1</v>
      </c>
      <c r="J300" s="7" t="n">
        <v>1000000</v>
      </c>
    </row>
    <row r="301">
      <c r="A301" s="7" t="n">
        <v>298</v>
      </c>
      <c r="B301" s="7" t="inlineStr">
        <is>
          <t>ENDW</t>
        </is>
      </c>
      <c r="C301" s="7" t="n">
        <v>1</v>
      </c>
      <c r="D301" s="7" t="n">
        <v>1</v>
      </c>
      <c r="E301" s="7" t="inlineStr">
        <is>
          <t>F</t>
        </is>
      </c>
      <c r="F301" s="7" t="n">
        <v>78</v>
      </c>
      <c r="G301" s="7" t="n">
        <v>12</v>
      </c>
      <c r="H301" s="7" t="n">
        <v>10</v>
      </c>
      <c r="I301" s="7" t="n">
        <v>1</v>
      </c>
      <c r="J301" s="7" t="n">
        <v>1000000</v>
      </c>
    </row>
    <row r="302">
      <c r="A302" s="7" t="n">
        <v>299</v>
      </c>
      <c r="B302" s="7" t="inlineStr">
        <is>
          <t>ENDW</t>
        </is>
      </c>
      <c r="C302" s="7" t="n">
        <v>1</v>
      </c>
      <c r="D302" s="7" t="n">
        <v>1</v>
      </c>
      <c r="E302" s="7" t="inlineStr">
        <is>
          <t>M</t>
        </is>
      </c>
      <c r="F302" s="7" t="n">
        <v>79</v>
      </c>
      <c r="G302" s="7" t="n">
        <v>12</v>
      </c>
      <c r="H302" s="7" t="n">
        <v>10</v>
      </c>
      <c r="I302" s="7" t="n">
        <v>1</v>
      </c>
      <c r="J302" s="7" t="n">
        <v>1000000</v>
      </c>
    </row>
    <row r="303">
      <c r="A303" s="7" t="n">
        <v>300</v>
      </c>
      <c r="B303" s="7" t="inlineStr">
        <is>
          <t>ENDW</t>
        </is>
      </c>
      <c r="C303" s="7" t="n">
        <v>1</v>
      </c>
      <c r="D303" s="7" t="n">
        <v>1</v>
      </c>
      <c r="E303" s="7" t="inlineStr">
        <is>
          <t>F</t>
        </is>
      </c>
      <c r="F303" s="7" t="n">
        <v>79</v>
      </c>
      <c r="G303" s="7" t="n">
        <v>12</v>
      </c>
      <c r="H303" s="7" t="n">
        <v>10</v>
      </c>
      <c r="I303" s="7" t="n">
        <v>1</v>
      </c>
      <c r="J303" s="7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M6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16" customWidth="1" min="13" max="13"/>
  </cols>
  <sheetData>
    <row r="1">
      <c r="A1" s="15" t="inlineStr">
        <is>
          <t>Assumption and product-spec lookup tables (rows with empty values omitted — modelx match() skips them). Lookup key = item|product|policy_type|generation; the Policy_Basis cascade tries masks from most to least specific.</t>
        </is>
      </c>
    </row>
    <row r="2">
      <c r="A2" s="10" t="inlineStr">
        <is>
          <t>item</t>
        </is>
      </c>
      <c r="B2" s="10" t="inlineStr">
        <is>
          <t>prod</t>
        </is>
      </c>
      <c r="C2" s="10" t="inlineStr">
        <is>
          <t>polt</t>
        </is>
      </c>
      <c r="D2" s="10" t="inlineStr">
        <is>
          <t>gen</t>
        </is>
      </c>
      <c r="E2" s="10" t="inlineStr">
        <is>
          <t>value</t>
        </is>
      </c>
      <c r="F2" s="10" t="inlineStr">
        <is>
          <t>lookup key</t>
        </is>
      </c>
      <c r="G2" s="5" t="inlineStr"/>
      <c r="H2" s="10" t="inlineStr">
        <is>
          <t>item</t>
        </is>
      </c>
      <c r="I2" s="10" t="inlineStr">
        <is>
          <t>prod</t>
        </is>
      </c>
      <c r="J2" s="10" t="inlineStr">
        <is>
          <t>polt</t>
        </is>
      </c>
      <c r="K2" s="10" t="inlineStr">
        <is>
          <t>gen</t>
        </is>
      </c>
      <c r="L2" s="10" t="inlineStr">
        <is>
          <t>value</t>
        </is>
      </c>
      <c r="M2" s="10" t="inlineStr">
        <is>
          <t>lookup key</t>
        </is>
      </c>
    </row>
    <row r="3">
      <c r="A3" s="14" t="inlineStr"/>
      <c r="B3" s="14" t="inlineStr"/>
      <c r="C3" s="14" t="inlineStr"/>
      <c r="D3" s="14" t="inlineStr"/>
      <c r="E3" s="14" t="inlineStr">
        <is>
          <t>Assumption</t>
        </is>
      </c>
      <c r="F3" s="14" t="inlineStr"/>
      <c r="H3" s="14" t="inlineStr"/>
      <c r="I3" s="14" t="inlineStr"/>
      <c r="J3" s="14" t="inlineStr"/>
      <c r="K3" s="14" t="inlineStr"/>
      <c r="L3" s="14" t="inlineStr">
        <is>
          <t>ProductSpec</t>
        </is>
      </c>
      <c r="M3" s="14" t="inlineStr"/>
    </row>
    <row r="4">
      <c r="A4" s="7" t="inlineStr">
        <is>
          <t>BaseMort</t>
        </is>
      </c>
      <c r="B4" s="7" t="inlineStr">
        <is>
          <t>TERM</t>
        </is>
      </c>
      <c r="C4" s="7" t="n">
        <v>1</v>
      </c>
      <c r="D4" s="7" t="n"/>
      <c r="E4" s="7" t="n">
        <v>3</v>
      </c>
      <c r="F4" s="8">
        <f>A4&amp;"|"&amp;B4&amp;"|"&amp;C4&amp;"|"&amp;D4</f>
        <v/>
      </c>
      <c r="H4" s="7" t="inlineStr">
        <is>
          <t>LoadAcqSAParam1</t>
        </is>
      </c>
      <c r="I4" s="7" t="inlineStr">
        <is>
          <t>TERM</t>
        </is>
      </c>
      <c r="J4" s="7" t="n"/>
      <c r="K4" s="7" t="n"/>
      <c r="L4" s="7" t="n">
        <v>0</v>
      </c>
      <c r="M4" s="8">
        <f>H4&amp;"|"&amp;I4&amp;"|"&amp;J4&amp;"|"&amp;K4</f>
        <v/>
      </c>
    </row>
    <row r="5">
      <c r="A5" s="7" t="inlineStr">
        <is>
          <t>BaseMort</t>
        </is>
      </c>
      <c r="B5" s="7" t="inlineStr">
        <is>
          <t>TERM</t>
        </is>
      </c>
      <c r="C5" s="7" t="n">
        <v>2</v>
      </c>
      <c r="D5" s="7" t="n"/>
      <c r="E5" s="7" t="n">
        <v>6</v>
      </c>
      <c r="F5" s="8">
        <f>A5&amp;"|"&amp;B5&amp;"|"&amp;C5&amp;"|"&amp;D5</f>
        <v/>
      </c>
      <c r="H5" s="7" t="inlineStr">
        <is>
          <t>LoadAcqSAParam1</t>
        </is>
      </c>
      <c r="I5" s="7" t="inlineStr">
        <is>
          <t>WL</t>
        </is>
      </c>
      <c r="J5" s="7" t="n"/>
      <c r="K5" s="7" t="n"/>
      <c r="L5" s="7" t="n">
        <v>0.02</v>
      </c>
      <c r="M5" s="8">
        <f>H5&amp;"|"&amp;I5&amp;"|"&amp;J5&amp;"|"&amp;K5</f>
        <v/>
      </c>
    </row>
    <row r="6">
      <c r="A6" s="7" t="inlineStr">
        <is>
          <t>BaseMort</t>
        </is>
      </c>
      <c r="B6" s="7" t="inlineStr">
        <is>
          <t>WL</t>
        </is>
      </c>
      <c r="C6" s="7" t="n">
        <v>1</v>
      </c>
      <c r="D6" s="7" t="n"/>
      <c r="E6" s="7" t="n">
        <v>3</v>
      </c>
      <c r="F6" s="8">
        <f>A6&amp;"|"&amp;B6&amp;"|"&amp;C6&amp;"|"&amp;D6</f>
        <v/>
      </c>
      <c r="H6" s="7" t="inlineStr">
        <is>
          <t>LoadAcqSAParam1</t>
        </is>
      </c>
      <c r="I6" s="7" t="inlineStr">
        <is>
          <t>ENDW</t>
        </is>
      </c>
      <c r="J6" s="7" t="n"/>
      <c r="K6" s="7" t="n"/>
      <c r="L6" s="7" t="n">
        <v>0.02</v>
      </c>
      <c r="M6" s="8">
        <f>H6&amp;"|"&amp;I6&amp;"|"&amp;J6&amp;"|"&amp;K6</f>
        <v/>
      </c>
    </row>
    <row r="7">
      <c r="A7" s="7" t="inlineStr">
        <is>
          <t>BaseMort</t>
        </is>
      </c>
      <c r="B7" s="7" t="inlineStr">
        <is>
          <t>WL</t>
        </is>
      </c>
      <c r="C7" s="7" t="n">
        <v>2</v>
      </c>
      <c r="D7" s="7" t="n"/>
      <c r="E7" s="7" t="n">
        <v>6</v>
      </c>
      <c r="F7" s="8">
        <f>A7&amp;"|"&amp;B7&amp;"|"&amp;C7&amp;"|"&amp;D7</f>
        <v/>
      </c>
      <c r="H7" s="7" t="inlineStr">
        <is>
          <t>LoadAcqSAParam2</t>
        </is>
      </c>
      <c r="I7" s="7" t="inlineStr">
        <is>
          <t>TERM</t>
        </is>
      </c>
      <c r="J7" s="7" t="n"/>
      <c r="K7" s="7" t="n"/>
      <c r="L7" s="7" t="n">
        <v>0</v>
      </c>
      <c r="M7" s="8">
        <f>H7&amp;"|"&amp;I7&amp;"|"&amp;J7&amp;"|"&amp;K7</f>
        <v/>
      </c>
    </row>
    <row r="8">
      <c r="A8" s="7" t="inlineStr">
        <is>
          <t>BaseMort</t>
        </is>
      </c>
      <c r="B8" s="7" t="inlineStr">
        <is>
          <t>ENDW</t>
        </is>
      </c>
      <c r="C8" s="7" t="n">
        <v>1</v>
      </c>
      <c r="D8" s="7" t="n"/>
      <c r="E8" s="7" t="n">
        <v>3</v>
      </c>
      <c r="F8" s="8">
        <f>A8&amp;"|"&amp;B8&amp;"|"&amp;C8&amp;"|"&amp;D8</f>
        <v/>
      </c>
      <c r="H8" s="7" t="inlineStr">
        <is>
          <t>LoadAcqSAParam2</t>
        </is>
      </c>
      <c r="I8" s="7" t="inlineStr">
        <is>
          <t>WL</t>
        </is>
      </c>
      <c r="J8" s="7" t="n"/>
      <c r="K8" s="7" t="n"/>
      <c r="L8" s="7" t="n">
        <v>0.01</v>
      </c>
      <c r="M8" s="8">
        <f>H8&amp;"|"&amp;I8&amp;"|"&amp;J8&amp;"|"&amp;K8</f>
        <v/>
      </c>
    </row>
    <row r="9">
      <c r="A9" s="7" t="inlineStr">
        <is>
          <t>BaseMort</t>
        </is>
      </c>
      <c r="B9" s="7" t="inlineStr">
        <is>
          <t>ENDW</t>
        </is>
      </c>
      <c r="C9" s="7" t="n">
        <v>2</v>
      </c>
      <c r="D9" s="7" t="n"/>
      <c r="E9" s="7" t="n">
        <v>3</v>
      </c>
      <c r="F9" s="8">
        <f>A9&amp;"|"&amp;B9&amp;"|"&amp;C9&amp;"|"&amp;D9</f>
        <v/>
      </c>
      <c r="H9" s="7" t="inlineStr">
        <is>
          <t>LoadAcqSAParam2</t>
        </is>
      </c>
      <c r="I9" s="7" t="inlineStr">
        <is>
          <t>ENDW</t>
        </is>
      </c>
      <c r="J9" s="7" t="n"/>
      <c r="K9" s="7" t="n"/>
      <c r="L9" s="7" t="n">
        <v>0.01</v>
      </c>
      <c r="M9" s="8">
        <f>H9&amp;"|"&amp;I9&amp;"|"&amp;J9&amp;"|"&amp;K9</f>
        <v/>
      </c>
    </row>
    <row r="10">
      <c r="A10" s="7" t="inlineStr">
        <is>
          <t>MortFactor</t>
        </is>
      </c>
      <c r="B10" s="7" t="inlineStr">
        <is>
          <t>TERM</t>
        </is>
      </c>
      <c r="C10" s="7" t="n"/>
      <c r="D10" s="7" t="n"/>
      <c r="E10" s="7" t="inlineStr">
        <is>
          <t>MortAsmp2</t>
        </is>
      </c>
      <c r="F10" s="8">
        <f>A10&amp;"|"&amp;B10&amp;"|"&amp;C10&amp;"|"&amp;D10</f>
        <v/>
      </c>
      <c r="H10" s="7" t="inlineStr">
        <is>
          <t>LoadMaintSA</t>
        </is>
      </c>
      <c r="I10" s="7" t="inlineStr">
        <is>
          <t>TERM</t>
        </is>
      </c>
      <c r="J10" s="7" t="n"/>
      <c r="K10" s="7" t="n"/>
      <c r="L10" s="7" t="n">
        <v>0.002</v>
      </c>
      <c r="M10" s="8">
        <f>H10&amp;"|"&amp;I10&amp;"|"&amp;J10&amp;"|"&amp;K10</f>
        <v/>
      </c>
    </row>
    <row r="11">
      <c r="A11" s="7" t="inlineStr">
        <is>
          <t>MortFactor</t>
        </is>
      </c>
      <c r="B11" s="7" t="inlineStr">
        <is>
          <t>WL</t>
        </is>
      </c>
      <c r="C11" s="7" t="n"/>
      <c r="D11" s="7" t="n"/>
      <c r="E11" s="7" t="inlineStr">
        <is>
          <t>MortAsmp2</t>
        </is>
      </c>
      <c r="F11" s="8">
        <f>A11&amp;"|"&amp;B11&amp;"|"&amp;C11&amp;"|"&amp;D11</f>
        <v/>
      </c>
      <c r="H11" s="7" t="inlineStr">
        <is>
          <t>LoadMaintSA</t>
        </is>
      </c>
      <c r="I11" s="7" t="inlineStr">
        <is>
          <t>TERM</t>
        </is>
      </c>
      <c r="J11" s="7" t="n"/>
      <c r="K11" s="7" t="n">
        <v>1</v>
      </c>
      <c r="L11" s="7" t="n">
        <v>0.002</v>
      </c>
      <c r="M11" s="8">
        <f>H11&amp;"|"&amp;I11&amp;"|"&amp;J11&amp;"|"&amp;K11</f>
        <v/>
      </c>
    </row>
    <row r="12">
      <c r="A12" s="7" t="inlineStr">
        <is>
          <t>MortFactor</t>
        </is>
      </c>
      <c r="B12" s="7" t="inlineStr">
        <is>
          <t>ENDW</t>
        </is>
      </c>
      <c r="C12" s="7" t="n"/>
      <c r="D12" s="7" t="n"/>
      <c r="E12" s="7" t="inlineStr">
        <is>
          <t>MortAsmp2</t>
        </is>
      </c>
      <c r="F12" s="8">
        <f>A12&amp;"|"&amp;B12&amp;"|"&amp;C12&amp;"|"&amp;D12</f>
        <v/>
      </c>
      <c r="H12" s="7" t="inlineStr">
        <is>
          <t>LoadMaintSA</t>
        </is>
      </c>
      <c r="I12" s="7" t="inlineStr">
        <is>
          <t>TERM</t>
        </is>
      </c>
      <c r="J12" s="7" t="n"/>
      <c r="K12" s="7" t="n">
        <v>2</v>
      </c>
      <c r="L12" s="7" t="n">
        <v>0.002</v>
      </c>
      <c r="M12" s="8">
        <f>H12&amp;"|"&amp;I12&amp;"|"&amp;J12&amp;"|"&amp;K12</f>
        <v/>
      </c>
    </row>
    <row r="13">
      <c r="A13" s="7" t="inlineStr">
        <is>
          <t>Surrender</t>
        </is>
      </c>
      <c r="B13" s="7" t="inlineStr">
        <is>
          <t>TERM</t>
        </is>
      </c>
      <c r="C13" s="7" t="n"/>
      <c r="D13" s="7" t="n"/>
      <c r="E13" s="7" t="inlineStr">
        <is>
          <t>LapseRate1</t>
        </is>
      </c>
      <c r="F13" s="8">
        <f>A13&amp;"|"&amp;B13&amp;"|"&amp;C13&amp;"|"&amp;D13</f>
        <v/>
      </c>
      <c r="H13" s="7" t="inlineStr">
        <is>
          <t>LoadMaintSA</t>
        </is>
      </c>
      <c r="I13" s="7" t="inlineStr">
        <is>
          <t>WL</t>
        </is>
      </c>
      <c r="J13" s="7" t="n"/>
      <c r="K13" s="7" t="n">
        <v>1</v>
      </c>
      <c r="L13" s="7" t="n">
        <v>0.002</v>
      </c>
      <c r="M13" s="8">
        <f>H13&amp;"|"&amp;I13&amp;"|"&amp;J13&amp;"|"&amp;K13</f>
        <v/>
      </c>
    </row>
    <row r="14">
      <c r="A14" s="7" t="inlineStr">
        <is>
          <t>Surrender</t>
        </is>
      </c>
      <c r="B14" s="7" t="inlineStr">
        <is>
          <t>WL</t>
        </is>
      </c>
      <c r="C14" s="7" t="n"/>
      <c r="D14" s="7" t="n"/>
      <c r="E14" s="7" t="inlineStr">
        <is>
          <t>LapseRate1</t>
        </is>
      </c>
      <c r="F14" s="8">
        <f>A14&amp;"|"&amp;B14&amp;"|"&amp;C14&amp;"|"&amp;D14</f>
        <v/>
      </c>
      <c r="H14" s="7" t="inlineStr">
        <is>
          <t>LoadMaintSA</t>
        </is>
      </c>
      <c r="I14" s="7" t="inlineStr">
        <is>
          <t>ENDW</t>
        </is>
      </c>
      <c r="J14" s="7" t="n"/>
      <c r="K14" s="7" t="n"/>
      <c r="L14" s="7" t="n">
        <v>0.002</v>
      </c>
      <c r="M14" s="8">
        <f>H14&amp;"|"&amp;I14&amp;"|"&amp;J14&amp;"|"&amp;K14</f>
        <v/>
      </c>
    </row>
    <row r="15">
      <c r="A15" s="7" t="inlineStr">
        <is>
          <t>Surrender</t>
        </is>
      </c>
      <c r="B15" s="7" t="inlineStr">
        <is>
          <t>ENDW</t>
        </is>
      </c>
      <c r="C15" s="7" t="n"/>
      <c r="D15" s="7" t="n"/>
      <c r="E15" s="7" t="inlineStr">
        <is>
          <t>LapseRate1</t>
        </is>
      </c>
      <c r="F15" s="8">
        <f>A15&amp;"|"&amp;B15&amp;"|"&amp;C15&amp;"|"&amp;D15</f>
        <v/>
      </c>
      <c r="H15" s="7" t="inlineStr">
        <is>
          <t>LoadMaintSA</t>
        </is>
      </c>
      <c r="I15" s="7" t="inlineStr">
        <is>
          <t>ENDW</t>
        </is>
      </c>
      <c r="J15" s="7" t="n">
        <v>1</v>
      </c>
      <c r="K15" s="7" t="n"/>
      <c r="L15" s="7" t="n">
        <v>0.4</v>
      </c>
      <c r="M15" s="8">
        <f>H15&amp;"|"&amp;I15&amp;"|"&amp;J15&amp;"|"&amp;K15</f>
        <v/>
      </c>
    </row>
    <row r="16">
      <c r="A16" s="7" t="inlineStr">
        <is>
          <t>Renewal</t>
        </is>
      </c>
      <c r="B16" s="7" t="inlineStr">
        <is>
          <t>TERM</t>
        </is>
      </c>
      <c r="C16" s="7" t="n"/>
      <c r="D16" s="7" t="n"/>
      <c r="E16" s="7" t="n">
        <v>0.6</v>
      </c>
      <c r="F16" s="8">
        <f>A16&amp;"|"&amp;B16&amp;"|"&amp;C16&amp;"|"&amp;D16</f>
        <v/>
      </c>
      <c r="H16" s="7" t="inlineStr">
        <is>
          <t>LoadMaintSA</t>
        </is>
      </c>
      <c r="I16" s="7" t="inlineStr">
        <is>
          <t>ENDW</t>
        </is>
      </c>
      <c r="J16" s="7" t="n">
        <v>2</v>
      </c>
      <c r="K16" s="7" t="n"/>
      <c r="L16" s="7" t="n">
        <v>0.5</v>
      </c>
      <c r="M16" s="8">
        <f>H16&amp;"|"&amp;I16&amp;"|"&amp;J16&amp;"|"&amp;K16</f>
        <v/>
      </c>
    </row>
    <row r="17">
      <c r="A17" s="7" t="inlineStr">
        <is>
          <t>InvstRet</t>
        </is>
      </c>
      <c r="B17" s="7" t="inlineStr">
        <is>
          <t>TERM</t>
        </is>
      </c>
      <c r="C17" s="7" t="n"/>
      <c r="D17" s="7" t="n"/>
      <c r="E17" s="7" t="n">
        <v>0.005</v>
      </c>
      <c r="F17" s="8">
        <f>A17&amp;"|"&amp;B17&amp;"|"&amp;C17&amp;"|"&amp;D17</f>
        <v/>
      </c>
      <c r="H17" s="7" t="inlineStr">
        <is>
          <t>LoadMaintSA</t>
        </is>
      </c>
      <c r="I17" s="7" t="inlineStr">
        <is>
          <t>ENDW</t>
        </is>
      </c>
      <c r="J17" s="7" t="n">
        <v>3</v>
      </c>
      <c r="K17" s="7" t="n"/>
      <c r="L17" s="7" t="n">
        <v>0.6</v>
      </c>
      <c r="M17" s="8">
        <f>H17&amp;"|"&amp;I17&amp;"|"&amp;J17&amp;"|"&amp;K17</f>
        <v/>
      </c>
    </row>
    <row r="18">
      <c r="A18" s="7" t="inlineStr">
        <is>
          <t>InvstRet</t>
        </is>
      </c>
      <c r="B18" s="7" t="inlineStr">
        <is>
          <t>WL</t>
        </is>
      </c>
      <c r="C18" s="7" t="n"/>
      <c r="D18" s="7" t="n"/>
      <c r="E18" s="7" t="n">
        <v>0.005</v>
      </c>
      <c r="F18" s="8">
        <f>A18&amp;"|"&amp;B18&amp;"|"&amp;C18&amp;"|"&amp;D18</f>
        <v/>
      </c>
      <c r="H18" s="7" t="inlineStr">
        <is>
          <t>LoadMaintSA</t>
        </is>
      </c>
      <c r="I18" s="7" t="inlineStr">
        <is>
          <t>ENDW</t>
        </is>
      </c>
      <c r="J18" s="7" t="n">
        <v>4</v>
      </c>
      <c r="K18" s="7" t="n"/>
      <c r="L18" s="7" t="n">
        <v>0.6</v>
      </c>
      <c r="M18" s="8">
        <f>H18&amp;"|"&amp;I18&amp;"|"&amp;J18&amp;"|"&amp;K18</f>
        <v/>
      </c>
    </row>
    <row r="19">
      <c r="A19" s="7" t="inlineStr">
        <is>
          <t>InvstRet</t>
        </is>
      </c>
      <c r="B19" s="7" t="inlineStr">
        <is>
          <t>ENDW</t>
        </is>
      </c>
      <c r="C19" s="7" t="n"/>
      <c r="D19" s="7" t="n"/>
      <c r="E19" s="7" t="n">
        <v>0.005</v>
      </c>
      <c r="F19" s="8">
        <f>A19&amp;"|"&amp;B19&amp;"|"&amp;C19&amp;"|"&amp;D19</f>
        <v/>
      </c>
      <c r="H19" s="7" t="inlineStr">
        <is>
          <t>LoadMaintSA2</t>
        </is>
      </c>
      <c r="I19" s="7" t="n"/>
      <c r="J19" s="7" t="n"/>
      <c r="K19" s="7" t="n"/>
      <c r="L19" s="7" t="n">
        <v>0.001</v>
      </c>
      <c r="M19" s="8">
        <f>H19&amp;"|"&amp;I19&amp;"|"&amp;J19&amp;"|"&amp;K19</f>
        <v/>
      </c>
    </row>
    <row r="20">
      <c r="A20" s="7" t="inlineStr">
        <is>
          <t>CommInitPrem</t>
        </is>
      </c>
      <c r="B20" s="7" t="inlineStr">
        <is>
          <t>TERM</t>
        </is>
      </c>
      <c r="C20" s="7" t="n"/>
      <c r="D20" s="7" t="n"/>
      <c r="E20" s="7" t="n">
        <v>0.2</v>
      </c>
      <c r="F20" s="8">
        <f>A20&amp;"|"&amp;B20&amp;"|"&amp;C20&amp;"|"&amp;D20</f>
        <v/>
      </c>
      <c r="H20" s="7" t="inlineStr">
        <is>
          <t>LoadMaintSA2</t>
        </is>
      </c>
      <c r="I20" s="7" t="inlineStr">
        <is>
          <t>TERM</t>
        </is>
      </c>
      <c r="J20" s="7" t="n">
        <v>1</v>
      </c>
      <c r="K20" s="7" t="n"/>
      <c r="L20" s="7" t="n">
        <v>0</v>
      </c>
      <c r="M20" s="8">
        <f>H20&amp;"|"&amp;I20&amp;"|"&amp;J20&amp;"|"&amp;K20</f>
        <v/>
      </c>
    </row>
    <row r="21">
      <c r="A21" s="7" t="inlineStr">
        <is>
          <t>CommInitPrem</t>
        </is>
      </c>
      <c r="B21" s="7" t="inlineStr">
        <is>
          <t>WL</t>
        </is>
      </c>
      <c r="C21" s="7" t="n"/>
      <c r="D21" s="7" t="n"/>
      <c r="E21" s="7" t="n">
        <v>0.5</v>
      </c>
      <c r="F21" s="8">
        <f>A21&amp;"|"&amp;B21&amp;"|"&amp;C21&amp;"|"&amp;D21</f>
        <v/>
      </c>
      <c r="H21" s="7" t="inlineStr">
        <is>
          <t>LoadMaintSA2</t>
        </is>
      </c>
      <c r="I21" s="7" t="inlineStr">
        <is>
          <t>TERM</t>
        </is>
      </c>
      <c r="J21" s="7" t="n">
        <v>2</v>
      </c>
      <c r="K21" s="7" t="n"/>
      <c r="L21" s="7" t="n">
        <v>0</v>
      </c>
      <c r="M21" s="8">
        <f>H21&amp;"|"&amp;I21&amp;"|"&amp;J21&amp;"|"&amp;K21</f>
        <v/>
      </c>
    </row>
    <row r="22">
      <c r="A22" s="7" t="inlineStr">
        <is>
          <t>CommInitPrem</t>
        </is>
      </c>
      <c r="B22" s="7" t="inlineStr">
        <is>
          <t>ENDW</t>
        </is>
      </c>
      <c r="C22" s="7" t="n"/>
      <c r="D22" s="7" t="n"/>
      <c r="E22" s="7" t="n">
        <v>0.5</v>
      </c>
      <c r="F22" s="8">
        <f>A22&amp;"|"&amp;B22&amp;"|"&amp;C22&amp;"|"&amp;D22</f>
        <v/>
      </c>
      <c r="H22" s="7" t="inlineStr">
        <is>
          <t>LoadMaintSA2</t>
        </is>
      </c>
      <c r="I22" s="7" t="inlineStr">
        <is>
          <t>WL</t>
        </is>
      </c>
      <c r="J22" s="7" t="n"/>
      <c r="K22" s="7" t="n"/>
      <c r="L22" s="7" t="n">
        <v>0.002</v>
      </c>
      <c r="M22" s="8">
        <f>H22&amp;"|"&amp;I22&amp;"|"&amp;J22&amp;"|"&amp;K22</f>
        <v/>
      </c>
    </row>
    <row r="23">
      <c r="A23" s="7" t="inlineStr">
        <is>
          <t>CommRenPrem</t>
        </is>
      </c>
      <c r="B23" s="7" t="inlineStr">
        <is>
          <t>TERM</t>
        </is>
      </c>
      <c r="C23" s="7" t="n"/>
      <c r="D23" s="7" t="n"/>
      <c r="E23" s="7" t="n">
        <v>0.05</v>
      </c>
      <c r="F23" s="8">
        <f>A23&amp;"|"&amp;B23&amp;"|"&amp;C23&amp;"|"&amp;D23</f>
        <v/>
      </c>
      <c r="H23" s="7" t="inlineStr">
        <is>
          <t>LoadMaintSA2</t>
        </is>
      </c>
      <c r="I23" s="7" t="inlineStr">
        <is>
          <t>ENDW</t>
        </is>
      </c>
      <c r="J23" s="7" t="n"/>
      <c r="K23" s="7" t="n"/>
      <c r="L23" s="7" t="n">
        <v>0.002</v>
      </c>
      <c r="M23" s="8">
        <f>H23&amp;"|"&amp;I23&amp;"|"&amp;J23&amp;"|"&amp;K23</f>
        <v/>
      </c>
    </row>
    <row r="24">
      <c r="A24" s="7" t="inlineStr">
        <is>
          <t>CommRenPrem</t>
        </is>
      </c>
      <c r="B24" s="7" t="inlineStr">
        <is>
          <t>WL</t>
        </is>
      </c>
      <c r="C24" s="7" t="n"/>
      <c r="D24" s="7" t="n"/>
      <c r="E24" s="7" t="n">
        <v>0.05</v>
      </c>
      <c r="F24" s="8">
        <f>A24&amp;"|"&amp;B24&amp;"|"&amp;C24&amp;"|"&amp;D24</f>
        <v/>
      </c>
      <c r="H24" s="7" t="inlineStr">
        <is>
          <t>LoadMaintSA2</t>
        </is>
      </c>
      <c r="I24" s="7" t="inlineStr">
        <is>
          <t>ENDW</t>
        </is>
      </c>
      <c r="J24" s="7" t="n">
        <v>1</v>
      </c>
      <c r="K24" s="7" t="n"/>
      <c r="L24" s="7" t="n">
        <v>0.3</v>
      </c>
      <c r="M24" s="8">
        <f>H24&amp;"|"&amp;I24&amp;"|"&amp;J24&amp;"|"&amp;K24</f>
        <v/>
      </c>
    </row>
    <row r="25">
      <c r="A25" s="7" t="inlineStr">
        <is>
          <t>CommRenPrem</t>
        </is>
      </c>
      <c r="B25" s="7" t="inlineStr">
        <is>
          <t>ENDW</t>
        </is>
      </c>
      <c r="C25" s="7" t="n"/>
      <c r="D25" s="7" t="n"/>
      <c r="E25" s="7" t="n">
        <v>0.05</v>
      </c>
      <c r="F25" s="8">
        <f>A25&amp;"|"&amp;B25&amp;"|"&amp;C25&amp;"|"&amp;D25</f>
        <v/>
      </c>
      <c r="H25" s="7" t="inlineStr">
        <is>
          <t>LoadMaintSA2</t>
        </is>
      </c>
      <c r="I25" s="7" t="inlineStr">
        <is>
          <t>ENDW</t>
        </is>
      </c>
      <c r="J25" s="7" t="n">
        <v>2</v>
      </c>
      <c r="K25" s="7" t="n"/>
      <c r="L25" s="7" t="n">
        <v>0.4</v>
      </c>
      <c r="M25" s="8">
        <f>H25&amp;"|"&amp;I25&amp;"|"&amp;J25&amp;"|"&amp;K25</f>
        <v/>
      </c>
    </row>
    <row r="26">
      <c r="A26" s="7" t="inlineStr">
        <is>
          <t>CommRenTerm</t>
        </is>
      </c>
      <c r="B26" s="7" t="inlineStr">
        <is>
          <t>TERM</t>
        </is>
      </c>
      <c r="C26" s="7" t="n"/>
      <c r="D26" s="7" t="n"/>
      <c r="E26" s="7" t="n">
        <v>5</v>
      </c>
      <c r="F26" s="8">
        <f>A26&amp;"|"&amp;B26&amp;"|"&amp;C26&amp;"|"&amp;D26</f>
        <v/>
      </c>
      <c r="H26" s="7" t="inlineStr">
        <is>
          <t>LoadMaintSA2</t>
        </is>
      </c>
      <c r="I26" s="7" t="inlineStr">
        <is>
          <t>ENDW</t>
        </is>
      </c>
      <c r="J26" s="7" t="n">
        <v>3</v>
      </c>
      <c r="K26" s="7" t="n"/>
      <c r="L26" s="7" t="n">
        <v>0.5</v>
      </c>
      <c r="M26" s="8">
        <f>H26&amp;"|"&amp;I26&amp;"|"&amp;J26&amp;"|"&amp;K26</f>
        <v/>
      </c>
    </row>
    <row r="27">
      <c r="A27" s="7" t="inlineStr">
        <is>
          <t>CommRenTerm</t>
        </is>
      </c>
      <c r="B27" s="7" t="inlineStr">
        <is>
          <t>WL</t>
        </is>
      </c>
      <c r="C27" s="7" t="n"/>
      <c r="D27" s="7" t="n"/>
      <c r="E27" s="7" t="n">
        <v>5</v>
      </c>
      <c r="F27" s="8">
        <f>A27&amp;"|"&amp;B27&amp;"|"&amp;C27&amp;"|"&amp;D27</f>
        <v/>
      </c>
      <c r="H27" s="7" t="inlineStr">
        <is>
          <t>LoadMaintSA2</t>
        </is>
      </c>
      <c r="I27" s="7" t="inlineStr">
        <is>
          <t>ENDW</t>
        </is>
      </c>
      <c r="J27" s="7" t="n">
        <v>4</v>
      </c>
      <c r="K27" s="7" t="n"/>
      <c r="L27" s="7" t="n">
        <v>0.6</v>
      </c>
      <c r="M27" s="8">
        <f>H27&amp;"|"&amp;I27&amp;"|"&amp;J27&amp;"|"&amp;K27</f>
        <v/>
      </c>
    </row>
    <row r="28">
      <c r="A28" s="7" t="inlineStr">
        <is>
          <t>CommRenTerm</t>
        </is>
      </c>
      <c r="B28" s="7" t="inlineStr">
        <is>
          <t>ENDW</t>
        </is>
      </c>
      <c r="C28" s="7" t="n"/>
      <c r="D28" s="7" t="n"/>
      <c r="E28" s="7" t="n">
        <v>5</v>
      </c>
      <c r="F28" s="8">
        <f>A28&amp;"|"&amp;B28&amp;"|"&amp;C28&amp;"|"&amp;D28</f>
        <v/>
      </c>
      <c r="H28" s="7" t="inlineStr">
        <is>
          <t>LoadMaintPremParam1</t>
        </is>
      </c>
      <c r="I28" s="7" t="inlineStr">
        <is>
          <t>TERM</t>
        </is>
      </c>
      <c r="J28" s="7" t="n"/>
      <c r="K28" s="7" t="n"/>
      <c r="L28" s="7" t="n">
        <v>0.1</v>
      </c>
      <c r="M28" s="8">
        <f>H28&amp;"|"&amp;I28&amp;"|"&amp;J28&amp;"|"&amp;K28</f>
        <v/>
      </c>
    </row>
    <row r="29">
      <c r="A29" s="7" t="inlineStr">
        <is>
          <t>ExpsAcqSA</t>
        </is>
      </c>
      <c r="B29" s="7" t="inlineStr">
        <is>
          <t>TERM</t>
        </is>
      </c>
      <c r="C29" s="7" t="n"/>
      <c r="D29" s="7" t="n"/>
      <c r="E29" s="7" t="n">
        <v>0.003</v>
      </c>
      <c r="F29" s="8">
        <f>A29&amp;"|"&amp;B29&amp;"|"&amp;C29&amp;"|"&amp;D29</f>
        <v/>
      </c>
      <c r="H29" s="7" t="inlineStr">
        <is>
          <t>LoadMaintPremParam1</t>
        </is>
      </c>
      <c r="I29" s="7" t="inlineStr">
        <is>
          <t>WL</t>
        </is>
      </c>
      <c r="J29" s="7" t="n"/>
      <c r="K29" s="7" t="n"/>
      <c r="L29" s="7" t="n">
        <v>0.03</v>
      </c>
      <c r="M29" s="8">
        <f>H29&amp;"|"&amp;I29&amp;"|"&amp;J29&amp;"|"&amp;K29</f>
        <v/>
      </c>
    </row>
    <row r="30">
      <c r="A30" s="7" t="inlineStr">
        <is>
          <t>ExpsAcqSA</t>
        </is>
      </c>
      <c r="B30" s="7" t="inlineStr">
        <is>
          <t>WL</t>
        </is>
      </c>
      <c r="C30" s="7" t="n"/>
      <c r="D30" s="7" t="n"/>
      <c r="E30" s="7" t="n">
        <v>0</v>
      </c>
      <c r="F30" s="8">
        <f>A30&amp;"|"&amp;B30&amp;"|"&amp;C30&amp;"|"&amp;D30</f>
        <v/>
      </c>
      <c r="H30" s="7" t="inlineStr">
        <is>
          <t>LoadMaintPremParam1</t>
        </is>
      </c>
      <c r="I30" s="7" t="inlineStr">
        <is>
          <t>ENDW</t>
        </is>
      </c>
      <c r="J30" s="7" t="n"/>
      <c r="K30" s="7" t="n"/>
      <c r="L30" s="7" t="n">
        <v>0.03</v>
      </c>
      <c r="M30" s="8">
        <f>H30&amp;"|"&amp;I30&amp;"|"&amp;J30&amp;"|"&amp;K30</f>
        <v/>
      </c>
    </row>
    <row r="31">
      <c r="A31" s="7" t="inlineStr">
        <is>
          <t>ExpsAcqSA</t>
        </is>
      </c>
      <c r="B31" s="7" t="inlineStr">
        <is>
          <t>ENDW</t>
        </is>
      </c>
      <c r="C31" s="7" t="n"/>
      <c r="D31" s="7" t="n"/>
      <c r="E31" s="7" t="n">
        <v>0</v>
      </c>
      <c r="F31" s="8">
        <f>A31&amp;"|"&amp;B31&amp;"|"&amp;C31&amp;"|"&amp;D31</f>
        <v/>
      </c>
      <c r="H31" s="7" t="inlineStr">
        <is>
          <t>LoadMaintPremParam2</t>
        </is>
      </c>
      <c r="I31" s="7" t="n"/>
      <c r="J31" s="7" t="n"/>
      <c r="K31" s="7" t="n"/>
      <c r="L31" s="7" t="n">
        <v>10</v>
      </c>
      <c r="M31" s="8">
        <f>H31&amp;"|"&amp;I31&amp;"|"&amp;J31&amp;"|"&amp;K31</f>
        <v/>
      </c>
    </row>
    <row r="32">
      <c r="A32" s="7" t="inlineStr">
        <is>
          <t>ExpsAcqAnnPrem</t>
        </is>
      </c>
      <c r="B32" s="7" t="inlineStr">
        <is>
          <t>TERM</t>
        </is>
      </c>
      <c r="C32" s="7" t="n"/>
      <c r="D32" s="7" t="n"/>
      <c r="E32" s="7" t="n">
        <v>0.1</v>
      </c>
      <c r="F32" s="8">
        <f>A32&amp;"|"&amp;B32&amp;"|"&amp;C32&amp;"|"&amp;D32</f>
        <v/>
      </c>
      <c r="H32" s="7" t="inlineStr">
        <is>
          <t>SurrChargeParam1</t>
        </is>
      </c>
      <c r="I32" s="7" t="inlineStr">
        <is>
          <t>TERM</t>
        </is>
      </c>
      <c r="J32" s="7" t="n"/>
      <c r="K32" s="7" t="n"/>
      <c r="L32" s="7" t="n">
        <v>0</v>
      </c>
      <c r="M32" s="8">
        <f>H32&amp;"|"&amp;I32&amp;"|"&amp;J32&amp;"|"&amp;K32</f>
        <v/>
      </c>
    </row>
    <row r="33">
      <c r="A33" s="7" t="inlineStr">
        <is>
          <t>ExpsAcqAnnPrem</t>
        </is>
      </c>
      <c r="B33" s="7" t="inlineStr">
        <is>
          <t>WL</t>
        </is>
      </c>
      <c r="C33" s="7" t="n"/>
      <c r="D33" s="7" t="n"/>
      <c r="E33" s="7" t="n">
        <v>0.1</v>
      </c>
      <c r="F33" s="8">
        <f>A33&amp;"|"&amp;B33&amp;"|"&amp;C33&amp;"|"&amp;D33</f>
        <v/>
      </c>
      <c r="H33" s="7" t="inlineStr">
        <is>
          <t>SurrChargeParam1</t>
        </is>
      </c>
      <c r="I33" s="7" t="inlineStr">
        <is>
          <t>WL</t>
        </is>
      </c>
      <c r="J33" s="7" t="n"/>
      <c r="K33" s="7" t="n"/>
      <c r="L33" s="7" t="n">
        <v>0.01</v>
      </c>
      <c r="M33" s="8">
        <f>H33&amp;"|"&amp;I33&amp;"|"&amp;J33&amp;"|"&amp;K33</f>
        <v/>
      </c>
    </row>
    <row r="34">
      <c r="A34" s="7" t="inlineStr">
        <is>
          <t>ExpsAcqAnnPrem</t>
        </is>
      </c>
      <c r="B34" s="7" t="inlineStr">
        <is>
          <t>ENDW</t>
        </is>
      </c>
      <c r="C34" s="7" t="n"/>
      <c r="D34" s="7" t="n"/>
      <c r="E34" s="7" t="n">
        <v>0.1</v>
      </c>
      <c r="F34" s="8">
        <f>A34&amp;"|"&amp;B34&amp;"|"&amp;C34&amp;"|"&amp;D34</f>
        <v/>
      </c>
      <c r="H34" s="7" t="inlineStr">
        <is>
          <t>SurrChargeParam1</t>
        </is>
      </c>
      <c r="I34" s="7" t="inlineStr">
        <is>
          <t>ENDW</t>
        </is>
      </c>
      <c r="J34" s="7" t="n"/>
      <c r="K34" s="7" t="n"/>
      <c r="L34" s="7" t="n">
        <v>0.005</v>
      </c>
      <c r="M34" s="8">
        <f>H34&amp;"|"&amp;I34&amp;"|"&amp;J34&amp;"|"&amp;K34</f>
        <v/>
      </c>
    </row>
    <row r="35">
      <c r="A35" s="7" t="inlineStr">
        <is>
          <t>ExpsAcqPol</t>
        </is>
      </c>
      <c r="B35" s="7" t="inlineStr">
        <is>
          <t>TERM</t>
        </is>
      </c>
      <c r="C35" s="7" t="n"/>
      <c r="D35" s="7" t="n"/>
      <c r="E35" s="7" t="n">
        <v>0</v>
      </c>
      <c r="F35" s="8">
        <f>A35&amp;"|"&amp;B35&amp;"|"&amp;C35&amp;"|"&amp;D35</f>
        <v/>
      </c>
      <c r="H35" s="7" t="inlineStr">
        <is>
          <t>SurrChargeParam2</t>
        </is>
      </c>
      <c r="I35" s="7" t="inlineStr">
        <is>
          <t>TERM</t>
        </is>
      </c>
      <c r="J35" s="7" t="n"/>
      <c r="K35" s="7" t="n"/>
      <c r="L35" s="7" t="n">
        <v>0</v>
      </c>
      <c r="M35" s="8">
        <f>H35&amp;"|"&amp;I35&amp;"|"&amp;J35&amp;"|"&amp;K35</f>
        <v/>
      </c>
    </row>
    <row r="36">
      <c r="A36" s="7" t="inlineStr">
        <is>
          <t>ExpsAcqPol</t>
        </is>
      </c>
      <c r="B36" s="7" t="inlineStr">
        <is>
          <t>WL</t>
        </is>
      </c>
      <c r="C36" s="7" t="n"/>
      <c r="D36" s="7" t="n"/>
      <c r="E36" s="7" t="n">
        <v>10000</v>
      </c>
      <c r="F36" s="8">
        <f>A36&amp;"|"&amp;B36&amp;"|"&amp;C36&amp;"|"&amp;D36</f>
        <v/>
      </c>
      <c r="H36" s="7" t="inlineStr">
        <is>
          <t>SurrChargeParam2</t>
        </is>
      </c>
      <c r="I36" s="7" t="inlineStr">
        <is>
          <t>WL</t>
        </is>
      </c>
      <c r="J36" s="7" t="n"/>
      <c r="K36" s="7" t="n"/>
      <c r="L36" s="7" t="n">
        <v>0.005</v>
      </c>
      <c r="M36" s="8">
        <f>H36&amp;"|"&amp;I36&amp;"|"&amp;J36&amp;"|"&amp;K36</f>
        <v/>
      </c>
    </row>
    <row r="37">
      <c r="A37" s="7" t="inlineStr">
        <is>
          <t>ExpsAcqPol</t>
        </is>
      </c>
      <c r="B37" s="7" t="inlineStr">
        <is>
          <t>ENDW</t>
        </is>
      </c>
      <c r="C37" s="7" t="n"/>
      <c r="D37" s="7" t="n"/>
      <c r="E37" s="7" t="n">
        <v>10000</v>
      </c>
      <c r="F37" s="8">
        <f>A37&amp;"|"&amp;B37&amp;"|"&amp;C37&amp;"|"&amp;D37</f>
        <v/>
      </c>
      <c r="H37" s="7" t="inlineStr">
        <is>
          <t>SurrChargeParam2</t>
        </is>
      </c>
      <c r="I37" s="7" t="inlineStr">
        <is>
          <t>ENDW</t>
        </is>
      </c>
      <c r="J37" s="7" t="n"/>
      <c r="K37" s="7" t="n"/>
      <c r="L37" s="7" t="n">
        <v>0.01</v>
      </c>
      <c r="M37" s="8">
        <f>H37&amp;"|"&amp;I37&amp;"|"&amp;J37&amp;"|"&amp;K37</f>
        <v/>
      </c>
    </row>
    <row r="38">
      <c r="A38" s="7" t="inlineStr">
        <is>
          <t>ExpsMaintSA</t>
        </is>
      </c>
      <c r="B38" s="7" t="n"/>
      <c r="C38" s="7" t="n"/>
      <c r="D38" s="7" t="n"/>
      <c r="E38" s="7" t="n">
        <v>0</v>
      </c>
      <c r="F38" s="8">
        <f>A38&amp;"|"&amp;B38&amp;"|"&amp;C38&amp;"|"&amp;D38</f>
        <v/>
      </c>
      <c r="H38" s="7" t="inlineStr">
        <is>
          <t>MortTablePrem</t>
        </is>
      </c>
      <c r="I38" s="7" t="inlineStr">
        <is>
          <t>TERM</t>
        </is>
      </c>
      <c r="J38" s="7" t="n"/>
      <c r="K38" s="7" t="n">
        <v>1</v>
      </c>
      <c r="L38" s="7" t="n">
        <v>3</v>
      </c>
      <c r="M38" s="8">
        <f>H38&amp;"|"&amp;I38&amp;"|"&amp;J38&amp;"|"&amp;K38</f>
        <v/>
      </c>
    </row>
    <row r="39">
      <c r="A39" s="7" t="inlineStr">
        <is>
          <t>ExpsMaintPrem</t>
        </is>
      </c>
      <c r="B39" s="7" t="n"/>
      <c r="C39" s="7" t="n"/>
      <c r="D39" s="7" t="n"/>
      <c r="E39" s="7" t="n">
        <v>0.01</v>
      </c>
      <c r="F39" s="8">
        <f>A39&amp;"|"&amp;B39&amp;"|"&amp;C39&amp;"|"&amp;D39</f>
        <v/>
      </c>
      <c r="H39" s="7" t="inlineStr">
        <is>
          <t>MortTablePrem</t>
        </is>
      </c>
      <c r="I39" s="7" t="inlineStr">
        <is>
          <t>TERM</t>
        </is>
      </c>
      <c r="J39" s="7" t="n"/>
      <c r="K39" s="7" t="n">
        <v>2</v>
      </c>
      <c r="L39" s="7" t="n">
        <v>3</v>
      </c>
      <c r="M39" s="8">
        <f>H39&amp;"|"&amp;I39&amp;"|"&amp;J39&amp;"|"&amp;K39</f>
        <v/>
      </c>
    </row>
    <row r="40">
      <c r="A40" s="7" t="inlineStr">
        <is>
          <t>ExpsMaintPol</t>
        </is>
      </c>
      <c r="B40" s="7" t="n"/>
      <c r="C40" s="7" t="n"/>
      <c r="D40" s="7" t="n"/>
      <c r="E40" s="7" t="n">
        <v>1000</v>
      </c>
      <c r="F40" s="8">
        <f>A40&amp;"|"&amp;B40&amp;"|"&amp;C40&amp;"|"&amp;D40</f>
        <v/>
      </c>
      <c r="H40" s="7" t="inlineStr">
        <is>
          <t>MortTablePrem</t>
        </is>
      </c>
      <c r="I40" s="7" t="inlineStr">
        <is>
          <t>WL</t>
        </is>
      </c>
      <c r="J40" s="7" t="n"/>
      <c r="K40" s="7" t="n">
        <v>1</v>
      </c>
      <c r="L40" s="7" t="n">
        <v>3</v>
      </c>
      <c r="M40" s="8">
        <f>H40&amp;"|"&amp;I40&amp;"|"&amp;J40&amp;"|"&amp;K40</f>
        <v/>
      </c>
    </row>
    <row r="41">
      <c r="A41" s="7" t="inlineStr">
        <is>
          <t>InflRate</t>
        </is>
      </c>
      <c r="B41" s="7" t="n"/>
      <c r="C41" s="7" t="n"/>
      <c r="D41" s="7" t="n"/>
      <c r="E41" s="7" t="n">
        <v>0</v>
      </c>
      <c r="F41" s="8">
        <f>A41&amp;"|"&amp;B41&amp;"|"&amp;C41&amp;"|"&amp;D41</f>
        <v/>
      </c>
      <c r="H41" s="7" t="inlineStr">
        <is>
          <t>MortTablePrem</t>
        </is>
      </c>
      <c r="I41" s="7" t="inlineStr">
        <is>
          <t>ENDW</t>
        </is>
      </c>
      <c r="J41" s="7" t="n"/>
      <c r="K41" s="7" t="n"/>
      <c r="L41" s="7" t="n">
        <v>3</v>
      </c>
      <c r="M41" s="8">
        <f>H41&amp;"|"&amp;I41&amp;"|"&amp;J41&amp;"|"&amp;K41</f>
        <v/>
      </c>
    </row>
    <row r="42">
      <c r="A42" s="7" t="inlineStr">
        <is>
          <t>CnsmpTax</t>
        </is>
      </c>
      <c r="B42" s="7" t="n"/>
      <c r="C42" s="7" t="n"/>
      <c r="D42" s="7" t="n"/>
      <c r="E42" s="7" t="n">
        <v>0</v>
      </c>
      <c r="F42" s="8">
        <f>A42&amp;"|"&amp;B42&amp;"|"&amp;C42&amp;"|"&amp;D42</f>
        <v/>
      </c>
      <c r="H42" s="7" t="inlineStr">
        <is>
          <t>MortTableVal</t>
        </is>
      </c>
      <c r="I42" s="7" t="inlineStr">
        <is>
          <t>TERM</t>
        </is>
      </c>
      <c r="J42" s="7" t="n"/>
      <c r="K42" s="7" t="n">
        <v>1</v>
      </c>
      <c r="L42" s="7" t="n">
        <v>1</v>
      </c>
      <c r="M42" s="8">
        <f>H42&amp;"|"&amp;I42&amp;"|"&amp;J42&amp;"|"&amp;K42</f>
        <v/>
      </c>
    </row>
    <row r="43">
      <c r="H43" s="7" t="inlineStr">
        <is>
          <t>MortTableVal</t>
        </is>
      </c>
      <c r="I43" s="7" t="inlineStr">
        <is>
          <t>TERM</t>
        </is>
      </c>
      <c r="J43" s="7" t="n"/>
      <c r="K43" s="7" t="n">
        <v>2</v>
      </c>
      <c r="L43" s="7" t="n">
        <v>1</v>
      </c>
      <c r="M43" s="8">
        <f>H43&amp;"|"&amp;I43&amp;"|"&amp;J43&amp;"|"&amp;K43</f>
        <v/>
      </c>
    </row>
    <row r="44">
      <c r="H44" s="7" t="inlineStr">
        <is>
          <t>MortTableVal</t>
        </is>
      </c>
      <c r="I44" s="7" t="inlineStr">
        <is>
          <t>WL</t>
        </is>
      </c>
      <c r="J44" s="7" t="n"/>
      <c r="K44" s="7" t="n">
        <v>1</v>
      </c>
      <c r="L44" s="7" t="n">
        <v>1</v>
      </c>
      <c r="M44" s="8">
        <f>H44&amp;"|"&amp;I44&amp;"|"&amp;J44&amp;"|"&amp;K44</f>
        <v/>
      </c>
    </row>
    <row r="45">
      <c r="H45" s="7" t="inlineStr">
        <is>
          <t>MortTableVal</t>
        </is>
      </c>
      <c r="I45" s="7" t="inlineStr">
        <is>
          <t>ENDW</t>
        </is>
      </c>
      <c r="J45" s="7" t="n"/>
      <c r="K45" s="7" t="n"/>
      <c r="L45" s="7" t="n">
        <v>1</v>
      </c>
      <c r="M45" s="8">
        <f>H45&amp;"|"&amp;I45&amp;"|"&amp;J45&amp;"|"&amp;K45</f>
        <v/>
      </c>
    </row>
    <row r="46">
      <c r="H46" s="7" t="inlineStr">
        <is>
          <t>IntRatePrem</t>
        </is>
      </c>
      <c r="I46" s="7" t="inlineStr">
        <is>
          <t>TERM</t>
        </is>
      </c>
      <c r="J46" s="7" t="n"/>
      <c r="K46" s="7" t="n"/>
      <c r="L46" s="7" t="n">
        <v>0.015</v>
      </c>
      <c r="M46" s="8">
        <f>H46&amp;"|"&amp;I46&amp;"|"&amp;J46&amp;"|"&amp;K46</f>
        <v/>
      </c>
    </row>
    <row r="47">
      <c r="H47" s="7" t="inlineStr">
        <is>
          <t>IntRatePrem</t>
        </is>
      </c>
      <c r="I47" s="7" t="inlineStr">
        <is>
          <t>TERM</t>
        </is>
      </c>
      <c r="J47" s="7" t="n"/>
      <c r="K47" s="7" t="n">
        <v>1</v>
      </c>
      <c r="L47" s="7" t="n">
        <v>0.03</v>
      </c>
      <c r="M47" s="8">
        <f>H47&amp;"|"&amp;I47&amp;"|"&amp;J47&amp;"|"&amp;K47</f>
        <v/>
      </c>
    </row>
    <row r="48">
      <c r="H48" s="7" t="inlineStr">
        <is>
          <t>IntRatePrem</t>
        </is>
      </c>
      <c r="I48" s="7" t="inlineStr">
        <is>
          <t>TERM</t>
        </is>
      </c>
      <c r="J48" s="7" t="n"/>
      <c r="K48" s="7" t="n">
        <v>2</v>
      </c>
      <c r="L48" s="7" t="n">
        <v>0.02</v>
      </c>
      <c r="M48" s="8">
        <f>H48&amp;"|"&amp;I48&amp;"|"&amp;J48&amp;"|"&amp;K48</f>
        <v/>
      </c>
    </row>
    <row r="49">
      <c r="H49" s="7" t="inlineStr">
        <is>
          <t>IntRatePrem</t>
        </is>
      </c>
      <c r="I49" s="7" t="inlineStr">
        <is>
          <t>WL</t>
        </is>
      </c>
      <c r="J49" s="7" t="n"/>
      <c r="K49" s="7" t="n">
        <v>1</v>
      </c>
      <c r="L49" s="7" t="n">
        <v>0.015</v>
      </c>
      <c r="M49" s="8">
        <f>H49&amp;"|"&amp;I49&amp;"|"&amp;J49&amp;"|"&amp;K49</f>
        <v/>
      </c>
    </row>
    <row r="50">
      <c r="H50" s="7" t="inlineStr">
        <is>
          <t>IntRatePrem</t>
        </is>
      </c>
      <c r="I50" s="7" t="inlineStr">
        <is>
          <t>ENDW</t>
        </is>
      </c>
      <c r="J50" s="7" t="n"/>
      <c r="K50" s="7" t="n"/>
      <c r="L50" s="7" t="n">
        <v>0.03</v>
      </c>
      <c r="M50" s="8">
        <f>H50&amp;"|"&amp;I50&amp;"|"&amp;J50&amp;"|"&amp;K50</f>
        <v/>
      </c>
    </row>
    <row r="51">
      <c r="H51" s="7" t="inlineStr">
        <is>
          <t>IntRateVal</t>
        </is>
      </c>
      <c r="I51" s="7" t="n"/>
      <c r="J51" s="7" t="n"/>
      <c r="K51" s="7" t="n">
        <v>1</v>
      </c>
      <c r="L51" s="7" t="n">
        <v>0.015</v>
      </c>
      <c r="M51" s="8">
        <f>H51&amp;"|"&amp;I51&amp;"|"&amp;J51&amp;"|"&amp;K51</f>
        <v/>
      </c>
    </row>
    <row r="52">
      <c r="H52" s="7" t="inlineStr">
        <is>
          <t>IntRateVal</t>
        </is>
      </c>
      <c r="I52" s="7" t="n"/>
      <c r="J52" s="7" t="n"/>
      <c r="K52" s="7" t="n">
        <v>2</v>
      </c>
      <c r="L52" s="7" t="n">
        <v>0.01</v>
      </c>
      <c r="M52" s="8">
        <f>H52&amp;"|"&amp;I52&amp;"|"&amp;J52&amp;"|"&amp;K52</f>
        <v/>
      </c>
    </row>
    <row r="53">
      <c r="H53" s="7" t="inlineStr">
        <is>
          <t>LapseRatePrem</t>
        </is>
      </c>
      <c r="I53" s="7" t="inlineStr">
        <is>
          <t>TERM</t>
        </is>
      </c>
      <c r="J53" s="7" t="n"/>
      <c r="K53" s="7" t="n"/>
      <c r="L53" s="7" t="n">
        <v>0.015</v>
      </c>
      <c r="M53" s="8">
        <f>H53&amp;"|"&amp;I53&amp;"|"&amp;J53&amp;"|"&amp;K53</f>
        <v/>
      </c>
    </row>
    <row r="54">
      <c r="H54" s="7" t="inlineStr">
        <is>
          <t>LapseRateVal</t>
        </is>
      </c>
      <c r="I54" s="7" t="inlineStr">
        <is>
          <t>TERM</t>
        </is>
      </c>
      <c r="J54" s="7" t="n"/>
      <c r="K54" s="7" t="n"/>
      <c r="L54" s="7" t="n">
        <v>0.01</v>
      </c>
      <c r="M54" s="8">
        <f>H54&amp;"|"&amp;I54&amp;"|"&amp;J54&amp;"|"&amp;K54</f>
        <v/>
      </c>
    </row>
    <row r="55">
      <c r="H55" s="7" t="inlineStr">
        <is>
          <t>Hsx</t>
        </is>
      </c>
      <c r="I55" s="7" t="inlineStr">
        <is>
          <t>TERM</t>
        </is>
      </c>
      <c r="J55" s="7" t="n">
        <v>1</v>
      </c>
      <c r="K55" s="7" t="n"/>
      <c r="L55" s="7" t="n">
        <v>6</v>
      </c>
      <c r="M55" s="8">
        <f>H55&amp;"|"&amp;I55&amp;"|"&amp;J55&amp;"|"&amp;K55</f>
        <v/>
      </c>
    </row>
    <row r="56">
      <c r="H56" s="7" t="inlineStr">
        <is>
          <t>Hsx</t>
        </is>
      </c>
      <c r="I56" s="7" t="inlineStr">
        <is>
          <t>TERM</t>
        </is>
      </c>
      <c r="J56" s="7" t="n">
        <v>2</v>
      </c>
      <c r="K56" s="7" t="n"/>
      <c r="L56" s="7" t="n">
        <v>7</v>
      </c>
      <c r="M56" s="8">
        <f>H56&amp;"|"&amp;I56&amp;"|"&amp;J56&amp;"|"&amp;K56</f>
        <v/>
      </c>
    </row>
    <row r="57">
      <c r="H57" s="7" t="inlineStr">
        <is>
          <t>Hsx</t>
        </is>
      </c>
      <c r="I57" s="7" t="inlineStr">
        <is>
          <t>ENDW</t>
        </is>
      </c>
      <c r="J57" s="7" t="n"/>
      <c r="K57" s="7" t="n"/>
      <c r="L57" s="7" t="n">
        <v>1</v>
      </c>
      <c r="M57" s="8">
        <f>H57&amp;"|"&amp;I57&amp;"|"&amp;J57&amp;"|"&amp;K57</f>
        <v/>
      </c>
    </row>
    <row r="58">
      <c r="H58" s="7" t="inlineStr">
        <is>
          <t>Tsx</t>
        </is>
      </c>
      <c r="I58" s="7" t="inlineStr">
        <is>
          <t>TERM</t>
        </is>
      </c>
      <c r="J58" s="7" t="n">
        <v>1</v>
      </c>
      <c r="K58" s="7" t="n"/>
      <c r="L58" s="7" t="n">
        <v>7</v>
      </c>
      <c r="M58" s="8">
        <f>H58&amp;"|"&amp;I58&amp;"|"&amp;J58&amp;"|"&amp;K58</f>
        <v/>
      </c>
    </row>
    <row r="59">
      <c r="H59" s="7" t="inlineStr">
        <is>
          <t>Tsx</t>
        </is>
      </c>
      <c r="I59" s="7" t="inlineStr">
        <is>
          <t>TERM</t>
        </is>
      </c>
      <c r="J59" s="7" t="n">
        <v>2</v>
      </c>
      <c r="K59" s="7" t="n"/>
      <c r="L59" s="7" t="n">
        <v>7</v>
      </c>
      <c r="M59" s="8">
        <f>H59&amp;"|"&amp;I59&amp;"|"&amp;J59&amp;"|"&amp;K59</f>
        <v/>
      </c>
    </row>
    <row r="60">
      <c r="H60" s="7" t="inlineStr">
        <is>
          <t>Tsx</t>
        </is>
      </c>
      <c r="I60" s="7" t="inlineStr">
        <is>
          <t>ENDW</t>
        </is>
      </c>
      <c r="J60" s="7" t="n">
        <v>1</v>
      </c>
      <c r="K60" s="7" t="n"/>
      <c r="L60" s="7" t="n">
        <v>2</v>
      </c>
      <c r="M60" s="8">
        <f>H60&amp;"|"&amp;I60&amp;"|"&amp;J60&amp;"|"&amp;K60</f>
        <v/>
      </c>
    </row>
    <row r="61">
      <c r="H61" s="7" t="inlineStr">
        <is>
          <t>Tsx</t>
        </is>
      </c>
      <c r="I61" s="7" t="inlineStr">
        <is>
          <t>ENDW</t>
        </is>
      </c>
      <c r="J61" s="7" t="n">
        <v>2</v>
      </c>
      <c r="K61" s="7" t="n"/>
      <c r="L61" s="7" t="n">
        <v>3</v>
      </c>
      <c r="M61" s="8">
        <f>H61&amp;"|"&amp;I61&amp;"|"&amp;J61&amp;"|"&amp;K61</f>
        <v/>
      </c>
    </row>
    <row r="62">
      <c r="H62" s="7" t="inlineStr">
        <is>
          <t>Tsx</t>
        </is>
      </c>
      <c r="I62" s="7" t="inlineStr">
        <is>
          <t>ENDW</t>
        </is>
      </c>
      <c r="J62" s="7" t="n">
        <v>3</v>
      </c>
      <c r="K62" s="7" t="n"/>
      <c r="L62" s="7" t="n">
        <v>4</v>
      </c>
      <c r="M62" s="8">
        <f>H62&amp;"|"&amp;I62&amp;"|"&amp;J62&amp;"|"&amp;K62</f>
        <v/>
      </c>
    </row>
    <row r="63">
      <c r="H63" s="7" t="inlineStr">
        <is>
          <t>Tsx</t>
        </is>
      </c>
      <c r="I63" s="7" t="inlineStr">
        <is>
          <t>ENDW</t>
        </is>
      </c>
      <c r="J63" s="7" t="n">
        <v>4</v>
      </c>
      <c r="K63" s="7" t="n"/>
      <c r="L63" s="7" t="n">
        <v>5</v>
      </c>
      <c r="M63" s="8">
        <f>H63&amp;"|"&amp;I63&amp;"|"&amp;J63&amp;"|"&amp;K63</f>
        <v/>
      </c>
    </row>
    <row r="64">
      <c r="H64" s="7" t="inlineStr">
        <is>
          <t>Hax</t>
        </is>
      </c>
      <c r="I64" s="7" t="inlineStr">
        <is>
          <t>ENDW</t>
        </is>
      </c>
      <c r="J64" s="7" t="n"/>
      <c r="K64" s="7" t="n"/>
      <c r="L64" s="7" t="n">
        <v>9</v>
      </c>
      <c r="M64" s="8">
        <f>H64&amp;"|"&amp;I64&amp;"|"&amp;J64&amp;"|"&amp;K64</f>
        <v/>
      </c>
    </row>
    <row r="65">
      <c r="H65" s="7" t="inlineStr">
        <is>
          <t>Tax</t>
        </is>
      </c>
      <c r="I65" s="7" t="inlineStr">
        <is>
          <t>ENDW</t>
        </is>
      </c>
      <c r="J65" s="7" t="n">
        <v>1</v>
      </c>
      <c r="K65" s="7" t="n"/>
      <c r="L65" s="7" t="n">
        <v>10</v>
      </c>
      <c r="M65" s="8">
        <f>H65&amp;"|"&amp;I65&amp;"|"&amp;J65&amp;"|"&amp;K65</f>
        <v/>
      </c>
    </row>
    <row r="66">
      <c r="H66" s="7" t="inlineStr">
        <is>
          <t>Tax</t>
        </is>
      </c>
      <c r="I66" s="7" t="inlineStr">
        <is>
          <t>ENDW</t>
        </is>
      </c>
      <c r="J66" s="7" t="n">
        <v>2</v>
      </c>
      <c r="K66" s="7" t="n"/>
      <c r="L66" s="7" t="n">
        <v>11</v>
      </c>
      <c r="M66" s="8">
        <f>H66&amp;"|"&amp;I66&amp;"|"&amp;J66&amp;"|"&amp;K66</f>
        <v/>
      </c>
    </row>
    <row r="67">
      <c r="H67" s="7" t="inlineStr">
        <is>
          <t>Tax</t>
        </is>
      </c>
      <c r="I67" s="7" t="inlineStr">
        <is>
          <t>ENDW</t>
        </is>
      </c>
      <c r="J67" s="7" t="n">
        <v>3</v>
      </c>
      <c r="K67" s="7" t="n"/>
      <c r="L67" s="7" t="n">
        <v>12</v>
      </c>
      <c r="M67" s="8">
        <f>H67&amp;"|"&amp;I67&amp;"|"&amp;J67&amp;"|"&amp;K67</f>
        <v/>
      </c>
    </row>
    <row r="68">
      <c r="H68" s="7" t="inlineStr">
        <is>
          <t>Tax</t>
        </is>
      </c>
      <c r="I68" s="7" t="inlineStr">
        <is>
          <t>ENDW</t>
        </is>
      </c>
      <c r="J68" s="7" t="n">
        <v>4</v>
      </c>
      <c r="K68" s="7" t="n"/>
      <c r="L68" s="7" t="n">
        <v>13</v>
      </c>
      <c r="M68" s="8">
        <f>H68&amp;"|"&amp;I68&amp;"|"&amp;J68&amp;"|"&amp;K68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1" max="11"/>
    <col width="9" customWidth="1" min="12" max="12"/>
  </cols>
  <sheetData>
    <row r="1">
      <c r="A1" s="3" t="inlineStr">
        <is>
          <t>Assumption tables by policy year (values carry forward beyond year 19, as in lifelib), and the standard-formula shock factors</t>
        </is>
      </c>
    </row>
    <row r="2">
      <c r="A2" s="10" t="inlineStr">
        <is>
          <t>year</t>
        </is>
      </c>
      <c r="B2" s="10" t="inlineStr">
        <is>
          <t>LapseRate1</t>
        </is>
      </c>
      <c r="C2" s="10" t="inlineStr">
        <is>
          <t>Morb1</t>
        </is>
      </c>
      <c r="D2" s="10" t="inlineStr">
        <is>
          <t>Morb2</t>
        </is>
      </c>
      <c r="E2" s="10" t="inlineStr">
        <is>
          <t>Morb3</t>
        </is>
      </c>
      <c r="F2" s="10" t="inlineStr">
        <is>
          <t>Morb4</t>
        </is>
      </c>
      <c r="G2" s="10" t="inlineStr">
        <is>
          <t>Morb5</t>
        </is>
      </c>
      <c r="H2" s="10" t="inlineStr">
        <is>
          <t>MortAsmp1</t>
        </is>
      </c>
      <c r="I2" s="10" t="inlineStr">
        <is>
          <t>MortAsmp2</t>
        </is>
      </c>
      <c r="K2" s="10" t="inlineStr">
        <is>
          <t>shock factor key</t>
        </is>
      </c>
      <c r="L2" s="10" t="inlineStr">
        <is>
          <t>value</t>
        </is>
      </c>
    </row>
    <row r="3">
      <c r="A3" s="14" t="inlineStr">
        <is>
          <t>y</t>
        </is>
      </c>
      <c r="B3" s="14" t="inlineStr">
        <is>
          <t>AssumptionTables</t>
        </is>
      </c>
      <c r="K3" s="14" t="inlineStr">
        <is>
          <t>FactorData</t>
        </is>
      </c>
    </row>
    <row r="4">
      <c r="A4" s="7" t="n">
        <v>0</v>
      </c>
      <c r="B4" s="16" t="n">
        <v>0.08</v>
      </c>
      <c r="C4" s="16" t="n">
        <v>0.3</v>
      </c>
      <c r="D4" s="16" t="n">
        <v>0.3</v>
      </c>
      <c r="E4" s="16" t="n">
        <v>0.3</v>
      </c>
      <c r="F4" s="16" t="n">
        <v>0.3</v>
      </c>
      <c r="G4" s="16" t="n">
        <v>0.7</v>
      </c>
      <c r="H4" s="16" t="n">
        <v>0.4</v>
      </c>
      <c r="I4" s="16" t="n">
        <v>0.7</v>
      </c>
      <c r="K4" s="7" t="inlineStr">
        <is>
          <t>cat|||</t>
        </is>
      </c>
      <c r="L4" s="17" t="n">
        <v>0.0015</v>
      </c>
    </row>
    <row r="5">
      <c r="A5" s="7" t="n">
        <v>1</v>
      </c>
      <c r="B5" s="16" t="n">
        <v>0.08</v>
      </c>
      <c r="C5" s="16" t="n">
        <v>0.4</v>
      </c>
      <c r="D5" s="16" t="n">
        <v>0.4</v>
      </c>
      <c r="E5" s="16" t="n">
        <v>0.4</v>
      </c>
      <c r="F5" s="16" t="n">
        <v>0.4</v>
      </c>
      <c r="G5" s="16" t="n">
        <v>0.7</v>
      </c>
      <c r="H5" s="16" t="n">
        <v>0.5</v>
      </c>
      <c r="I5" s="16" t="n">
        <v>0.7</v>
      </c>
      <c r="K5" s="7" t="inlineStr">
        <is>
          <t>disab|||first</t>
        </is>
      </c>
      <c r="L5" s="17" t="n">
        <v>0.35</v>
      </c>
    </row>
    <row r="6">
      <c r="A6" s="7" t="n">
        <v>2</v>
      </c>
      <c r="B6" s="16" t="n">
        <v>0.08</v>
      </c>
      <c r="C6" s="16" t="n">
        <v>0.5</v>
      </c>
      <c r="D6" s="16" t="n">
        <v>0.5</v>
      </c>
      <c r="E6" s="16" t="n">
        <v>0.5</v>
      </c>
      <c r="F6" s="16" t="n">
        <v>0.5</v>
      </c>
      <c r="G6" s="16" t="n">
        <v>0.7</v>
      </c>
      <c r="H6" s="16" t="n">
        <v>0.6</v>
      </c>
      <c r="I6" s="16" t="n">
        <v>0.7</v>
      </c>
      <c r="K6" s="7" t="inlineStr">
        <is>
          <t>disab|||recovery</t>
        </is>
      </c>
      <c r="L6" s="17" t="n">
        <v>0.2</v>
      </c>
    </row>
    <row r="7">
      <c r="A7" s="7" t="n">
        <v>3</v>
      </c>
      <c r="B7" s="16" t="n">
        <v>0.08</v>
      </c>
      <c r="C7" s="16" t="n">
        <v>0.6</v>
      </c>
      <c r="D7" s="16" t="n">
        <v>0.6</v>
      </c>
      <c r="E7" s="16" t="n">
        <v>0.6</v>
      </c>
      <c r="F7" s="16" t="n">
        <v>0.6</v>
      </c>
      <c r="G7" s="16" t="n">
        <v>0.7</v>
      </c>
      <c r="H7" s="16" t="n">
        <v>0.7</v>
      </c>
      <c r="I7" s="16" t="n">
        <v>0.7</v>
      </c>
      <c r="K7" s="7" t="inlineStr">
        <is>
          <t>disab|||second</t>
        </is>
      </c>
      <c r="L7" s="17" t="n">
        <v>0.25</v>
      </c>
    </row>
    <row r="8">
      <c r="A8" s="7" t="n">
        <v>4</v>
      </c>
      <c r="B8" s="16" t="n">
        <v>0.08</v>
      </c>
      <c r="C8" s="16" t="n">
        <v>0.7</v>
      </c>
      <c r="D8" s="16" t="n">
        <v>0.7</v>
      </c>
      <c r="E8" s="16" t="n">
        <v>0.7</v>
      </c>
      <c r="F8" s="16" t="n">
        <v>0.7</v>
      </c>
      <c r="G8" s="16" t="n">
        <v>0.7</v>
      </c>
      <c r="H8" s="16" t="n">
        <v>0.8</v>
      </c>
      <c r="I8" s="16" t="n">
        <v>0.7</v>
      </c>
      <c r="K8" s="7" t="inlineStr">
        <is>
          <t>exps|||inflation</t>
        </is>
      </c>
      <c r="L8" s="17" t="n">
        <v>0.01</v>
      </c>
    </row>
    <row r="9">
      <c r="A9" s="7" t="n">
        <v>5</v>
      </c>
      <c r="B9" s="16" t="n">
        <v>0.08</v>
      </c>
      <c r="C9" s="16" t="n">
        <v>0.8</v>
      </c>
      <c r="D9" s="16" t="n">
        <v>0.8</v>
      </c>
      <c r="E9" s="16" t="n">
        <v>0.8</v>
      </c>
      <c r="F9" s="16" t="n">
        <v>0.8</v>
      </c>
      <c r="G9" s="16" t="n">
        <v>0.7</v>
      </c>
      <c r="H9" s="16" t="n">
        <v>0.8</v>
      </c>
      <c r="I9" s="16" t="n">
        <v>0.7</v>
      </c>
      <c r="K9" s="7" t="inlineStr">
        <is>
          <t>exps|||</t>
        </is>
      </c>
      <c r="L9" s="17" t="n">
        <v>0.1</v>
      </c>
    </row>
    <row r="10">
      <c r="A10" s="7" t="n">
        <v>6</v>
      </c>
      <c r="B10" s="16" t="n">
        <v>0.08</v>
      </c>
      <c r="C10" s="16" t="n">
        <v>0.8</v>
      </c>
      <c r="D10" s="16" t="n">
        <v>0.8</v>
      </c>
      <c r="E10" s="16" t="n">
        <v>0.8</v>
      </c>
      <c r="F10" s="16" t="n">
        <v>0.8</v>
      </c>
      <c r="G10" s="16" t="n">
        <v>0.7</v>
      </c>
      <c r="H10" s="16" t="n">
        <v>0.8</v>
      </c>
      <c r="I10" s="16" t="n">
        <v>0.7</v>
      </c>
      <c r="K10" s="7" t="inlineStr">
        <is>
          <t>lapse|down||limit</t>
        </is>
      </c>
      <c r="L10" s="17" t="n">
        <v>0.2</v>
      </c>
    </row>
    <row r="11">
      <c r="A11" s="7" t="n">
        <v>7</v>
      </c>
      <c r="B11" s="16" t="n">
        <v>0.08</v>
      </c>
      <c r="C11" s="16" t="n">
        <v>0.8</v>
      </c>
      <c r="D11" s="16" t="n">
        <v>0.8</v>
      </c>
      <c r="E11" s="16" t="n">
        <v>0.8</v>
      </c>
      <c r="F11" s="16" t="n">
        <v>0.8</v>
      </c>
      <c r="G11" s="16" t="n">
        <v>0.7</v>
      </c>
      <c r="H11" s="16" t="n">
        <v>0.8</v>
      </c>
      <c r="I11" s="16" t="n">
        <v>0.7</v>
      </c>
      <c r="K11" s="7" t="inlineStr">
        <is>
          <t>lapse|down||</t>
        </is>
      </c>
      <c r="L11" s="17" t="n">
        <v>0.5</v>
      </c>
    </row>
    <row r="12">
      <c r="A12" s="7" t="n">
        <v>8</v>
      </c>
      <c r="B12" s="16" t="n">
        <v>0.08</v>
      </c>
      <c r="C12" s="16" t="n">
        <v>0.8</v>
      </c>
      <c r="D12" s="16" t="n">
        <v>0.8</v>
      </c>
      <c r="E12" s="16" t="n">
        <v>0.8</v>
      </c>
      <c r="F12" s="16" t="n">
        <v>0.8</v>
      </c>
      <c r="G12" s="16" t="n">
        <v>0.7</v>
      </c>
      <c r="H12" s="16" t="n">
        <v>0.8</v>
      </c>
      <c r="I12" s="16" t="n">
        <v>0.7</v>
      </c>
      <c r="K12" s="7" t="inlineStr">
        <is>
          <t>lapse|mass|nonretail|</t>
        </is>
      </c>
      <c r="L12" s="17" t="n">
        <v>0.7</v>
      </c>
    </row>
    <row r="13">
      <c r="A13" s="7" t="n">
        <v>9</v>
      </c>
      <c r="B13" s="16" t="n">
        <v>0.08</v>
      </c>
      <c r="C13" s="16" t="n">
        <v>0.8</v>
      </c>
      <c r="D13" s="16" t="n">
        <v>0.8</v>
      </c>
      <c r="E13" s="16" t="n">
        <v>0.8</v>
      </c>
      <c r="F13" s="16" t="n">
        <v>0.8</v>
      </c>
      <c r="G13" s="16" t="n">
        <v>0.7</v>
      </c>
      <c r="H13" s="16" t="n">
        <v>0.8</v>
      </c>
      <c r="I13" s="16" t="n">
        <v>0.7</v>
      </c>
      <c r="K13" s="7" t="inlineStr">
        <is>
          <t>lapse|mass||</t>
        </is>
      </c>
      <c r="L13" s="17" t="n">
        <v>0.4</v>
      </c>
    </row>
    <row r="14">
      <c r="A14" s="7" t="n">
        <v>10</v>
      </c>
      <c r="B14" s="16" t="n">
        <v>0.08</v>
      </c>
      <c r="C14" s="16" t="n">
        <v>0.8</v>
      </c>
      <c r="D14" s="16" t="n">
        <v>0.8</v>
      </c>
      <c r="E14" s="16" t="n">
        <v>0.8</v>
      </c>
      <c r="F14" s="16" t="n">
        <v>0.8</v>
      </c>
      <c r="G14" s="16" t="n">
        <v>0.7</v>
      </c>
      <c r="H14" s="16" t="n">
        <v>0.8</v>
      </c>
      <c r="I14" s="16" t="n">
        <v>0.7</v>
      </c>
      <c r="K14" s="7" t="inlineStr">
        <is>
          <t>lapse|up||limit</t>
        </is>
      </c>
      <c r="L14" s="17" t="n">
        <v>1</v>
      </c>
    </row>
    <row r="15">
      <c r="A15" s="7" t="n">
        <v>11</v>
      </c>
      <c r="B15" s="16" t="n">
        <v>0.08</v>
      </c>
      <c r="C15" s="16" t="n">
        <v>0.8</v>
      </c>
      <c r="D15" s="16" t="n">
        <v>0.8</v>
      </c>
      <c r="E15" s="16" t="n">
        <v>0.8</v>
      </c>
      <c r="F15" s="16" t="n">
        <v>0.8</v>
      </c>
      <c r="G15" s="16" t="n">
        <v>0.7</v>
      </c>
      <c r="H15" s="16" t="n">
        <v>0.8</v>
      </c>
      <c r="I15" s="16" t="n">
        <v>0.7</v>
      </c>
      <c r="K15" s="7" t="inlineStr">
        <is>
          <t>lapse|up||</t>
        </is>
      </c>
      <c r="L15" s="17" t="n">
        <v>0.5</v>
      </c>
    </row>
    <row r="16">
      <c r="A16" s="7" t="n">
        <v>12</v>
      </c>
      <c r="B16" s="16" t="n">
        <v>0.08</v>
      </c>
      <c r="C16" s="16" t="n">
        <v>0.8</v>
      </c>
      <c r="D16" s="16" t="n">
        <v>0.8</v>
      </c>
      <c r="E16" s="16" t="n">
        <v>0.8</v>
      </c>
      <c r="F16" s="16" t="n">
        <v>0.8</v>
      </c>
      <c r="G16" s="16" t="n">
        <v>0.7</v>
      </c>
      <c r="H16" s="16" t="n">
        <v>0.8</v>
      </c>
      <c r="I16" s="16" t="n">
        <v>0.7</v>
      </c>
      <c r="K16" s="7" t="inlineStr">
        <is>
          <t>longev|||</t>
        </is>
      </c>
      <c r="L16" s="17" t="n">
        <v>0.25</v>
      </c>
    </row>
    <row r="17">
      <c r="A17" s="7" t="n">
        <v>13</v>
      </c>
      <c r="B17" s="16" t="n">
        <v>0.08</v>
      </c>
      <c r="C17" s="16" t="n">
        <v>0.8</v>
      </c>
      <c r="D17" s="16" t="n">
        <v>0.8</v>
      </c>
      <c r="E17" s="16" t="n">
        <v>0.8</v>
      </c>
      <c r="F17" s="16" t="n">
        <v>0.8</v>
      </c>
      <c r="G17" s="16" t="n">
        <v>0.7</v>
      </c>
      <c r="H17" s="16" t="n">
        <v>0.8</v>
      </c>
      <c r="I17" s="16" t="n">
        <v>0.7</v>
      </c>
      <c r="K17" s="7" t="inlineStr">
        <is>
          <t>mort|||</t>
        </is>
      </c>
      <c r="L17" s="17" t="n">
        <v>0.15</v>
      </c>
    </row>
    <row r="18">
      <c r="A18" s="7" t="n">
        <v>14</v>
      </c>
      <c r="B18" s="16" t="n">
        <v>0.08</v>
      </c>
      <c r="C18" s="16" t="n">
        <v>0.8</v>
      </c>
      <c r="D18" s="16" t="n">
        <v>0.8</v>
      </c>
      <c r="E18" s="16" t="n">
        <v>0.8</v>
      </c>
      <c r="F18" s="16" t="n">
        <v>0.8</v>
      </c>
      <c r="G18" s="16" t="n">
        <v>0.7</v>
      </c>
      <c r="H18" s="16" t="n">
        <v>0.8</v>
      </c>
      <c r="I18" s="16" t="n">
        <v>0.7</v>
      </c>
      <c r="K18" s="7" t="inlineStr">
        <is>
          <t>rev|||</t>
        </is>
      </c>
      <c r="L18" s="17" t="n">
        <v>0.03</v>
      </c>
    </row>
    <row r="19">
      <c r="A19" s="7" t="n">
        <v>15</v>
      </c>
      <c r="B19" s="16" t="n">
        <v>0.08</v>
      </c>
      <c r="C19" s="16" t="n">
        <v>0.8</v>
      </c>
      <c r="D19" s="16" t="n">
        <v>0.8</v>
      </c>
      <c r="E19" s="16" t="n">
        <v>0.8</v>
      </c>
      <c r="F19" s="16" t="n">
        <v>0.8</v>
      </c>
      <c r="G19" s="16" t="n">
        <v>0.7</v>
      </c>
      <c r="H19" s="16" t="n">
        <v>0.8</v>
      </c>
      <c r="I19" s="16" t="n">
        <v>0.7</v>
      </c>
    </row>
    <row r="20">
      <c r="A20" s="7" t="n">
        <v>16</v>
      </c>
      <c r="B20" s="16" t="n">
        <v>0.08</v>
      </c>
      <c r="C20" s="16" t="n">
        <v>0.8</v>
      </c>
      <c r="D20" s="16" t="n">
        <v>0.8</v>
      </c>
      <c r="E20" s="16" t="n">
        <v>0.8</v>
      </c>
      <c r="F20" s="16" t="n">
        <v>0.8</v>
      </c>
      <c r="G20" s="16" t="n">
        <v>0.7</v>
      </c>
      <c r="H20" s="16" t="n">
        <v>0.8</v>
      </c>
      <c r="I20" s="16" t="n">
        <v>0.7</v>
      </c>
    </row>
    <row r="21">
      <c r="A21" s="7" t="n">
        <v>17</v>
      </c>
      <c r="B21" s="16" t="n">
        <v>0.08</v>
      </c>
      <c r="C21" s="16" t="n">
        <v>0.8</v>
      </c>
      <c r="D21" s="16" t="n">
        <v>0.8</v>
      </c>
      <c r="E21" s="16" t="n">
        <v>0.8</v>
      </c>
      <c r="F21" s="16" t="n">
        <v>0.8</v>
      </c>
      <c r="G21" s="16" t="n">
        <v>0.7</v>
      </c>
      <c r="H21" s="16" t="n">
        <v>0.8</v>
      </c>
      <c r="I21" s="16" t="n">
        <v>0.7</v>
      </c>
    </row>
    <row r="22">
      <c r="A22" s="7" t="n">
        <v>18</v>
      </c>
      <c r="B22" s="16" t="n">
        <v>0.08</v>
      </c>
      <c r="C22" s="16" t="n">
        <v>0.8</v>
      </c>
      <c r="D22" s="16" t="n">
        <v>0.8</v>
      </c>
      <c r="E22" s="16" t="n">
        <v>0.8</v>
      </c>
      <c r="F22" s="16" t="n">
        <v>0.8</v>
      </c>
      <c r="G22" s="16" t="n">
        <v>0.7</v>
      </c>
      <c r="H22" s="16" t="n">
        <v>0.8</v>
      </c>
      <c r="I22" s="16" t="n">
        <v>0.7</v>
      </c>
    </row>
    <row r="23">
      <c r="A23" s="7" t="n">
        <v>19</v>
      </c>
      <c r="B23" s="16" t="n">
        <v>0.08</v>
      </c>
      <c r="C23" s="16" t="n">
        <v>0.8</v>
      </c>
      <c r="D23" s="16" t="n">
        <v>0.8</v>
      </c>
      <c r="E23" s="16" t="n">
        <v>0.8</v>
      </c>
      <c r="F23" s="16" t="n">
        <v>0.8</v>
      </c>
      <c r="G23" s="16" t="n">
        <v>0.7</v>
      </c>
      <c r="H23" s="16" t="n">
        <v>0.8</v>
      </c>
      <c r="I23" s="16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M1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3" t="inlineStr">
        <is>
          <t>Mortality tables qx by age — 6 tables x M/F (lifelib Input.MortalityTables). Tables 5 and 6 are empty in the lifelib data set (never referenced by any policy's basis); the blank columns are kept so table ids map 1:1 to grid columns.</t>
        </is>
      </c>
    </row>
    <row r="2">
      <c r="A2" s="10" t="inlineStr">
        <is>
          <t>age</t>
        </is>
      </c>
      <c r="B2" s="10" t="inlineStr">
        <is>
          <t>T1 M</t>
        </is>
      </c>
      <c r="C2" s="10" t="inlineStr">
        <is>
          <t>T1 F</t>
        </is>
      </c>
      <c r="D2" s="10" t="inlineStr">
        <is>
          <t>T2 M</t>
        </is>
      </c>
      <c r="E2" s="10" t="inlineStr">
        <is>
          <t>T2 F</t>
        </is>
      </c>
      <c r="F2" s="10" t="inlineStr">
        <is>
          <t>T3 M</t>
        </is>
      </c>
      <c r="G2" s="10" t="inlineStr">
        <is>
          <t>T3 F</t>
        </is>
      </c>
      <c r="H2" s="10" t="inlineStr">
        <is>
          <t>T4 M</t>
        </is>
      </c>
      <c r="I2" s="10" t="inlineStr">
        <is>
          <t>T4 F</t>
        </is>
      </c>
      <c r="J2" s="10" t="inlineStr">
        <is>
          <t>T5 M</t>
        </is>
      </c>
      <c r="K2" s="10" t="inlineStr">
        <is>
          <t>T5 F</t>
        </is>
      </c>
      <c r="L2" s="10" t="inlineStr">
        <is>
          <t>T6 M</t>
        </is>
      </c>
      <c r="M2" s="10" t="inlineStr">
        <is>
          <t>T6 F</t>
        </is>
      </c>
    </row>
    <row r="3">
      <c r="A3" s="14" t="inlineStr">
        <is>
          <t>x</t>
        </is>
      </c>
      <c r="B3" s="14" t="inlineStr">
        <is>
          <t>MortalityTables</t>
        </is>
      </c>
    </row>
    <row r="4">
      <c r="A4" s="7" t="n">
        <v>0</v>
      </c>
      <c r="B4" s="16" t="n">
        <v>0.00246</v>
      </c>
      <c r="C4" s="16" t="n">
        <v>0.0021</v>
      </c>
      <c r="D4" s="16" t="n">
        <v>0.00298</v>
      </c>
      <c r="E4" s="16" t="n">
        <v>0.00252</v>
      </c>
      <c r="F4" s="16" t="n">
        <v>0.00345</v>
      </c>
      <c r="G4" s="16" t="n">
        <v>0.00298</v>
      </c>
      <c r="H4" s="16" t="n">
        <v>0.00456</v>
      </c>
      <c r="I4" s="16" t="n">
        <v>0.00383</v>
      </c>
      <c r="J4" s="16" t="n"/>
      <c r="K4" s="16" t="n"/>
      <c r="L4" s="16" t="n"/>
      <c r="M4" s="16" t="n"/>
    </row>
    <row r="5">
      <c r="A5" s="7" t="n">
        <v>1</v>
      </c>
      <c r="B5" s="16" t="n">
        <v>0.00037</v>
      </c>
      <c r="C5" s="16" t="n">
        <v>0.00033</v>
      </c>
      <c r="D5" s="16" t="n">
        <v>0.00045</v>
      </c>
      <c r="E5" s="16" t="n">
        <v>0.00034</v>
      </c>
      <c r="F5" s="16" t="n">
        <v>0.00051</v>
      </c>
      <c r="G5" s="16" t="n">
        <v>0.00044</v>
      </c>
      <c r="H5" s="16" t="n">
        <v>0.00069</v>
      </c>
      <c r="I5" s="16" t="n">
        <v>0.00059</v>
      </c>
      <c r="J5" s="16" t="n"/>
      <c r="K5" s="16" t="n"/>
      <c r="L5" s="16" t="n"/>
      <c r="M5" s="16" t="n"/>
    </row>
    <row r="6">
      <c r="A6" s="7" t="n">
        <v>2</v>
      </c>
      <c r="B6" s="16" t="n">
        <v>0.00026</v>
      </c>
      <c r="C6" s="16" t="n">
        <v>0.00023</v>
      </c>
      <c r="D6" s="16" t="n">
        <v>0.00032</v>
      </c>
      <c r="E6" s="16" t="n">
        <v>0.00025</v>
      </c>
      <c r="F6" s="16" t="n">
        <v>0.00038</v>
      </c>
      <c r="G6" s="16" t="n">
        <v>0.0003</v>
      </c>
      <c r="H6" s="16" t="n">
        <v>0.00051</v>
      </c>
      <c r="I6" s="16" t="n">
        <v>0.00041</v>
      </c>
      <c r="J6" s="16" t="n"/>
      <c r="K6" s="16" t="n"/>
      <c r="L6" s="16" t="n"/>
      <c r="M6" s="16" t="n"/>
    </row>
    <row r="7">
      <c r="A7" s="7" t="n">
        <v>3</v>
      </c>
      <c r="B7" s="16" t="n">
        <v>0.00018</v>
      </c>
      <c r="C7" s="16" t="n">
        <v>0.00015</v>
      </c>
      <c r="D7" s="16" t="n">
        <v>0.00022</v>
      </c>
      <c r="E7" s="16" t="n">
        <v>0.00018</v>
      </c>
      <c r="F7" s="16" t="n">
        <v>0.00027</v>
      </c>
      <c r="G7" s="16" t="n">
        <v>0.0002</v>
      </c>
      <c r="H7" s="16" t="n">
        <v>0.00037</v>
      </c>
      <c r="I7" s="16" t="n">
        <v>0.00028</v>
      </c>
      <c r="J7" s="16" t="n"/>
      <c r="K7" s="16" t="n"/>
      <c r="L7" s="16" t="n"/>
      <c r="M7" s="16" t="n"/>
    </row>
    <row r="8">
      <c r="A8" s="7" t="n">
        <v>4</v>
      </c>
      <c r="B8" s="16" t="n">
        <v>0.00013</v>
      </c>
      <c r="C8" s="16" t="n">
        <v>0.00011</v>
      </c>
      <c r="D8" s="16" t="n">
        <v>0.00016</v>
      </c>
      <c r="E8" s="16" t="n">
        <v>0.00013</v>
      </c>
      <c r="F8" s="16" t="n">
        <v>0.00021</v>
      </c>
      <c r="G8" s="16" t="n">
        <v>0.00014</v>
      </c>
      <c r="H8" s="16" t="n">
        <v>0.00029</v>
      </c>
      <c r="I8" s="16" t="n">
        <v>0.00021</v>
      </c>
      <c r="J8" s="16" t="n"/>
      <c r="K8" s="16" t="n"/>
      <c r="L8" s="16" t="n"/>
      <c r="M8" s="16" t="n"/>
    </row>
    <row r="9">
      <c r="A9" s="7" t="n">
        <v>5</v>
      </c>
      <c r="B9" s="16" t="n">
        <v>0.00011</v>
      </c>
      <c r="C9" s="16" t="n">
        <v>9.000000000000001e-05</v>
      </c>
      <c r="D9" s="16" t="n">
        <v>0.00014</v>
      </c>
      <c r="E9" s="16" t="n">
        <v>0.00011</v>
      </c>
      <c r="F9" s="16" t="n">
        <v>0.00018</v>
      </c>
      <c r="G9" s="16" t="n">
        <v>0.00012</v>
      </c>
      <c r="H9" s="16" t="n">
        <v>0.00025</v>
      </c>
      <c r="I9" s="16" t="n">
        <v>0.00018</v>
      </c>
      <c r="J9" s="16" t="n"/>
      <c r="K9" s="16" t="n"/>
      <c r="L9" s="16" t="n"/>
      <c r="M9" s="16" t="n"/>
    </row>
    <row r="10">
      <c r="A10" s="7" t="n">
        <v>6</v>
      </c>
      <c r="B10" s="16" t="n">
        <v>0.0001</v>
      </c>
      <c r="C10" s="16" t="n">
        <v>8.000000000000001e-05</v>
      </c>
      <c r="D10" s="16" t="n">
        <v>0.00014</v>
      </c>
      <c r="E10" s="16" t="n">
        <v>9.000000000000001e-05</v>
      </c>
      <c r="F10" s="16" t="n">
        <v>0.00016</v>
      </c>
      <c r="G10" s="16" t="n">
        <v>0.00011</v>
      </c>
      <c r="H10" s="16" t="n">
        <v>0.00024</v>
      </c>
      <c r="I10" s="16" t="n">
        <v>0.00017</v>
      </c>
      <c r="J10" s="16" t="n"/>
      <c r="K10" s="16" t="n"/>
      <c r="L10" s="16" t="n"/>
      <c r="M10" s="16" t="n"/>
    </row>
    <row r="11">
      <c r="A11" s="7" t="n">
        <v>7</v>
      </c>
      <c r="B11" s="16" t="n">
        <v>9.000000000000001e-05</v>
      </c>
      <c r="C11" s="16" t="n">
        <v>8.000000000000001e-05</v>
      </c>
      <c r="D11" s="16" t="n">
        <v>0.00014</v>
      </c>
      <c r="E11" s="16" t="n">
        <v>9.000000000000001e-05</v>
      </c>
      <c r="F11" s="16" t="n">
        <v>0.00014</v>
      </c>
      <c r="G11" s="16" t="n">
        <v>0.0001</v>
      </c>
      <c r="H11" s="16" t="n">
        <v>0.00022</v>
      </c>
      <c r="I11" s="16" t="n">
        <v>0.00015</v>
      </c>
      <c r="J11" s="16" t="n"/>
      <c r="K11" s="16" t="n"/>
      <c r="L11" s="16" t="n"/>
      <c r="M11" s="16" t="n"/>
    </row>
    <row r="12">
      <c r="A12" s="7" t="n">
        <v>8</v>
      </c>
      <c r="B12" s="16" t="n">
        <v>8.000000000000001e-05</v>
      </c>
      <c r="C12" s="16" t="n">
        <v>6.999999999999999e-05</v>
      </c>
      <c r="D12" s="16" t="n">
        <v>0.00013</v>
      </c>
      <c r="E12" s="16" t="n">
        <v>8.000000000000001e-05</v>
      </c>
      <c r="F12" s="16" t="n">
        <v>0.00012</v>
      </c>
      <c r="G12" s="16" t="n">
        <v>9.000000000000001e-05</v>
      </c>
      <c r="H12" s="16" t="n">
        <v>0.0002</v>
      </c>
      <c r="I12" s="16" t="n">
        <v>0.00013</v>
      </c>
      <c r="J12" s="16" t="n"/>
      <c r="K12" s="16" t="n"/>
      <c r="L12" s="16" t="n"/>
      <c r="M12" s="16" t="n"/>
    </row>
    <row r="13">
      <c r="A13" s="7" t="n">
        <v>9</v>
      </c>
      <c r="B13" s="16" t="n">
        <v>8.000000000000001e-05</v>
      </c>
      <c r="C13" s="16" t="n">
        <v>6e-05</v>
      </c>
      <c r="D13" s="16" t="n">
        <v>0.00011</v>
      </c>
      <c r="E13" s="16" t="n">
        <v>6.999999999999999e-05</v>
      </c>
      <c r="F13" s="16" t="n">
        <v>0.00011</v>
      </c>
      <c r="G13" s="16" t="n">
        <v>8.000000000000001e-05</v>
      </c>
      <c r="H13" s="16" t="n">
        <v>0.00019</v>
      </c>
      <c r="I13" s="16" t="n">
        <v>0.00012</v>
      </c>
      <c r="J13" s="16" t="n"/>
      <c r="K13" s="16" t="n"/>
      <c r="L13" s="16" t="n"/>
      <c r="M13" s="16" t="n"/>
    </row>
    <row r="14">
      <c r="A14" s="7" t="n">
        <v>10</v>
      </c>
      <c r="B14" s="16" t="n">
        <v>8.000000000000001e-05</v>
      </c>
      <c r="C14" s="16" t="n">
        <v>6e-05</v>
      </c>
      <c r="D14" s="16" t="n">
        <v>9.000000000000001e-05</v>
      </c>
      <c r="E14" s="16" t="n">
        <v>6.999999999999999e-05</v>
      </c>
      <c r="F14" s="16" t="n">
        <v>0.0001</v>
      </c>
      <c r="G14" s="16" t="n">
        <v>8.000000000000001e-05</v>
      </c>
      <c r="H14" s="16" t="n">
        <v>0.00018</v>
      </c>
      <c r="I14" s="16" t="n">
        <v>0.00012</v>
      </c>
      <c r="J14" s="16" t="n"/>
      <c r="K14" s="16" t="n"/>
      <c r="L14" s="16" t="n"/>
      <c r="M14" s="16" t="n"/>
    </row>
    <row r="15">
      <c r="A15" s="7" t="n">
        <v>11</v>
      </c>
      <c r="B15" s="16" t="n">
        <v>0.0001</v>
      </c>
      <c r="C15" s="16" t="n">
        <v>6e-05</v>
      </c>
      <c r="D15" s="16" t="n">
        <v>9.000000000000001e-05</v>
      </c>
      <c r="E15" s="16" t="n">
        <v>6e-05</v>
      </c>
      <c r="F15" s="16" t="n">
        <v>0.00011</v>
      </c>
      <c r="G15" s="16" t="n">
        <v>8.000000000000001e-05</v>
      </c>
      <c r="H15" s="16" t="n">
        <v>0.00017</v>
      </c>
      <c r="I15" s="16" t="n">
        <v>0.00012</v>
      </c>
      <c r="J15" s="16" t="n"/>
      <c r="K15" s="16" t="n"/>
      <c r="L15" s="16" t="n"/>
      <c r="M15" s="16" t="n"/>
    </row>
    <row r="16">
      <c r="A16" s="7" t="n">
        <v>12</v>
      </c>
      <c r="B16" s="16" t="n">
        <v>0.00011</v>
      </c>
      <c r="C16" s="16" t="n">
        <v>6.999999999999999e-05</v>
      </c>
      <c r="D16" s="16" t="n">
        <v>0.0001</v>
      </c>
      <c r="E16" s="16" t="n">
        <v>6.999999999999999e-05</v>
      </c>
      <c r="F16" s="16" t="n">
        <v>0.00013</v>
      </c>
      <c r="G16" s="16" t="n">
        <v>8.000000000000001e-05</v>
      </c>
      <c r="H16" s="16" t="n">
        <v>0.00017</v>
      </c>
      <c r="I16" s="16" t="n">
        <v>0.00012</v>
      </c>
      <c r="J16" s="16" t="n"/>
      <c r="K16" s="16" t="n"/>
      <c r="L16" s="16" t="n"/>
      <c r="M16" s="16" t="n"/>
    </row>
    <row r="17">
      <c r="A17" s="7" t="n">
        <v>13</v>
      </c>
      <c r="B17" s="16" t="n">
        <v>0.00013</v>
      </c>
      <c r="C17" s="16" t="n">
        <v>8.000000000000001e-05</v>
      </c>
      <c r="D17" s="16" t="n">
        <v>0.00014</v>
      </c>
      <c r="E17" s="16" t="n">
        <v>8.000000000000001e-05</v>
      </c>
      <c r="F17" s="16" t="n">
        <v>0.00016</v>
      </c>
      <c r="G17" s="16" t="n">
        <v>8.000000000000001e-05</v>
      </c>
      <c r="H17" s="16" t="n">
        <v>0.00019</v>
      </c>
      <c r="I17" s="16" t="n">
        <v>0.00013</v>
      </c>
      <c r="J17" s="16" t="n"/>
      <c r="K17" s="16" t="n"/>
      <c r="L17" s="16" t="n"/>
      <c r="M17" s="16" t="n"/>
    </row>
    <row r="18">
      <c r="A18" s="7" t="n">
        <v>14</v>
      </c>
      <c r="B18" s="16" t="n">
        <v>0.00015</v>
      </c>
      <c r="C18" s="16" t="n">
        <v>0.0001</v>
      </c>
      <c r="D18" s="16" t="n">
        <v>0.00018</v>
      </c>
      <c r="E18" s="16" t="n">
        <v>0.0001</v>
      </c>
      <c r="F18" s="16" t="n">
        <v>0.00021</v>
      </c>
      <c r="G18" s="16" t="n">
        <v>0.0001</v>
      </c>
      <c r="H18" s="16" t="n">
        <v>0.00025</v>
      </c>
      <c r="I18" s="16" t="n">
        <v>0.00015</v>
      </c>
      <c r="J18" s="16" t="n"/>
      <c r="K18" s="16" t="n"/>
      <c r="L18" s="16" t="n"/>
      <c r="M18" s="16" t="n"/>
    </row>
    <row r="19">
      <c r="A19" s="7" t="n">
        <v>15</v>
      </c>
      <c r="B19" s="16" t="n">
        <v>0.00019</v>
      </c>
      <c r="C19" s="16" t="n">
        <v>0.00012</v>
      </c>
      <c r="D19" s="16" t="n">
        <v>0.00023</v>
      </c>
      <c r="E19" s="16" t="n">
        <v>0.00012</v>
      </c>
      <c r="F19" s="16" t="n">
        <v>0.00027</v>
      </c>
      <c r="G19" s="16" t="n">
        <v>0.00012</v>
      </c>
      <c r="H19" s="16" t="n">
        <v>0.00033</v>
      </c>
      <c r="I19" s="16" t="n">
        <v>0.00018</v>
      </c>
      <c r="J19" s="16" t="n"/>
      <c r="K19" s="16" t="n"/>
      <c r="L19" s="16" t="n"/>
      <c r="M19" s="16" t="n"/>
    </row>
    <row r="20">
      <c r="A20" s="7" t="n">
        <v>16</v>
      </c>
      <c r="B20" s="16" t="n">
        <v>0.00024</v>
      </c>
      <c r="C20" s="16" t="n">
        <v>0.00014</v>
      </c>
      <c r="D20" s="16" t="n">
        <v>0.00028</v>
      </c>
      <c r="E20" s="16" t="n">
        <v>0.00014</v>
      </c>
      <c r="F20" s="16" t="n">
        <v>0.00036</v>
      </c>
      <c r="G20" s="16" t="n">
        <v>0.00016</v>
      </c>
      <c r="H20" s="16" t="n">
        <v>0.00044</v>
      </c>
      <c r="I20" s="16" t="n">
        <v>0.0002</v>
      </c>
      <c r="J20" s="16" t="n"/>
      <c r="K20" s="16" t="n"/>
      <c r="L20" s="16" t="n"/>
      <c r="M20" s="16" t="n"/>
    </row>
    <row r="21">
      <c r="A21" s="7" t="n">
        <v>17</v>
      </c>
      <c r="B21" s="16" t="n">
        <v>0.0003</v>
      </c>
      <c r="C21" s="16" t="n">
        <v>0.00016</v>
      </c>
      <c r="D21" s="16" t="n">
        <v>0.00035</v>
      </c>
      <c r="E21" s="16" t="n">
        <v>0.00017</v>
      </c>
      <c r="F21" s="16" t="n">
        <v>0.00046</v>
      </c>
      <c r="G21" s="16" t="n">
        <v>0.00019</v>
      </c>
      <c r="H21" s="16" t="n">
        <v>0.00055</v>
      </c>
      <c r="I21" s="16" t="n">
        <v>0.00023</v>
      </c>
      <c r="J21" s="16" t="n"/>
      <c r="K21" s="16" t="n"/>
      <c r="L21" s="16" t="n"/>
      <c r="M21" s="16" t="n"/>
    </row>
    <row r="22">
      <c r="A22" s="7" t="n">
        <v>18</v>
      </c>
      <c r="B22" s="16" t="n">
        <v>0.00038</v>
      </c>
      <c r="C22" s="16" t="n">
        <v>0.00019</v>
      </c>
      <c r="D22" s="16" t="n">
        <v>0.00043</v>
      </c>
      <c r="E22" s="16" t="n">
        <v>0.00021</v>
      </c>
      <c r="F22" s="16" t="n">
        <v>0.00054</v>
      </c>
      <c r="G22" s="16" t="n">
        <v>0.00022</v>
      </c>
      <c r="H22" s="16" t="n">
        <v>0.00065</v>
      </c>
      <c r="I22" s="16" t="n">
        <v>0.00024</v>
      </c>
      <c r="J22" s="16" t="n"/>
      <c r="K22" s="16" t="n"/>
      <c r="L22" s="16" t="n"/>
      <c r="M22" s="16" t="n"/>
    </row>
    <row r="23">
      <c r="A23" s="7" t="n">
        <v>19</v>
      </c>
      <c r="B23" s="16" t="n">
        <v>0.00045</v>
      </c>
      <c r="C23" s="16" t="n">
        <v>0.00021</v>
      </c>
      <c r="D23" s="16" t="n">
        <v>0.0005</v>
      </c>
      <c r="E23" s="16" t="n">
        <v>0.00024</v>
      </c>
      <c r="F23" s="16" t="n">
        <v>0.0005999999999999999</v>
      </c>
      <c r="G23" s="16" t="n">
        <v>0.00023</v>
      </c>
      <c r="H23" s="16" t="n">
        <v>0.00072</v>
      </c>
      <c r="I23" s="16" t="n">
        <v>0.00027</v>
      </c>
      <c r="J23" s="16" t="n"/>
      <c r="K23" s="16" t="n"/>
      <c r="L23" s="16" t="n"/>
      <c r="M23" s="16" t="n"/>
    </row>
    <row r="24">
      <c r="A24" s="7" t="n">
        <v>20</v>
      </c>
      <c r="B24" s="16" t="n">
        <v>0.00051</v>
      </c>
      <c r="C24" s="16" t="n">
        <v>0.00024</v>
      </c>
      <c r="D24" s="16" t="n">
        <v>0.00056</v>
      </c>
      <c r="E24" s="16" t="n">
        <v>0.00026</v>
      </c>
      <c r="F24" s="16" t="n">
        <v>0.00063</v>
      </c>
      <c r="G24" s="16" t="n">
        <v>0.00025</v>
      </c>
      <c r="H24" s="16" t="n">
        <v>0.00075</v>
      </c>
      <c r="I24" s="16" t="n">
        <v>0.00029</v>
      </c>
      <c r="J24" s="16" t="n"/>
      <c r="K24" s="16" t="n"/>
      <c r="L24" s="16" t="n"/>
      <c r="M24" s="16" t="n"/>
    </row>
    <row r="25">
      <c r="A25" s="7" t="n">
        <v>21</v>
      </c>
      <c r="B25" s="16" t="n">
        <v>0.00057</v>
      </c>
      <c r="C25" s="16" t="n">
        <v>0.00025</v>
      </c>
      <c r="D25" s="16" t="n">
        <v>0.0005999999999999999</v>
      </c>
      <c r="E25" s="16" t="n">
        <v>0.00029</v>
      </c>
      <c r="F25" s="16" t="n">
        <v>0.00065</v>
      </c>
      <c r="G25" s="16" t="n">
        <v>0.00027</v>
      </c>
      <c r="H25" s="16" t="n">
        <v>0.00075</v>
      </c>
      <c r="I25" s="16" t="n">
        <v>0.00031</v>
      </c>
      <c r="J25" s="16" t="n"/>
      <c r="K25" s="16" t="n"/>
      <c r="L25" s="16" t="n"/>
      <c r="M25" s="16" t="n"/>
    </row>
    <row r="26">
      <c r="A26" s="7" t="n">
        <v>22</v>
      </c>
      <c r="B26" s="16" t="n">
        <v>0.00061</v>
      </c>
      <c r="C26" s="16" t="n">
        <v>0.00026</v>
      </c>
      <c r="D26" s="16" t="n">
        <v>0.00063</v>
      </c>
      <c r="E26" s="16" t="n">
        <v>0.00031</v>
      </c>
      <c r="F26" s="16" t="n">
        <v>0.00067</v>
      </c>
      <c r="G26" s="16" t="n">
        <v>0.00028</v>
      </c>
      <c r="H26" s="16" t="n">
        <v>0.00074</v>
      </c>
      <c r="I26" s="16" t="n">
        <v>0.00031</v>
      </c>
      <c r="J26" s="16" t="n"/>
      <c r="K26" s="16" t="n"/>
      <c r="L26" s="16" t="n"/>
      <c r="M26" s="16" t="n"/>
    </row>
    <row r="27">
      <c r="A27" s="7" t="n">
        <v>23</v>
      </c>
      <c r="B27" s="16" t="n">
        <v>0.0006400000000000001</v>
      </c>
      <c r="C27" s="16" t="n">
        <v>0.00026</v>
      </c>
      <c r="D27" s="16" t="n">
        <v>0.00066</v>
      </c>
      <c r="E27" s="16" t="n">
        <v>0.00033</v>
      </c>
      <c r="F27" s="16" t="n">
        <v>0.00069</v>
      </c>
      <c r="G27" s="16" t="n">
        <v>0.0003</v>
      </c>
      <c r="H27" s="16" t="n">
        <v>0.00073</v>
      </c>
      <c r="I27" s="16" t="n">
        <v>0.0003</v>
      </c>
      <c r="J27" s="16" t="n"/>
      <c r="K27" s="16" t="n"/>
      <c r="L27" s="16" t="n"/>
      <c r="M27" s="16" t="n"/>
    </row>
    <row r="28">
      <c r="A28" s="7" t="n">
        <v>24</v>
      </c>
      <c r="B28" s="16" t="n">
        <v>0.0006400000000000001</v>
      </c>
      <c r="C28" s="16" t="n">
        <v>0.00026</v>
      </c>
      <c r="D28" s="16" t="n">
        <v>0.00067</v>
      </c>
      <c r="E28" s="16" t="n">
        <v>0.00033</v>
      </c>
      <c r="F28" s="16" t="n">
        <v>0.00069</v>
      </c>
      <c r="G28" s="16" t="n">
        <v>0.0003</v>
      </c>
      <c r="H28" s="16" t="n">
        <v>0.00072</v>
      </c>
      <c r="I28" s="16" t="n">
        <v>0.00029</v>
      </c>
      <c r="J28" s="16" t="n"/>
      <c r="K28" s="16" t="n"/>
      <c r="L28" s="16" t="n"/>
      <c r="M28" s="16" t="n"/>
    </row>
    <row r="29">
      <c r="A29" s="7" t="n">
        <v>25</v>
      </c>
      <c r="B29" s="16" t="n">
        <v>0.0006400000000000001</v>
      </c>
      <c r="C29" s="16" t="n">
        <v>0.00026</v>
      </c>
      <c r="D29" s="16" t="n">
        <v>0.00067</v>
      </c>
      <c r="E29" s="16" t="n">
        <v>0.00032</v>
      </c>
      <c r="F29" s="16" t="n">
        <v>0.00068</v>
      </c>
      <c r="G29" s="16" t="n">
        <v>0.00031</v>
      </c>
      <c r="H29" s="16" t="n">
        <v>0.00071</v>
      </c>
      <c r="I29" s="16" t="n">
        <v>0.0003</v>
      </c>
      <c r="J29" s="16" t="n"/>
      <c r="K29" s="16" t="n"/>
      <c r="L29" s="16" t="n"/>
      <c r="M29" s="16" t="n"/>
    </row>
    <row r="30">
      <c r="A30" s="7" t="n">
        <v>26</v>
      </c>
      <c r="B30" s="16" t="n">
        <v>0.00065</v>
      </c>
      <c r="C30" s="16" t="n">
        <v>0.00027</v>
      </c>
      <c r="D30" s="16" t="n">
        <v>0.00067</v>
      </c>
      <c r="E30" s="16" t="n">
        <v>0.00031</v>
      </c>
      <c r="F30" s="16" t="n">
        <v>0.00066</v>
      </c>
      <c r="G30" s="16" t="n">
        <v>0.00031</v>
      </c>
      <c r="H30" s="16" t="n">
        <v>0.00071</v>
      </c>
      <c r="I30" s="16" t="n">
        <v>0.00031</v>
      </c>
      <c r="J30" s="16" t="n"/>
      <c r="K30" s="16" t="n"/>
      <c r="L30" s="16" t="n"/>
      <c r="M30" s="16" t="n"/>
    </row>
    <row r="31">
      <c r="A31" s="7" t="n">
        <v>27</v>
      </c>
      <c r="B31" s="16" t="n">
        <v>0.00066</v>
      </c>
      <c r="C31" s="16" t="n">
        <v>0.00028</v>
      </c>
      <c r="D31" s="16" t="n">
        <v>0.00068</v>
      </c>
      <c r="E31" s="16" t="n">
        <v>0.00031</v>
      </c>
      <c r="F31" s="16" t="n">
        <v>0.00065</v>
      </c>
      <c r="G31" s="16" t="n">
        <v>0.00032</v>
      </c>
      <c r="H31" s="16" t="n">
        <v>0.00072</v>
      </c>
      <c r="I31" s="16" t="n">
        <v>0.00034</v>
      </c>
      <c r="J31" s="16" t="n"/>
      <c r="K31" s="16" t="n"/>
      <c r="L31" s="16" t="n"/>
      <c r="M31" s="16" t="n"/>
    </row>
    <row r="32">
      <c r="A32" s="7" t="n">
        <v>28</v>
      </c>
      <c r="B32" s="16" t="n">
        <v>0.00067</v>
      </c>
      <c r="C32" s="16" t="n">
        <v>0.00031</v>
      </c>
      <c r="D32" s="16" t="n">
        <v>0.0007</v>
      </c>
      <c r="E32" s="16" t="n">
        <v>0.00032</v>
      </c>
      <c r="F32" s="16" t="n">
        <v>0.00067</v>
      </c>
      <c r="G32" s="16" t="n">
        <v>0.00034</v>
      </c>
      <c r="H32" s="16" t="n">
        <v>0.00075</v>
      </c>
      <c r="I32" s="16" t="n">
        <v>0.00036</v>
      </c>
      <c r="J32" s="16" t="n"/>
      <c r="K32" s="16" t="n"/>
      <c r="L32" s="16" t="n"/>
      <c r="M32" s="16" t="n"/>
    </row>
    <row r="33">
      <c r="A33" s="7" t="n">
        <v>29</v>
      </c>
      <c r="B33" s="16" t="n">
        <v>0.00068</v>
      </c>
      <c r="C33" s="16" t="n">
        <v>0.00034</v>
      </c>
      <c r="D33" s="16" t="n">
        <v>0.00072</v>
      </c>
      <c r="E33" s="16" t="n">
        <v>0.00035</v>
      </c>
      <c r="F33" s="16" t="n">
        <v>0.00071</v>
      </c>
      <c r="G33" s="16" t="n">
        <v>0.00036</v>
      </c>
      <c r="H33" s="16" t="n">
        <v>0.00077</v>
      </c>
      <c r="I33" s="16" t="n">
        <v>0.00038</v>
      </c>
      <c r="J33" s="16" t="n"/>
      <c r="K33" s="16" t="n"/>
      <c r="L33" s="16" t="n"/>
      <c r="M33" s="16" t="n"/>
    </row>
    <row r="34">
      <c r="A34" s="7" t="n">
        <v>30</v>
      </c>
      <c r="B34" s="16" t="n">
        <v>0.00069</v>
      </c>
      <c r="C34" s="16" t="n">
        <v>0.00036</v>
      </c>
      <c r="D34" s="16" t="n">
        <v>0.00074</v>
      </c>
      <c r="E34" s="16" t="n">
        <v>0.00037</v>
      </c>
      <c r="F34" s="16" t="n">
        <v>0.00077</v>
      </c>
      <c r="G34" s="16" t="n">
        <v>0.00038</v>
      </c>
      <c r="H34" s="16" t="n">
        <v>0.00079</v>
      </c>
      <c r="I34" s="16" t="n">
        <v>0.0004</v>
      </c>
      <c r="J34" s="16" t="n"/>
      <c r="K34" s="16" t="n"/>
      <c r="L34" s="16" t="n"/>
      <c r="M34" s="16" t="n"/>
    </row>
    <row r="35">
      <c r="A35" s="7" t="n">
        <v>31</v>
      </c>
      <c r="B35" s="16" t="n">
        <v>0.00071</v>
      </c>
      <c r="C35" s="16" t="n">
        <v>0.00038</v>
      </c>
      <c r="D35" s="16" t="n">
        <v>0.00076</v>
      </c>
      <c r="E35" s="16" t="n">
        <v>0.0004</v>
      </c>
      <c r="F35" s="16" t="n">
        <v>0.00082</v>
      </c>
      <c r="G35" s="16" t="n">
        <v>0.00041</v>
      </c>
      <c r="H35" s="16" t="n">
        <v>0.00079</v>
      </c>
      <c r="I35" s="16" t="n">
        <v>0.00043</v>
      </c>
      <c r="J35" s="16" t="n"/>
      <c r="K35" s="16" t="n"/>
      <c r="L35" s="16" t="n"/>
      <c r="M35" s="16" t="n"/>
    </row>
    <row r="36">
      <c r="A36" s="7" t="n">
        <v>32</v>
      </c>
      <c r="B36" s="16" t="n">
        <v>0.00074</v>
      </c>
      <c r="C36" s="16" t="n">
        <v>0.0004</v>
      </c>
      <c r="D36" s="16" t="n">
        <v>0.00079</v>
      </c>
      <c r="E36" s="16" t="n">
        <v>0.00042</v>
      </c>
      <c r="F36" s="16" t="n">
        <v>0.00088</v>
      </c>
      <c r="G36" s="16" t="n">
        <v>0.00044</v>
      </c>
      <c r="H36" s="16" t="n">
        <v>0.00081</v>
      </c>
      <c r="I36" s="16" t="n">
        <v>0.00047</v>
      </c>
      <c r="J36" s="16" t="n"/>
      <c r="K36" s="16" t="n"/>
      <c r="L36" s="16" t="n"/>
      <c r="M36" s="16" t="n"/>
    </row>
    <row r="37">
      <c r="A37" s="7" t="n">
        <v>33</v>
      </c>
      <c r="B37" s="16" t="n">
        <v>0.00077</v>
      </c>
      <c r="C37" s="16" t="n">
        <v>0.00042</v>
      </c>
      <c r="D37" s="16" t="n">
        <v>0.00085</v>
      </c>
      <c r="E37" s="16" t="n">
        <v>0.00046</v>
      </c>
      <c r="F37" s="16" t="n">
        <v>0.00092</v>
      </c>
      <c r="G37" s="16" t="n">
        <v>0.00047</v>
      </c>
      <c r="H37" s="16" t="n">
        <v>0.00085</v>
      </c>
      <c r="I37" s="16" t="n">
        <v>0.0005</v>
      </c>
      <c r="J37" s="16" t="n"/>
      <c r="K37" s="16" t="n"/>
      <c r="L37" s="16" t="n"/>
      <c r="M37" s="16" t="n"/>
    </row>
    <row r="38">
      <c r="A38" s="7" t="n">
        <v>34</v>
      </c>
      <c r="B38" s="16" t="n">
        <v>0.00081</v>
      </c>
      <c r="C38" s="16" t="n">
        <v>0.00045</v>
      </c>
      <c r="D38" s="16" t="n">
        <v>0.00092</v>
      </c>
      <c r="E38" s="16" t="n">
        <v>0.00049</v>
      </c>
      <c r="F38" s="16" t="n">
        <v>0.00095</v>
      </c>
      <c r="G38" s="16" t="n">
        <v>0.0005</v>
      </c>
      <c r="H38" s="16" t="n">
        <v>0.00091</v>
      </c>
      <c r="I38" s="16" t="n">
        <v>0.00052</v>
      </c>
      <c r="J38" s="16" t="n"/>
      <c r="K38" s="16" t="n"/>
      <c r="L38" s="16" t="n"/>
      <c r="M38" s="16" t="n"/>
    </row>
    <row r="39">
      <c r="A39" s="7" t="n">
        <v>35</v>
      </c>
      <c r="B39" s="16" t="n">
        <v>0.00085</v>
      </c>
      <c r="C39" s="16" t="n">
        <v>0.00048</v>
      </c>
      <c r="D39" s="16" t="n">
        <v>0.00098</v>
      </c>
      <c r="E39" s="16" t="n">
        <v>0.00053</v>
      </c>
      <c r="F39" s="16" t="n">
        <v>0.00099</v>
      </c>
      <c r="G39" s="16" t="n">
        <v>0.00054</v>
      </c>
      <c r="H39" s="16" t="n">
        <v>0.00098</v>
      </c>
      <c r="I39" s="16" t="n">
        <v>0.00054</v>
      </c>
      <c r="J39" s="16" t="n"/>
      <c r="K39" s="16" t="n"/>
      <c r="L39" s="16" t="n"/>
      <c r="M39" s="16" t="n"/>
    </row>
    <row r="40">
      <c r="A40" s="7" t="n">
        <v>36</v>
      </c>
      <c r="B40" s="16" t="n">
        <v>0.0009</v>
      </c>
      <c r="C40" s="16" t="n">
        <v>0.00052</v>
      </c>
      <c r="D40" s="16" t="n">
        <v>0.00105</v>
      </c>
      <c r="E40" s="16" t="n">
        <v>0.00057</v>
      </c>
      <c r="F40" s="16" t="n">
        <v>0.00105</v>
      </c>
      <c r="G40" s="16" t="n">
        <v>0.00058</v>
      </c>
      <c r="H40" s="16" t="n">
        <v>0.00106</v>
      </c>
      <c r="I40" s="16" t="n">
        <v>0.00057</v>
      </c>
      <c r="J40" s="16" t="n"/>
      <c r="K40" s="16" t="n"/>
      <c r="L40" s="16" t="n"/>
      <c r="M40" s="16" t="n"/>
    </row>
    <row r="41">
      <c r="A41" s="7" t="n">
        <v>37</v>
      </c>
      <c r="B41" s="16" t="n">
        <v>0.00098</v>
      </c>
      <c r="C41" s="16" t="n">
        <v>0.00056</v>
      </c>
      <c r="D41" s="16" t="n">
        <v>0.00113</v>
      </c>
      <c r="E41" s="16" t="n">
        <v>0.0005999999999999999</v>
      </c>
      <c r="F41" s="16" t="n">
        <v>0.00114</v>
      </c>
      <c r="G41" s="16" t="n">
        <v>0.00062</v>
      </c>
      <c r="H41" s="16" t="n">
        <v>0.00113</v>
      </c>
      <c r="I41" s="16" t="n">
        <v>0.00062</v>
      </c>
      <c r="J41" s="16" t="n"/>
      <c r="K41" s="16" t="n"/>
      <c r="L41" s="16" t="n"/>
      <c r="M41" s="16" t="n"/>
    </row>
    <row r="42">
      <c r="A42" s="7" t="n">
        <v>38</v>
      </c>
      <c r="B42" s="16" t="n">
        <v>0.00108</v>
      </c>
      <c r="C42" s="16" t="n">
        <v>0.00061</v>
      </c>
      <c r="D42" s="16" t="n">
        <v>0.00122</v>
      </c>
      <c r="E42" s="16" t="n">
        <v>0.00065</v>
      </c>
      <c r="F42" s="16" t="n">
        <v>0.00125</v>
      </c>
      <c r="G42" s="16" t="n">
        <v>0.00067</v>
      </c>
      <c r="H42" s="16" t="n">
        <v>0.00121</v>
      </c>
      <c r="I42" s="16" t="n">
        <v>0.00069</v>
      </c>
      <c r="J42" s="16" t="n"/>
      <c r="K42" s="16" t="n"/>
      <c r="L42" s="16" t="n"/>
      <c r="M42" s="16" t="n"/>
    </row>
    <row r="43">
      <c r="A43" s="7" t="n">
        <v>39</v>
      </c>
      <c r="B43" s="16" t="n">
        <v>0.00118</v>
      </c>
      <c r="C43" s="16" t="n">
        <v>0.00066</v>
      </c>
      <c r="D43" s="16" t="n">
        <v>0.00132</v>
      </c>
      <c r="E43" s="16" t="n">
        <v>0.0007</v>
      </c>
      <c r="F43" s="16" t="n">
        <v>0.00136</v>
      </c>
      <c r="G43" s="16" t="n">
        <v>0.00072</v>
      </c>
      <c r="H43" s="16" t="n">
        <v>0.00131</v>
      </c>
      <c r="I43" s="16" t="n">
        <v>0.00076</v>
      </c>
      <c r="J43" s="16" t="n"/>
      <c r="K43" s="16" t="n"/>
      <c r="L43" s="16" t="n"/>
      <c r="M43" s="16" t="n"/>
    </row>
    <row r="44">
      <c r="A44" s="7" t="n">
        <v>40</v>
      </c>
      <c r="B44" s="16" t="n">
        <v>0.00128</v>
      </c>
      <c r="C44" s="16" t="n">
        <v>0.00071</v>
      </c>
      <c r="D44" s="16" t="n">
        <v>0.00143</v>
      </c>
      <c r="E44" s="16" t="n">
        <v>0.00075</v>
      </c>
      <c r="F44" s="16" t="n">
        <v>0.00147</v>
      </c>
      <c r="G44" s="16" t="n">
        <v>0.00078</v>
      </c>
      <c r="H44" s="16" t="n">
        <v>0.00144</v>
      </c>
      <c r="I44" s="16" t="n">
        <v>0.00083</v>
      </c>
      <c r="J44" s="16" t="n"/>
      <c r="K44" s="16" t="n"/>
      <c r="L44" s="16" t="n"/>
      <c r="M44" s="16" t="n"/>
    </row>
    <row r="45">
      <c r="A45" s="7" t="n">
        <v>41</v>
      </c>
      <c r="B45" s="16" t="n">
        <v>0.0014</v>
      </c>
      <c r="C45" s="16" t="n">
        <v>0.00076</v>
      </c>
      <c r="D45" s="16" t="n">
        <v>0.00154</v>
      </c>
      <c r="E45" s="16" t="n">
        <v>0.00081</v>
      </c>
      <c r="F45" s="16" t="n">
        <v>0.00159</v>
      </c>
      <c r="G45" s="16" t="n">
        <v>0.00085</v>
      </c>
      <c r="H45" s="16" t="n">
        <v>0.00159</v>
      </c>
      <c r="I45" s="16" t="n">
        <v>0.0009</v>
      </c>
      <c r="J45" s="16" t="n"/>
      <c r="K45" s="16" t="n"/>
      <c r="L45" s="16" t="n"/>
      <c r="M45" s="16" t="n"/>
    </row>
    <row r="46">
      <c r="A46" s="7" t="n">
        <v>42</v>
      </c>
      <c r="B46" s="16" t="n">
        <v>0.00152</v>
      </c>
      <c r="C46" s="16" t="n">
        <v>0.00082</v>
      </c>
      <c r="D46" s="16" t="n">
        <v>0.00168</v>
      </c>
      <c r="E46" s="16" t="n">
        <v>0.00087</v>
      </c>
      <c r="F46" s="16" t="n">
        <v>0.00173</v>
      </c>
      <c r="G46" s="16" t="n">
        <v>0.00094</v>
      </c>
      <c r="H46" s="16" t="n">
        <v>0.00176</v>
      </c>
      <c r="I46" s="16" t="n">
        <v>0.00099</v>
      </c>
      <c r="J46" s="16" t="n"/>
      <c r="K46" s="16" t="n"/>
      <c r="L46" s="16" t="n"/>
      <c r="M46" s="16" t="n"/>
    </row>
    <row r="47">
      <c r="A47" s="7" t="n">
        <v>43</v>
      </c>
      <c r="B47" s="16" t="n">
        <v>0.00166</v>
      </c>
      <c r="C47" s="16" t="n">
        <v>0.00091</v>
      </c>
      <c r="D47" s="16" t="n">
        <v>0.00185</v>
      </c>
      <c r="E47" s="16" t="n">
        <v>0.00094</v>
      </c>
      <c r="F47" s="16" t="n">
        <v>0.0019</v>
      </c>
      <c r="G47" s="16" t="n">
        <v>0.00104</v>
      </c>
      <c r="H47" s="16" t="n">
        <v>0.00196</v>
      </c>
      <c r="I47" s="16" t="n">
        <v>0.0011</v>
      </c>
      <c r="J47" s="16" t="n"/>
      <c r="K47" s="16" t="n"/>
      <c r="L47" s="16" t="n"/>
      <c r="M47" s="16" t="n"/>
    </row>
    <row r="48">
      <c r="A48" s="7" t="n">
        <v>44</v>
      </c>
      <c r="B48" s="16" t="n">
        <v>0.00181</v>
      </c>
      <c r="C48" s="16" t="n">
        <v>0.001</v>
      </c>
      <c r="D48" s="16" t="n">
        <v>0.00205</v>
      </c>
      <c r="E48" s="16" t="n">
        <v>0.00103</v>
      </c>
      <c r="F48" s="16" t="n">
        <v>0.0021</v>
      </c>
      <c r="G48" s="16" t="n">
        <v>0.00113</v>
      </c>
      <c r="H48" s="16" t="n">
        <v>0.00218</v>
      </c>
      <c r="I48" s="16" t="n">
        <v>0.00123</v>
      </c>
      <c r="J48" s="16" t="n"/>
      <c r="K48" s="16" t="n"/>
      <c r="L48" s="16" t="n"/>
      <c r="M48" s="16" t="n"/>
    </row>
    <row r="49">
      <c r="A49" s="7" t="n">
        <v>45</v>
      </c>
      <c r="B49" s="16" t="n">
        <v>0.00198</v>
      </c>
      <c r="C49" s="16" t="n">
        <v>0.00108</v>
      </c>
      <c r="D49" s="16" t="n">
        <v>0.00227</v>
      </c>
      <c r="E49" s="16" t="n">
        <v>0.00113</v>
      </c>
      <c r="F49" s="16" t="n">
        <v>0.00232</v>
      </c>
      <c r="G49" s="16" t="n">
        <v>0.00122</v>
      </c>
      <c r="H49" s="16" t="n">
        <v>0.00247</v>
      </c>
      <c r="I49" s="16" t="n">
        <v>0.00137</v>
      </c>
      <c r="J49" s="16" t="n"/>
      <c r="K49" s="16" t="n"/>
      <c r="L49" s="16" t="n"/>
      <c r="M49" s="16" t="n"/>
    </row>
    <row r="50">
      <c r="A50" s="7" t="n">
        <v>46</v>
      </c>
      <c r="B50" s="16" t="n">
        <v>0.00216</v>
      </c>
      <c r="C50" s="16" t="n">
        <v>0.00115</v>
      </c>
      <c r="D50" s="16" t="n">
        <v>0.00251</v>
      </c>
      <c r="E50" s="16" t="n">
        <v>0.00124</v>
      </c>
      <c r="F50" s="16" t="n">
        <v>0.00258</v>
      </c>
      <c r="G50" s="16" t="n">
        <v>0.00131</v>
      </c>
      <c r="H50" s="16" t="n">
        <v>0.00278</v>
      </c>
      <c r="I50" s="16" t="n">
        <v>0.00152</v>
      </c>
      <c r="J50" s="16" t="n"/>
      <c r="K50" s="16" t="n"/>
      <c r="L50" s="16" t="n"/>
      <c r="M50" s="16" t="n"/>
    </row>
    <row r="51">
      <c r="A51" s="7" t="n">
        <v>47</v>
      </c>
      <c r="B51" s="16" t="n">
        <v>0.00238</v>
      </c>
      <c r="C51" s="16" t="n">
        <v>0.00124</v>
      </c>
      <c r="D51" s="16" t="n">
        <v>0.00274</v>
      </c>
      <c r="E51" s="16" t="n">
        <v>0.00135</v>
      </c>
      <c r="F51" s="16" t="n">
        <v>0.00287</v>
      </c>
      <c r="G51" s="16" t="n">
        <v>0.00143</v>
      </c>
      <c r="H51" s="16" t="n">
        <v>0.00305</v>
      </c>
      <c r="I51" s="16" t="n">
        <v>0.00167</v>
      </c>
      <c r="J51" s="16" t="n"/>
      <c r="K51" s="16" t="n"/>
      <c r="L51" s="16" t="n"/>
      <c r="M51" s="16" t="n"/>
    </row>
    <row r="52">
      <c r="A52" s="7" t="n">
        <v>48</v>
      </c>
      <c r="B52" s="16" t="n">
        <v>0.00263</v>
      </c>
      <c r="C52" s="16" t="n">
        <v>0.00138</v>
      </c>
      <c r="D52" s="16" t="n">
        <v>0.00297</v>
      </c>
      <c r="E52" s="16" t="n">
        <v>0.00147</v>
      </c>
      <c r="F52" s="16" t="n">
        <v>0.00318</v>
      </c>
      <c r="G52" s="16" t="n">
        <v>0.00158</v>
      </c>
      <c r="H52" s="16" t="n">
        <v>0.00334</v>
      </c>
      <c r="I52" s="16" t="n">
        <v>0.00181</v>
      </c>
      <c r="J52" s="16" t="n"/>
      <c r="K52" s="16" t="n"/>
      <c r="L52" s="16" t="n"/>
      <c r="M52" s="16" t="n"/>
    </row>
    <row r="53">
      <c r="A53" s="7" t="n">
        <v>49</v>
      </c>
      <c r="B53" s="16" t="n">
        <v>0.00289</v>
      </c>
      <c r="C53" s="16" t="n">
        <v>0.00153</v>
      </c>
      <c r="D53" s="16" t="n">
        <v>0.00325</v>
      </c>
      <c r="E53" s="16" t="n">
        <v>0.00161</v>
      </c>
      <c r="F53" s="16" t="n">
        <v>0.00352</v>
      </c>
      <c r="G53" s="16" t="n">
        <v>0.00175</v>
      </c>
      <c r="H53" s="16" t="n">
        <v>0.00366</v>
      </c>
      <c r="I53" s="16" t="n">
        <v>0.00195</v>
      </c>
      <c r="J53" s="16" t="n"/>
      <c r="K53" s="16" t="n"/>
      <c r="L53" s="16" t="n"/>
      <c r="M53" s="16" t="n"/>
    </row>
    <row r="54">
      <c r="A54" s="7" t="n">
        <v>50</v>
      </c>
      <c r="B54" s="16" t="n">
        <v>0.00317</v>
      </c>
      <c r="C54" s="16" t="n">
        <v>0.00167</v>
      </c>
      <c r="D54" s="16" t="n">
        <v>0.00357</v>
      </c>
      <c r="E54" s="16" t="n">
        <v>0.00176</v>
      </c>
      <c r="F54" s="16" t="n">
        <v>0.00392</v>
      </c>
      <c r="G54" s="16" t="n">
        <v>0.00196</v>
      </c>
      <c r="H54" s="16" t="n">
        <v>0.00406</v>
      </c>
      <c r="I54" s="16" t="n">
        <v>0.00211</v>
      </c>
      <c r="J54" s="16" t="n"/>
      <c r="K54" s="16" t="n"/>
      <c r="L54" s="16" t="n"/>
      <c r="M54" s="16" t="n"/>
    </row>
    <row r="55">
      <c r="A55" s="7" t="n">
        <v>51</v>
      </c>
      <c r="B55" s="16" t="n">
        <v>0.00347</v>
      </c>
      <c r="C55" s="16" t="n">
        <v>0.00179</v>
      </c>
      <c r="D55" s="16" t="n">
        <v>0.00393</v>
      </c>
      <c r="E55" s="16" t="n">
        <v>0.00192</v>
      </c>
      <c r="F55" s="16" t="n">
        <v>0.00435</v>
      </c>
      <c r="G55" s="16" t="n">
        <v>0.00215</v>
      </c>
      <c r="H55" s="16" t="n">
        <v>0.0045</v>
      </c>
      <c r="I55" s="16" t="n">
        <v>0.00227</v>
      </c>
      <c r="J55" s="16" t="n"/>
      <c r="K55" s="16" t="n"/>
      <c r="L55" s="16" t="n"/>
      <c r="M55" s="16" t="n"/>
    </row>
    <row r="56">
      <c r="A56" s="7" t="n">
        <v>52</v>
      </c>
      <c r="B56" s="16" t="n">
        <v>0.00381</v>
      </c>
      <c r="C56" s="16" t="n">
        <v>0.00191</v>
      </c>
      <c r="D56" s="16" t="n">
        <v>0.00435</v>
      </c>
      <c r="E56" s="16" t="n">
        <v>0.00209</v>
      </c>
      <c r="F56" s="16" t="n">
        <v>0.0048</v>
      </c>
      <c r="G56" s="16" t="n">
        <v>0.00233</v>
      </c>
      <c r="H56" s="16" t="n">
        <v>0.00495</v>
      </c>
      <c r="I56" s="16" t="n">
        <v>0.00245</v>
      </c>
      <c r="J56" s="16" t="n"/>
      <c r="K56" s="16" t="n"/>
      <c r="L56" s="16" t="n"/>
      <c r="M56" s="16" t="n"/>
    </row>
    <row r="57">
      <c r="A57" s="7" t="n">
        <v>53</v>
      </c>
      <c r="B57" s="16" t="n">
        <v>0.00419</v>
      </c>
      <c r="C57" s="16" t="n">
        <v>0.00204</v>
      </c>
      <c r="D57" s="16" t="n">
        <v>0.00478</v>
      </c>
      <c r="E57" s="16" t="n">
        <v>0.00226</v>
      </c>
      <c r="F57" s="16" t="n">
        <v>0.00527</v>
      </c>
      <c r="G57" s="16" t="n">
        <v>0.00251</v>
      </c>
      <c r="H57" s="16" t="n">
        <v>0.00538</v>
      </c>
      <c r="I57" s="16" t="n">
        <v>0.00263</v>
      </c>
      <c r="J57" s="16" t="n"/>
      <c r="K57" s="16" t="n"/>
      <c r="L57" s="16" t="n"/>
      <c r="M57" s="16" t="n"/>
    </row>
    <row r="58">
      <c r="A58" s="7" t="n">
        <v>54</v>
      </c>
      <c r="B58" s="16" t="n">
        <v>0.00461</v>
      </c>
      <c r="C58" s="16" t="n">
        <v>0.00219</v>
      </c>
      <c r="D58" s="16" t="n">
        <v>0.00524</v>
      </c>
      <c r="E58" s="16" t="n">
        <v>0.00243</v>
      </c>
      <c r="F58" s="16" t="n">
        <v>0.00575</v>
      </c>
      <c r="G58" s="16" t="n">
        <v>0.00266</v>
      </c>
      <c r="H58" s="16" t="n">
        <v>0.00582</v>
      </c>
      <c r="I58" s="16" t="n">
        <v>0.00282</v>
      </c>
      <c r="J58" s="16" t="n"/>
      <c r="K58" s="16" t="n"/>
      <c r="L58" s="16" t="n"/>
      <c r="M58" s="16" t="n"/>
    </row>
    <row r="59">
      <c r="A59" s="7" t="n">
        <v>55</v>
      </c>
      <c r="B59" s="16" t="n">
        <v>0.00507</v>
      </c>
      <c r="C59" s="16" t="n">
        <v>0.00236</v>
      </c>
      <c r="D59" s="16" t="n">
        <v>0.00579</v>
      </c>
      <c r="E59" s="16" t="n">
        <v>0.00265</v>
      </c>
      <c r="F59" s="16" t="n">
        <v>0.00625</v>
      </c>
      <c r="G59" s="16" t="n">
        <v>0.00279</v>
      </c>
      <c r="H59" s="16" t="n">
        <v>0.00634</v>
      </c>
      <c r="I59" s="16" t="n">
        <v>0.00302</v>
      </c>
      <c r="J59" s="16" t="n"/>
      <c r="K59" s="16" t="n"/>
      <c r="L59" s="16" t="n"/>
      <c r="M59" s="16" t="n"/>
    </row>
    <row r="60">
      <c r="A60" s="7" t="n">
        <v>56</v>
      </c>
      <c r="B60" s="16" t="n">
        <v>0.00558</v>
      </c>
      <c r="C60" s="16" t="n">
        <v>0.00254</v>
      </c>
      <c r="D60" s="16" t="n">
        <v>0.00639</v>
      </c>
      <c r="E60" s="16" t="n">
        <v>0.00287</v>
      </c>
      <c r="F60" s="16" t="n">
        <v>0.00678</v>
      </c>
      <c r="G60" s="16" t="n">
        <v>0.00294</v>
      </c>
      <c r="H60" s="16" t="n">
        <v>0.00696</v>
      </c>
      <c r="I60" s="16" t="n">
        <v>0.00324</v>
      </c>
      <c r="J60" s="16" t="n"/>
      <c r="K60" s="16" t="n"/>
      <c r="L60" s="16" t="n"/>
      <c r="M60" s="16" t="n"/>
    </row>
    <row r="61">
      <c r="A61" s="7" t="n">
        <v>57</v>
      </c>
      <c r="B61" s="16" t="n">
        <v>0.00612</v>
      </c>
      <c r="C61" s="16" t="n">
        <v>0.00273</v>
      </c>
      <c r="D61" s="16" t="n">
        <v>0.00697</v>
      </c>
      <c r="E61" s="16" t="n">
        <v>0.00306</v>
      </c>
      <c r="F61" s="16" t="n">
        <v>0.00737</v>
      </c>
      <c r="G61" s="16" t="n">
        <v>0.00313</v>
      </c>
      <c r="H61" s="16" t="n">
        <v>0.00768</v>
      </c>
      <c r="I61" s="16" t="n">
        <v>0.00347</v>
      </c>
      <c r="J61" s="16" t="n"/>
      <c r="K61" s="16" t="n"/>
      <c r="L61" s="16" t="n"/>
      <c r="M61" s="16" t="n"/>
    </row>
    <row r="62">
      <c r="A62" s="7" t="n">
        <v>58</v>
      </c>
      <c r="B62" s="16" t="n">
        <v>0.00669</v>
      </c>
      <c r="C62" s="16" t="n">
        <v>0.00292</v>
      </c>
      <c r="D62" s="16" t="n">
        <v>0.00756</v>
      </c>
      <c r="E62" s="16" t="n">
        <v>0.00324</v>
      </c>
      <c r="F62" s="16" t="n">
        <v>0.00795</v>
      </c>
      <c r="G62" s="16" t="n">
        <v>0.00334</v>
      </c>
      <c r="H62" s="16" t="n">
        <v>0.008540000000000001</v>
      </c>
      <c r="I62" s="16" t="n">
        <v>0.00375</v>
      </c>
      <c r="J62" s="16" t="n"/>
      <c r="K62" s="16" t="n"/>
      <c r="L62" s="16" t="n"/>
      <c r="M62" s="16" t="n"/>
    </row>
    <row r="63">
      <c r="A63" s="7" t="n">
        <v>59</v>
      </c>
      <c r="B63" s="16" t="n">
        <v>0.00732</v>
      </c>
      <c r="C63" s="16" t="n">
        <v>0.00313</v>
      </c>
      <c r="D63" s="16" t="n">
        <v>0.00818</v>
      </c>
      <c r="E63" s="16" t="n">
        <v>0.00343</v>
      </c>
      <c r="F63" s="16" t="n">
        <v>0.008540000000000001</v>
      </c>
      <c r="G63" s="16" t="n">
        <v>0.00356</v>
      </c>
      <c r="H63" s="16" t="n">
        <v>0.00954</v>
      </c>
      <c r="I63" s="16" t="n">
        <v>0.00413</v>
      </c>
      <c r="J63" s="16" t="n"/>
      <c r="K63" s="16" t="n"/>
      <c r="L63" s="16" t="n"/>
      <c r="M63" s="16" t="n"/>
    </row>
    <row r="64">
      <c r="A64" s="7" t="n">
        <v>60</v>
      </c>
      <c r="B64" s="16" t="n">
        <v>0.0081</v>
      </c>
      <c r="C64" s="16" t="n">
        <v>0.0034</v>
      </c>
      <c r="D64" s="16" t="n">
        <v>0.008829999999999999</v>
      </c>
      <c r="E64" s="16" t="n">
        <v>0.00364</v>
      </c>
      <c r="F64" s="16" t="n">
        <v>0.00923</v>
      </c>
      <c r="G64" s="16" t="n">
        <v>0.00383</v>
      </c>
      <c r="H64" s="16" t="n">
        <v>0.01066</v>
      </c>
      <c r="I64" s="16" t="n">
        <v>0.00457</v>
      </c>
      <c r="J64" s="16" t="n"/>
      <c r="K64" s="16" t="n"/>
      <c r="L64" s="16" t="n"/>
      <c r="M64" s="16" t="n"/>
    </row>
    <row r="65">
      <c r="A65" s="7" t="n">
        <v>61</v>
      </c>
      <c r="B65" s="16" t="n">
        <v>0.008880000000000001</v>
      </c>
      <c r="C65" s="16" t="n">
        <v>0.0037</v>
      </c>
      <c r="D65" s="16" t="n">
        <v>0.009560000000000001</v>
      </c>
      <c r="E65" s="16" t="n">
        <v>0.00391</v>
      </c>
      <c r="F65" s="16" t="n">
        <v>0.01007</v>
      </c>
      <c r="G65" s="16" t="n">
        <v>0.00416</v>
      </c>
      <c r="H65" s="16" t="n">
        <v>0.01188</v>
      </c>
      <c r="I65" s="16" t="n">
        <v>0.00504</v>
      </c>
      <c r="J65" s="16" t="n"/>
      <c r="K65" s="16" t="n"/>
      <c r="L65" s="16" t="n"/>
      <c r="M65" s="16" t="n"/>
    </row>
    <row r="66">
      <c r="A66" s="7" t="n">
        <v>62</v>
      </c>
      <c r="B66" s="16" t="n">
        <v>0.00961</v>
      </c>
      <c r="C66" s="16" t="n">
        <v>0.00401</v>
      </c>
      <c r="D66" s="16" t="n">
        <v>0.01034</v>
      </c>
      <c r="E66" s="16" t="n">
        <v>0.00425</v>
      </c>
      <c r="F66" s="16" t="n">
        <v>0.01106</v>
      </c>
      <c r="G66" s="16" t="n">
        <v>0.00458</v>
      </c>
      <c r="H66" s="16" t="n">
        <v>0.01311</v>
      </c>
      <c r="I66" s="16" t="n">
        <v>0.00549</v>
      </c>
      <c r="J66" s="16" t="n"/>
      <c r="K66" s="16" t="n"/>
      <c r="L66" s="16" t="n"/>
      <c r="M66" s="16" t="n"/>
    </row>
    <row r="67">
      <c r="A67" s="7" t="n">
        <v>63</v>
      </c>
      <c r="B67" s="16" t="n">
        <v>0.01037</v>
      </c>
      <c r="C67" s="16" t="n">
        <v>0.00434</v>
      </c>
      <c r="D67" s="16" t="n">
        <v>0.01109</v>
      </c>
      <c r="E67" s="16" t="n">
        <v>0.00458</v>
      </c>
      <c r="F67" s="16" t="n">
        <v>0.01226</v>
      </c>
      <c r="G67" s="16" t="n">
        <v>0.00507</v>
      </c>
      <c r="H67" s="16" t="n">
        <v>0.01437</v>
      </c>
      <c r="I67" s="16" t="n">
        <v>0.00598</v>
      </c>
      <c r="J67" s="16" t="n"/>
      <c r="K67" s="16" t="n"/>
      <c r="L67" s="16" t="n"/>
      <c r="M67" s="16" t="n"/>
    </row>
    <row r="68">
      <c r="A68" s="7" t="n">
        <v>64</v>
      </c>
      <c r="B68" s="16" t="n">
        <v>0.01121</v>
      </c>
      <c r="C68" s="16" t="n">
        <v>0.00465</v>
      </c>
      <c r="D68" s="16" t="n">
        <v>0.01187</v>
      </c>
      <c r="E68" s="16" t="n">
        <v>0.00492</v>
      </c>
      <c r="F68" s="16" t="n">
        <v>0.01359</v>
      </c>
      <c r="G68" s="16" t="n">
        <v>0.00562</v>
      </c>
      <c r="H68" s="16" t="n">
        <v>0.0157</v>
      </c>
      <c r="I68" s="16" t="n">
        <v>0.00653</v>
      </c>
      <c r="J68" s="16" t="n"/>
      <c r="K68" s="16" t="n"/>
      <c r="L68" s="16" t="n"/>
      <c r="M68" s="16" t="n"/>
    </row>
    <row r="69">
      <c r="A69" s="7" t="n">
        <v>65</v>
      </c>
      <c r="B69" s="16" t="n">
        <v>0.01214</v>
      </c>
      <c r="C69" s="16" t="n">
        <v>0.00498</v>
      </c>
      <c r="D69" s="16" t="n">
        <v>0.01277</v>
      </c>
      <c r="E69" s="16" t="n">
        <v>0.00536</v>
      </c>
      <c r="F69" s="16" t="n">
        <v>0.01498</v>
      </c>
      <c r="G69" s="16" t="n">
        <v>0.00618</v>
      </c>
      <c r="H69" s="16" t="n">
        <v>0.01704</v>
      </c>
      <c r="I69" s="16" t="n">
        <v>0.00715</v>
      </c>
      <c r="J69" s="16" t="n"/>
      <c r="K69" s="16" t="n"/>
      <c r="L69" s="16" t="n"/>
      <c r="M69" s="16" t="n"/>
    </row>
    <row r="70">
      <c r="A70" s="7" t="n">
        <v>66</v>
      </c>
      <c r="B70" s="16" t="n">
        <v>0.01319</v>
      </c>
      <c r="C70" s="16" t="n">
        <v>0.00537</v>
      </c>
      <c r="D70" s="16" t="n">
        <v>0.01386</v>
      </c>
      <c r="E70" s="16" t="n">
        <v>0.00589</v>
      </c>
      <c r="F70" s="16" t="n">
        <v>0.01646</v>
      </c>
      <c r="G70" s="16" t="n">
        <v>0.0068</v>
      </c>
      <c r="H70" s="16" t="n">
        <v>0.01843</v>
      </c>
      <c r="I70" s="16" t="n">
        <v>0.00783</v>
      </c>
      <c r="J70" s="16" t="n"/>
      <c r="K70" s="16" t="n"/>
      <c r="L70" s="16" t="n"/>
      <c r="M70" s="16" t="n"/>
    </row>
    <row r="71">
      <c r="A71" s="7" t="n">
        <v>67</v>
      </c>
      <c r="B71" s="16" t="n">
        <v>0.01434</v>
      </c>
      <c r="C71" s="16" t="n">
        <v>0.00584</v>
      </c>
      <c r="D71" s="16" t="n">
        <v>0.01525</v>
      </c>
      <c r="E71" s="16" t="n">
        <v>0.00648</v>
      </c>
      <c r="F71" s="16" t="n">
        <v>0.01808</v>
      </c>
      <c r="G71" s="16" t="n">
        <v>0.00748</v>
      </c>
      <c r="H71" s="16" t="n">
        <v>0.01996</v>
      </c>
      <c r="I71" s="16" t="n">
        <v>0.008569999999999999</v>
      </c>
      <c r="J71" s="16" t="n"/>
      <c r="K71" s="16" t="n"/>
      <c r="L71" s="16" t="n"/>
      <c r="M71" s="16" t="n"/>
    </row>
    <row r="72">
      <c r="A72" s="7" t="n">
        <v>68</v>
      </c>
      <c r="B72" s="16" t="n">
        <v>0.01553</v>
      </c>
      <c r="C72" s="16" t="n">
        <v>0.00634</v>
      </c>
      <c r="D72" s="16" t="n">
        <v>0.01699</v>
      </c>
      <c r="E72" s="16" t="n">
        <v>0.00716</v>
      </c>
      <c r="F72" s="16" t="n">
        <v>0.01988</v>
      </c>
      <c r="G72" s="16" t="n">
        <v>0.00825</v>
      </c>
      <c r="H72" s="16" t="n">
        <v>0.02175</v>
      </c>
      <c r="I72" s="16" t="n">
        <v>0.00946</v>
      </c>
      <c r="J72" s="16" t="n"/>
      <c r="K72" s="16" t="n"/>
      <c r="L72" s="16" t="n"/>
      <c r="M72" s="16" t="n"/>
    </row>
    <row r="73">
      <c r="A73" s="7" t="n">
        <v>69</v>
      </c>
      <c r="B73" s="16" t="n">
        <v>0.01685</v>
      </c>
      <c r="C73" s="16" t="n">
        <v>0.00692</v>
      </c>
      <c r="D73" s="16" t="n">
        <v>0.01903</v>
      </c>
      <c r="E73" s="16" t="n">
        <v>0.00797</v>
      </c>
      <c r="F73" s="16" t="n">
        <v>0.02181</v>
      </c>
      <c r="G73" s="16" t="n">
        <v>0.00907</v>
      </c>
      <c r="H73" s="16" t="n">
        <v>0.02387</v>
      </c>
      <c r="I73" s="16" t="n">
        <v>0.01054</v>
      </c>
      <c r="J73" s="16" t="n"/>
      <c r="K73" s="16" t="n"/>
      <c r="L73" s="16" t="n"/>
      <c r="M73" s="16" t="n"/>
    </row>
    <row r="74">
      <c r="A74" s="7" t="n">
        <v>70</v>
      </c>
      <c r="B74" s="16" t="n">
        <v>0.01842</v>
      </c>
      <c r="C74" s="16" t="n">
        <v>0.00767</v>
      </c>
      <c r="D74" s="16" t="n">
        <v>0.02123</v>
      </c>
      <c r="E74" s="16" t="n">
        <v>0.0089</v>
      </c>
      <c r="F74" s="16" t="n">
        <v>0.02384</v>
      </c>
      <c r="G74" s="16" t="n">
        <v>0.009990000000000001</v>
      </c>
      <c r="H74" s="16" t="n">
        <v>0.02624</v>
      </c>
      <c r="I74" s="16" t="n">
        <v>0.01182</v>
      </c>
      <c r="J74" s="16" t="n"/>
      <c r="K74" s="16" t="n"/>
      <c r="L74" s="16" t="n"/>
      <c r="M74" s="16" t="n"/>
    </row>
    <row r="75">
      <c r="A75" s="7" t="n">
        <v>71</v>
      </c>
      <c r="B75" s="16" t="n">
        <v>0.02023</v>
      </c>
      <c r="C75" s="16" t="n">
        <v>0.00856</v>
      </c>
      <c r="D75" s="16" t="n">
        <v>0.02361</v>
      </c>
      <c r="E75" s="16" t="n">
        <v>0.009990000000000001</v>
      </c>
      <c r="F75" s="16" t="n">
        <v>0.02605</v>
      </c>
      <c r="G75" s="16" t="n">
        <v>0.01106</v>
      </c>
      <c r="H75" s="16" t="n">
        <v>0.02883</v>
      </c>
      <c r="I75" s="16" t="n">
        <v>0.01328</v>
      </c>
      <c r="J75" s="16" t="n"/>
      <c r="K75" s="16" t="n"/>
      <c r="L75" s="16" t="n"/>
      <c r="M75" s="16" t="n"/>
    </row>
    <row r="76">
      <c r="A76" s="7" t="n">
        <v>72</v>
      </c>
      <c r="B76" s="16" t="n">
        <v>0.02227</v>
      </c>
      <c r="C76" s="16" t="n">
        <v>0.00961</v>
      </c>
      <c r="D76" s="16" t="n">
        <v>0.02615</v>
      </c>
      <c r="E76" s="16" t="n">
        <v>0.01124</v>
      </c>
      <c r="F76" s="16" t="n">
        <v>0.0285</v>
      </c>
      <c r="G76" s="16" t="n">
        <v>0.01228</v>
      </c>
      <c r="H76" s="16" t="n">
        <v>0.03179</v>
      </c>
      <c r="I76" s="16" t="n">
        <v>0.01499</v>
      </c>
      <c r="J76" s="16" t="n"/>
      <c r="K76" s="16" t="n"/>
      <c r="L76" s="16" t="n"/>
      <c r="M76" s="16" t="n"/>
    </row>
    <row r="77">
      <c r="A77" s="7" t="n">
        <v>73</v>
      </c>
      <c r="B77" s="16" t="n">
        <v>0.02466</v>
      </c>
      <c r="C77" s="16" t="n">
        <v>0.01083</v>
      </c>
      <c r="D77" s="16" t="n">
        <v>0.02895</v>
      </c>
      <c r="E77" s="16" t="n">
        <v>0.0126</v>
      </c>
      <c r="F77" s="16" t="n">
        <v>0.03126</v>
      </c>
      <c r="G77" s="16" t="n">
        <v>0.01371</v>
      </c>
      <c r="H77" s="16" t="n">
        <v>0.03522</v>
      </c>
      <c r="I77" s="16" t="n">
        <v>0.01698</v>
      </c>
      <c r="J77" s="16" t="n"/>
      <c r="K77" s="16" t="n"/>
      <c r="L77" s="16" t="n"/>
      <c r="M77" s="16" t="n"/>
    </row>
    <row r="78">
      <c r="A78" s="7" t="n">
        <v>74</v>
      </c>
      <c r="B78" s="16" t="n">
        <v>0.02753</v>
      </c>
      <c r="C78" s="16" t="n">
        <v>0.01224</v>
      </c>
      <c r="D78" s="16" t="n">
        <v>0.03208</v>
      </c>
      <c r="E78" s="16" t="n">
        <v>0.01409</v>
      </c>
      <c r="F78" s="16" t="n">
        <v>0.03437</v>
      </c>
      <c r="G78" s="16" t="n">
        <v>0.01539</v>
      </c>
      <c r="H78" s="16" t="n">
        <v>0.03911</v>
      </c>
      <c r="I78" s="16" t="n">
        <v>0.01928</v>
      </c>
      <c r="J78" s="16" t="n"/>
      <c r="K78" s="16" t="n"/>
      <c r="L78" s="16" t="n"/>
      <c r="M78" s="16" t="n"/>
    </row>
    <row r="79">
      <c r="A79" s="7" t="n">
        <v>75</v>
      </c>
      <c r="B79" s="16" t="n">
        <v>0.03087</v>
      </c>
      <c r="C79" s="16" t="n">
        <v>0.01381</v>
      </c>
      <c r="D79" s="16" t="n">
        <v>0.03555</v>
      </c>
      <c r="E79" s="16" t="n">
        <v>0.01574</v>
      </c>
      <c r="F79" s="16" t="n">
        <v>0.03784</v>
      </c>
      <c r="G79" s="16" t="n">
        <v>0.0174</v>
      </c>
      <c r="H79" s="16" t="n">
        <v>0.04343</v>
      </c>
      <c r="I79" s="16" t="n">
        <v>0.02185</v>
      </c>
      <c r="J79" s="16" t="n"/>
      <c r="K79" s="16" t="n"/>
      <c r="L79" s="16" t="n"/>
      <c r="M79" s="16" t="n"/>
    </row>
    <row r="80">
      <c r="A80" s="7" t="n">
        <v>76</v>
      </c>
      <c r="B80" s="16" t="n">
        <v>0.03478</v>
      </c>
      <c r="C80" s="16" t="n">
        <v>0.01558</v>
      </c>
      <c r="D80" s="16" t="n">
        <v>0.03939</v>
      </c>
      <c r="E80" s="16" t="n">
        <v>0.01759</v>
      </c>
      <c r="F80" s="16" t="n">
        <v>0.04162</v>
      </c>
      <c r="G80" s="16" t="n">
        <v>0.01974</v>
      </c>
      <c r="H80" s="16" t="n">
        <v>0.04831</v>
      </c>
      <c r="I80" s="16" t="n">
        <v>0.02476</v>
      </c>
      <c r="J80" s="16" t="n"/>
      <c r="K80" s="16" t="n"/>
      <c r="L80" s="16" t="n"/>
      <c r="M80" s="16" t="n"/>
    </row>
    <row r="81">
      <c r="A81" s="7" t="n">
        <v>77</v>
      </c>
      <c r="B81" s="16" t="n">
        <v>0.03919</v>
      </c>
      <c r="C81" s="16" t="n">
        <v>0.01763</v>
      </c>
      <c r="D81" s="16" t="n">
        <v>0.04368</v>
      </c>
      <c r="E81" s="16" t="n">
        <v>0.0197</v>
      </c>
      <c r="F81" s="16" t="n">
        <v>0.04606</v>
      </c>
      <c r="G81" s="16" t="n">
        <v>0.02249</v>
      </c>
      <c r="H81" s="16" t="n">
        <v>0.05384</v>
      </c>
      <c r="I81" s="16" t="n">
        <v>0.0281</v>
      </c>
      <c r="J81" s="16" t="n"/>
      <c r="K81" s="16" t="n"/>
      <c r="L81" s="16" t="n"/>
      <c r="M81" s="16" t="n"/>
    </row>
    <row r="82">
      <c r="A82" s="7" t="n">
        <v>78</v>
      </c>
      <c r="B82" s="16" t="n">
        <v>0.0442</v>
      </c>
      <c r="C82" s="16" t="n">
        <v>0.02006</v>
      </c>
      <c r="D82" s="16" t="n">
        <v>0.04856</v>
      </c>
      <c r="E82" s="16" t="n">
        <v>0.02221</v>
      </c>
      <c r="F82" s="16" t="n">
        <v>0.05127</v>
      </c>
      <c r="G82" s="16" t="n">
        <v>0.02573</v>
      </c>
      <c r="H82" s="16" t="n">
        <v>0.06003</v>
      </c>
      <c r="I82" s="16" t="n">
        <v>0.03195</v>
      </c>
      <c r="J82" s="16" t="n"/>
      <c r="K82" s="16" t="n"/>
      <c r="L82" s="16" t="n"/>
      <c r="M82" s="16" t="n"/>
    </row>
    <row r="83">
      <c r="A83" s="7" t="n">
        <v>79</v>
      </c>
      <c r="B83" s="16" t="n">
        <v>0.04974</v>
      </c>
      <c r="C83" s="16" t="n">
        <v>0.02284</v>
      </c>
      <c r="D83" s="16" t="n">
        <v>0.05402</v>
      </c>
      <c r="E83" s="16" t="n">
        <v>0.02528</v>
      </c>
      <c r="F83" s="16" t="n">
        <v>0.05731</v>
      </c>
      <c r="G83" s="16" t="n">
        <v>0.02944</v>
      </c>
      <c r="H83" s="16" t="n">
        <v>0.0669</v>
      </c>
      <c r="I83" s="16" t="n">
        <v>0.03632</v>
      </c>
      <c r="J83" s="16" t="n"/>
      <c r="K83" s="16" t="n"/>
      <c r="L83" s="16" t="n"/>
      <c r="M83" s="16" t="n"/>
    </row>
    <row r="84">
      <c r="A84" s="7" t="n">
        <v>80</v>
      </c>
      <c r="B84" s="16" t="n">
        <v>0.05568</v>
      </c>
      <c r="C84" s="16" t="n">
        <v>0.026</v>
      </c>
      <c r="D84" s="16" t="n">
        <v>0.05998</v>
      </c>
      <c r="E84" s="16" t="n">
        <v>0.02898</v>
      </c>
      <c r="F84" s="16" t="n">
        <v>0.06401</v>
      </c>
      <c r="G84" s="16" t="n">
        <v>0.03365</v>
      </c>
      <c r="H84" s="16" t="n">
        <v>0.07453</v>
      </c>
      <c r="I84" s="16" t="n">
        <v>0.0413</v>
      </c>
      <c r="J84" s="16" t="n"/>
      <c r="K84" s="16" t="n"/>
      <c r="L84" s="16" t="n"/>
      <c r="M84" s="16" t="n"/>
    </row>
    <row r="85">
      <c r="A85" s="7" t="n">
        <v>81</v>
      </c>
      <c r="B85" s="16" t="n">
        <v>0.06208</v>
      </c>
      <c r="C85" s="16" t="n">
        <v>0.02956</v>
      </c>
      <c r="D85" s="16" t="n">
        <v>0.06639</v>
      </c>
      <c r="E85" s="16" t="n">
        <v>0.03332</v>
      </c>
      <c r="F85" s="16" t="n">
        <v>0.07156</v>
      </c>
      <c r="G85" s="16" t="n">
        <v>0.03837</v>
      </c>
      <c r="H85" s="16" t="n">
        <v>0.08313</v>
      </c>
      <c r="I85" s="16" t="n">
        <v>0.04701</v>
      </c>
      <c r="J85" s="16" t="n"/>
      <c r="K85" s="16" t="n"/>
      <c r="L85" s="16" t="n"/>
      <c r="M85" s="16" t="n"/>
    </row>
    <row r="86">
      <c r="A86" s="7" t="n">
        <v>82</v>
      </c>
      <c r="B86" s="16" t="n">
        <v>0.06937</v>
      </c>
      <c r="C86" s="16" t="n">
        <v>0.03371</v>
      </c>
      <c r="D86" s="16" t="n">
        <v>0.07360999999999999</v>
      </c>
      <c r="E86" s="16" t="n">
        <v>0.03844</v>
      </c>
      <c r="F86" s="16" t="n">
        <v>0.07962</v>
      </c>
      <c r="G86" s="16" t="n">
        <v>0.04356</v>
      </c>
      <c r="H86" s="16" t="n">
        <v>0.09265</v>
      </c>
      <c r="I86" s="16" t="n">
        <v>0.05356</v>
      </c>
      <c r="J86" s="16" t="n"/>
      <c r="K86" s="16" t="n"/>
      <c r="L86" s="16" t="n"/>
      <c r="M86" s="16" t="n"/>
    </row>
    <row r="87">
      <c r="A87" s="7" t="n">
        <v>83</v>
      </c>
      <c r="B87" s="16" t="n">
        <v>0.07793</v>
      </c>
      <c r="C87" s="16" t="n">
        <v>0.03867</v>
      </c>
      <c r="D87" s="16" t="n">
        <v>0.08176</v>
      </c>
      <c r="E87" s="16" t="n">
        <v>0.0441</v>
      </c>
      <c r="F87" s="16" t="n">
        <v>0.08813</v>
      </c>
      <c r="G87" s="16" t="n">
        <v>0.04934</v>
      </c>
      <c r="H87" s="16" t="n">
        <v>0.10295</v>
      </c>
      <c r="I87" s="16" t="n">
        <v>0.061</v>
      </c>
      <c r="J87" s="16" t="n"/>
      <c r="K87" s="16" t="n"/>
      <c r="L87" s="16" t="n"/>
      <c r="M87" s="16" t="n"/>
    </row>
    <row r="88">
      <c r="A88" s="7" t="n">
        <v>84</v>
      </c>
      <c r="B88" s="16" t="n">
        <v>0.08752</v>
      </c>
      <c r="C88" s="16" t="n">
        <v>0.04458</v>
      </c>
      <c r="D88" s="16" t="n">
        <v>0.09081</v>
      </c>
      <c r="E88" s="16" t="n">
        <v>0.05023</v>
      </c>
      <c r="F88" s="16" t="n">
        <v>0.09699000000000001</v>
      </c>
      <c r="G88" s="16" t="n">
        <v>0.05581</v>
      </c>
      <c r="H88" s="16" t="n">
        <v>0.11379</v>
      </c>
      <c r="I88" s="16" t="n">
        <v>0.06937</v>
      </c>
      <c r="J88" s="16" t="n"/>
      <c r="K88" s="16" t="n"/>
      <c r="L88" s="16" t="n"/>
      <c r="M88" s="16" t="n"/>
    </row>
    <row r="89">
      <c r="A89" s="7" t="n">
        <v>85</v>
      </c>
      <c r="B89" s="16" t="n">
        <v>0.09785000000000001</v>
      </c>
      <c r="C89" s="16" t="n">
        <v>0.05155</v>
      </c>
      <c r="D89" s="16" t="n">
        <v>0.10068</v>
      </c>
      <c r="E89" s="16" t="n">
        <v>0.05696</v>
      </c>
      <c r="F89" s="16" t="n">
        <v>0.1064</v>
      </c>
      <c r="G89" s="16" t="n">
        <v>0.06315999999999999</v>
      </c>
      <c r="H89" s="16" t="n">
        <v>0.12615</v>
      </c>
      <c r="I89" s="16" t="n">
        <v>0.07914</v>
      </c>
      <c r="J89" s="16" t="n"/>
      <c r="K89" s="16" t="n"/>
      <c r="L89" s="16" t="n"/>
      <c r="M89" s="16" t="n"/>
    </row>
    <row r="90">
      <c r="A90" s="7" t="n">
        <v>86</v>
      </c>
      <c r="B90" s="16" t="n">
        <v>0.10827</v>
      </c>
      <c r="C90" s="16" t="n">
        <v>0.05937</v>
      </c>
      <c r="D90" s="16" t="n">
        <v>0.11164</v>
      </c>
      <c r="E90" s="16" t="n">
        <v>0.06468</v>
      </c>
      <c r="F90" s="16" t="n">
        <v>0.11678</v>
      </c>
      <c r="G90" s="16" t="n">
        <v>0.07155</v>
      </c>
      <c r="H90" s="16" t="n">
        <v>0.13985</v>
      </c>
      <c r="I90" s="16" t="n">
        <v>0.09029</v>
      </c>
      <c r="J90" s="16" t="n"/>
      <c r="K90" s="16" t="n"/>
      <c r="L90" s="16" t="n"/>
      <c r="M90" s="16" t="n"/>
    </row>
    <row r="91">
      <c r="A91" s="7" t="n">
        <v>87</v>
      </c>
      <c r="B91" s="16" t="n">
        <v>0.11926</v>
      </c>
      <c r="C91" s="16" t="n">
        <v>0.06837</v>
      </c>
      <c r="D91" s="16" t="n">
        <v>0.12361</v>
      </c>
      <c r="E91" s="16" t="n">
        <v>0.07353</v>
      </c>
      <c r="F91" s="16" t="n">
        <v>0.12806</v>
      </c>
      <c r="G91" s="16" t="n">
        <v>0.08085000000000001</v>
      </c>
      <c r="H91" s="16" t="n">
        <v>0.15401</v>
      </c>
      <c r="I91" s="16" t="n">
        <v>0.10206</v>
      </c>
      <c r="J91" s="16" t="n"/>
      <c r="K91" s="16" t="n"/>
      <c r="L91" s="16" t="n"/>
      <c r="M91" s="16" t="n"/>
    </row>
    <row r="92">
      <c r="A92" s="7" t="n">
        <v>88</v>
      </c>
      <c r="B92" s="16" t="n">
        <v>0.13135</v>
      </c>
      <c r="C92" s="16" t="n">
        <v>0.07843</v>
      </c>
      <c r="D92" s="16" t="n">
        <v>0.13642</v>
      </c>
      <c r="E92" s="16" t="n">
        <v>0.08359</v>
      </c>
      <c r="F92" s="16" t="n">
        <v>0.14042</v>
      </c>
      <c r="G92" s="16" t="n">
        <v>0.09117</v>
      </c>
      <c r="H92" s="16" t="n">
        <v>0.16795</v>
      </c>
      <c r="I92" s="16" t="n">
        <v>0.11413</v>
      </c>
      <c r="J92" s="16" t="n"/>
      <c r="K92" s="16" t="n"/>
      <c r="L92" s="16" t="n"/>
      <c r="M92" s="16" t="n"/>
    </row>
    <row r="93">
      <c r="A93" s="7" t="n">
        <v>89</v>
      </c>
      <c r="B93" s="16" t="n">
        <v>0.14503</v>
      </c>
      <c r="C93" s="16" t="n">
        <v>0.08949</v>
      </c>
      <c r="D93" s="16" t="n">
        <v>0.14936</v>
      </c>
      <c r="E93" s="16" t="n">
        <v>0.09431</v>
      </c>
      <c r="F93" s="16" t="n">
        <v>0.15378</v>
      </c>
      <c r="G93" s="16" t="n">
        <v>0.10252</v>
      </c>
      <c r="H93" s="16" t="n">
        <v>0.18221</v>
      </c>
      <c r="I93" s="16" t="n">
        <v>0.1269</v>
      </c>
      <c r="J93" s="16" t="n"/>
      <c r="K93" s="16" t="n"/>
      <c r="L93" s="16" t="n"/>
      <c r="M93" s="16" t="n"/>
    </row>
    <row r="94">
      <c r="A94" s="7" t="n">
        <v>90</v>
      </c>
      <c r="B94" s="16" t="n">
        <v>0.16041</v>
      </c>
      <c r="C94" s="16" t="n">
        <v>0.1016</v>
      </c>
      <c r="D94" s="16" t="n">
        <v>0.16453</v>
      </c>
      <c r="E94" s="16" t="n">
        <v>0.10563</v>
      </c>
      <c r="F94" s="16" t="n">
        <v>0.17013</v>
      </c>
      <c r="G94" s="16" t="n">
        <v>0.1155</v>
      </c>
      <c r="H94" s="16" t="n">
        <v>0.19961</v>
      </c>
      <c r="I94" s="16" t="n">
        <v>0.14091</v>
      </c>
      <c r="J94" s="16" t="n"/>
      <c r="K94" s="16" t="n"/>
      <c r="L94" s="16" t="n"/>
      <c r="M94" s="16" t="n"/>
    </row>
    <row r="95">
      <c r="A95" s="7" t="n">
        <v>91</v>
      </c>
      <c r="B95" s="16" t="n">
        <v>0.17569</v>
      </c>
      <c r="C95" s="16" t="n">
        <v>0.1149</v>
      </c>
      <c r="D95" s="16" t="n">
        <v>0.17971</v>
      </c>
      <c r="E95" s="16" t="n">
        <v>0.118</v>
      </c>
      <c r="F95" s="16" t="n">
        <v>0.18465</v>
      </c>
      <c r="G95" s="16" t="n">
        <v>0.12979</v>
      </c>
      <c r="H95" s="16" t="n">
        <v>0.21574</v>
      </c>
      <c r="I95" s="16" t="n">
        <v>0.15638</v>
      </c>
      <c r="J95" s="16" t="n"/>
      <c r="K95" s="16" t="n"/>
      <c r="L95" s="16" t="n"/>
      <c r="M95" s="16" t="n"/>
    </row>
    <row r="96">
      <c r="A96" s="7" t="n">
        <v>92</v>
      </c>
      <c r="B96" s="16" t="n">
        <v>0.19195</v>
      </c>
      <c r="C96" s="16" t="n">
        <v>0.12964</v>
      </c>
      <c r="D96" s="16" t="n">
        <v>0.1956</v>
      </c>
      <c r="E96" s="16" t="n">
        <v>0.132</v>
      </c>
      <c r="F96" s="16" t="n">
        <v>0.19968</v>
      </c>
      <c r="G96" s="16" t="n">
        <v>0.14472</v>
      </c>
      <c r="H96" s="16" t="n">
        <v>0.23232</v>
      </c>
      <c r="I96" s="16" t="n">
        <v>0.17294</v>
      </c>
      <c r="J96" s="16" t="n"/>
      <c r="K96" s="16" t="n"/>
      <c r="L96" s="16" t="n"/>
      <c r="M96" s="16" t="n"/>
    </row>
    <row r="97">
      <c r="A97" s="7" t="n">
        <v>93</v>
      </c>
      <c r="B97" s="16" t="n">
        <v>0.20922</v>
      </c>
      <c r="C97" s="16" t="n">
        <v>0.14628</v>
      </c>
      <c r="D97" s="16" t="n">
        <v>0.2122</v>
      </c>
      <c r="E97" s="16" t="n">
        <v>0.14747</v>
      </c>
      <c r="F97" s="16" t="n">
        <v>0.21523</v>
      </c>
      <c r="G97" s="16" t="n">
        <v>0.15966</v>
      </c>
      <c r="H97" s="16" t="n">
        <v>0.24934</v>
      </c>
      <c r="I97" s="16" t="n">
        <v>0.18963</v>
      </c>
      <c r="J97" s="16" t="n"/>
      <c r="K97" s="16" t="n"/>
      <c r="L97" s="16" t="n"/>
      <c r="M97" s="16" t="n"/>
    </row>
    <row r="98">
      <c r="A98" s="7" t="n">
        <v>94</v>
      </c>
      <c r="B98" s="16" t="n">
        <v>0.22755</v>
      </c>
      <c r="C98" s="16" t="n">
        <v>0.16458</v>
      </c>
      <c r="D98" s="16" t="n">
        <v>0.22953</v>
      </c>
      <c r="E98" s="16" t="n">
        <v>0.16403</v>
      </c>
      <c r="F98" s="16" t="n">
        <v>0.23129</v>
      </c>
      <c r="G98" s="16" t="n">
        <v>0.17498</v>
      </c>
      <c r="H98" s="16" t="n">
        <v>0.2668</v>
      </c>
      <c r="I98" s="16" t="n">
        <v>0.20518</v>
      </c>
      <c r="J98" s="16" t="n"/>
      <c r="K98" s="16" t="n"/>
      <c r="L98" s="16" t="n"/>
      <c r="M98" s="16" t="n"/>
    </row>
    <row r="99">
      <c r="A99" s="7" t="n">
        <v>95</v>
      </c>
      <c r="B99" s="16" t="n">
        <v>0.24695</v>
      </c>
      <c r="C99" s="16" t="n">
        <v>0.18367</v>
      </c>
      <c r="D99" s="16" t="n">
        <v>0.24758</v>
      </c>
      <c r="E99" s="16" t="n">
        <v>0.17947</v>
      </c>
      <c r="F99" s="16" t="n">
        <v>0.24787</v>
      </c>
      <c r="G99" s="16" t="n">
        <v>0.19062</v>
      </c>
      <c r="H99" s="16" t="n">
        <v>0.28468</v>
      </c>
      <c r="I99" s="16" t="n">
        <v>0.22054</v>
      </c>
      <c r="J99" s="16" t="n"/>
      <c r="K99" s="16" t="n"/>
      <c r="L99" s="16" t="n"/>
      <c r="M99" s="16" t="n"/>
    </row>
    <row r="100">
      <c r="A100" s="7" t="n">
        <v>96</v>
      </c>
      <c r="B100" s="16" t="n">
        <v>0.26744</v>
      </c>
      <c r="C100" s="16" t="n">
        <v>0.2033</v>
      </c>
      <c r="D100" s="16" t="n">
        <v>0.26637</v>
      </c>
      <c r="E100" s="16" t="n">
        <v>0.19736</v>
      </c>
      <c r="F100" s="16" t="n">
        <v>0.26496</v>
      </c>
      <c r="G100" s="16" t="n">
        <v>0.20655</v>
      </c>
      <c r="H100" s="16" t="n">
        <v>0.30298</v>
      </c>
      <c r="I100" s="16" t="n">
        <v>0.23646</v>
      </c>
      <c r="J100" s="16" t="n"/>
      <c r="K100" s="16" t="n"/>
      <c r="L100" s="16" t="n"/>
      <c r="M100" s="16" t="n"/>
    </row>
    <row r="101">
      <c r="A101" s="7" t="n">
        <v>97</v>
      </c>
      <c r="B101" s="16" t="n">
        <v>0.28905</v>
      </c>
      <c r="C101" s="16" t="n">
        <v>0.22398</v>
      </c>
      <c r="D101" s="16" t="n">
        <v>0.28588</v>
      </c>
      <c r="E101" s="16" t="n">
        <v>0.21641</v>
      </c>
      <c r="F101" s="16" t="n">
        <v>0.28255</v>
      </c>
      <c r="G101" s="16" t="n">
        <v>0.22278</v>
      </c>
      <c r="H101" s="16" t="n">
        <v>0.32168</v>
      </c>
      <c r="I101" s="16" t="n">
        <v>0.25238</v>
      </c>
      <c r="J101" s="16" t="n"/>
      <c r="K101" s="16" t="n"/>
      <c r="L101" s="16" t="n"/>
      <c r="M101" s="16" t="n"/>
    </row>
    <row r="102">
      <c r="A102" s="7" t="n">
        <v>98</v>
      </c>
      <c r="B102" s="16" t="n">
        <v>0.31177</v>
      </c>
      <c r="C102" s="16" t="n">
        <v>0.24573</v>
      </c>
      <c r="D102" s="16" t="n">
        <v>0.30611</v>
      </c>
      <c r="E102" s="16" t="n">
        <v>0.23667</v>
      </c>
      <c r="F102" s="16" t="n">
        <v>0.30065</v>
      </c>
      <c r="G102" s="16" t="n">
        <v>0.23929</v>
      </c>
      <c r="H102" s="16" t="n">
        <v>0.34076</v>
      </c>
      <c r="I102" s="16" t="n">
        <v>0.2683</v>
      </c>
      <c r="J102" s="16" t="n"/>
      <c r="K102" s="16" t="n"/>
      <c r="L102" s="16" t="n"/>
      <c r="M102" s="16" t="n"/>
    </row>
    <row r="103">
      <c r="A103" s="7" t="n">
        <v>99</v>
      </c>
      <c r="B103" s="16" t="n">
        <v>0.3356</v>
      </c>
      <c r="C103" s="16" t="n">
        <v>0.26854</v>
      </c>
      <c r="D103" s="16" t="n">
        <v>0.32706</v>
      </c>
      <c r="E103" s="16" t="n">
        <v>0.25815</v>
      </c>
      <c r="F103" s="16" t="n">
        <v>0.31923</v>
      </c>
      <c r="G103" s="16" t="n">
        <v>0.25609</v>
      </c>
      <c r="H103" s="16" t="n">
        <v>0.36021</v>
      </c>
      <c r="I103" s="16" t="n">
        <v>0.2842</v>
      </c>
      <c r="J103" s="16" t="n"/>
      <c r="K103" s="16" t="n"/>
      <c r="L103" s="16" t="n"/>
      <c r="M103" s="16" t="n"/>
    </row>
    <row r="104">
      <c r="A104" s="7" t="n">
        <v>100</v>
      </c>
      <c r="B104" s="16" t="n">
        <v>0.36051</v>
      </c>
      <c r="C104" s="16" t="n">
        <v>0.29242</v>
      </c>
      <c r="D104" s="16" t="n">
        <v>0.34869</v>
      </c>
      <c r="E104" s="16" t="n">
        <v>0.28088</v>
      </c>
      <c r="F104" s="16" t="n">
        <v>0.33828</v>
      </c>
      <c r="G104" s="16" t="n">
        <v>0.27316</v>
      </c>
      <c r="H104" s="16" t="n">
        <v>0.38</v>
      </c>
      <c r="I104" s="16" t="n">
        <v>0.30009</v>
      </c>
      <c r="J104" s="16" t="n"/>
      <c r="K104" s="16" t="n"/>
      <c r="L104" s="16" t="n"/>
      <c r="M104" s="16" t="n"/>
    </row>
    <row r="105">
      <c r="A105" s="7" t="n">
        <v>101</v>
      </c>
      <c r="B105" s="16" t="n">
        <v>0.38649</v>
      </c>
      <c r="C105" s="16" t="n">
        <v>0.31734</v>
      </c>
      <c r="D105" s="16" t="n">
        <v>0.37099</v>
      </c>
      <c r="E105" s="16" t="n">
        <v>0.30487</v>
      </c>
      <c r="F105" s="16" t="n">
        <v>0.35778</v>
      </c>
      <c r="G105" s="16" t="n">
        <v>0.29048</v>
      </c>
      <c r="H105" s="16" t="n">
        <v>0.40011</v>
      </c>
      <c r="I105" s="16" t="n">
        <v>0.31594</v>
      </c>
      <c r="J105" s="16" t="n"/>
      <c r="K105" s="16" t="n"/>
      <c r="L105" s="16" t="n"/>
      <c r="M105" s="16" t="n"/>
    </row>
    <row r="106">
      <c r="A106" s="7" t="n">
        <v>102</v>
      </c>
      <c r="B106" s="16" t="n">
        <v>0.41348</v>
      </c>
      <c r="C106" s="16" t="n">
        <v>0.34328</v>
      </c>
      <c r="D106" s="16" t="n">
        <v>0.39393</v>
      </c>
      <c r="E106" s="16" t="n">
        <v>0.3301</v>
      </c>
      <c r="F106" s="16" t="n">
        <v>0.37772</v>
      </c>
      <c r="G106" s="16" t="n">
        <v>0.30805</v>
      </c>
      <c r="H106" s="16" t="n">
        <v>0.42051</v>
      </c>
      <c r="I106" s="16" t="n">
        <v>0.33177</v>
      </c>
      <c r="J106" s="16" t="n"/>
      <c r="K106" s="16" t="n"/>
      <c r="L106" s="16" t="n"/>
      <c r="M106" s="16" t="n"/>
    </row>
    <row r="107">
      <c r="A107" s="7" t="n">
        <v>103</v>
      </c>
      <c r="B107" s="16" t="n">
        <v>0.44142</v>
      </c>
      <c r="C107" s="16" t="n">
        <v>0.37021</v>
      </c>
      <c r="D107" s="16" t="n">
        <v>0.41747</v>
      </c>
      <c r="E107" s="16" t="n">
        <v>0.35656</v>
      </c>
      <c r="F107" s="16" t="n">
        <v>0.39808</v>
      </c>
      <c r="G107" s="16" t="n">
        <v>0.32585</v>
      </c>
      <c r="H107" s="16" t="n">
        <v>0.44117</v>
      </c>
      <c r="I107" s="16" t="n">
        <v>0.34755</v>
      </c>
      <c r="J107" s="16" t="n"/>
      <c r="K107" s="16" t="n"/>
      <c r="L107" s="16" t="n"/>
      <c r="M107" s="16" t="n"/>
    </row>
    <row r="108">
      <c r="A108" s="7" t="n">
        <v>104</v>
      </c>
      <c r="B108" s="16" t="n">
        <v>0.47023</v>
      </c>
      <c r="C108" s="16" t="n">
        <v>0.39806</v>
      </c>
      <c r="D108" s="16" t="n">
        <v>0.44156</v>
      </c>
      <c r="E108" s="16" t="n">
        <v>0.38422</v>
      </c>
      <c r="F108" s="16" t="n">
        <v>0.41881</v>
      </c>
      <c r="G108" s="16" t="n">
        <v>0.34387</v>
      </c>
      <c r="H108" s="16" t="n">
        <v>0.46206</v>
      </c>
      <c r="I108" s="16" t="n">
        <v>0.36328</v>
      </c>
      <c r="J108" s="16" t="n"/>
      <c r="K108" s="16" t="n"/>
      <c r="L108" s="16" t="n"/>
      <c r="M108" s="16" t="n"/>
    </row>
    <row r="109">
      <c r="A109" s="7" t="n">
        <v>105</v>
      </c>
      <c r="B109" s="16" t="n">
        <v>0.4998</v>
      </c>
      <c r="C109" s="16" t="n">
        <v>0.42678</v>
      </c>
      <c r="D109" s="16" t="n">
        <v>0.46615</v>
      </c>
      <c r="E109" s="16" t="n">
        <v>0.41302</v>
      </c>
      <c r="F109" s="16" t="n">
        <v>0.43989</v>
      </c>
      <c r="G109" s="16" t="n">
        <v>0.3621</v>
      </c>
      <c r="H109" s="16" t="n">
        <v>0.48315</v>
      </c>
      <c r="I109" s="16" t="n">
        <v>0.37895</v>
      </c>
      <c r="J109" s="16" t="n"/>
      <c r="K109" s="16" t="n"/>
      <c r="L109" s="16" t="n"/>
      <c r="M109" s="16" t="n"/>
    </row>
    <row r="110">
      <c r="A110" s="7" t="n">
        <v>106</v>
      </c>
      <c r="B110" s="16" t="n">
        <v>0.53002</v>
      </c>
      <c r="C110" s="16" t="n">
        <v>0.45627</v>
      </c>
      <c r="D110" s="16" t="n">
        <v>0.49118</v>
      </c>
      <c r="E110" s="16" t="n">
        <v>0.44287</v>
      </c>
      <c r="F110" s="16" t="n">
        <v>0.46129</v>
      </c>
      <c r="G110" s="16" t="n">
        <v>0.3805</v>
      </c>
      <c r="H110" s="16" t="n">
        <v>0.5043800000000001</v>
      </c>
      <c r="I110" s="16" t="n">
        <v>0.39456</v>
      </c>
      <c r="J110" s="16" t="n"/>
      <c r="K110" s="16" t="n"/>
      <c r="L110" s="16" t="n"/>
      <c r="M110" s="16" t="n"/>
    </row>
    <row r="111">
      <c r="A111" s="7" t="n">
        <v>107</v>
      </c>
      <c r="B111" s="16" t="n">
        <v>0.56075</v>
      </c>
      <c r="C111" s="16" t="n">
        <v>0.48643</v>
      </c>
      <c r="D111" s="16" t="n">
        <v>0.51657</v>
      </c>
      <c r="E111" s="16" t="n">
        <v>0.47369</v>
      </c>
      <c r="F111" s="16" t="n">
        <v>0.48297</v>
      </c>
      <c r="G111" s="16" t="n">
        <v>0.39907</v>
      </c>
      <c r="H111" s="16" t="n">
        <v>0.52573</v>
      </c>
      <c r="I111" s="16" t="n">
        <v>0.41009</v>
      </c>
      <c r="J111" s="16" t="n"/>
      <c r="K111" s="16" t="n"/>
      <c r="L111" s="16" t="n"/>
      <c r="M111" s="16" t="n"/>
    </row>
    <row r="112">
      <c r="A112" s="7" t="n">
        <v>108</v>
      </c>
      <c r="B112" s="16" t="n">
        <v>0.59182</v>
      </c>
      <c r="C112" s="16" t="n">
        <v>0.51715</v>
      </c>
      <c r="D112" s="16" t="n">
        <v>0.54226</v>
      </c>
      <c r="E112" s="16" t="n">
        <v>0.50534</v>
      </c>
      <c r="F112" s="16" t="n">
        <v>0.50487</v>
      </c>
      <c r="G112" s="16" t="n">
        <v>0.41778</v>
      </c>
      <c r="H112" s="16" t="n">
        <v>0.54715</v>
      </c>
      <c r="I112" s="16" t="n">
        <v>0.42554</v>
      </c>
      <c r="J112" s="16" t="n"/>
      <c r="K112" s="16" t="n"/>
      <c r="L112" s="16" t="n"/>
      <c r="M112" s="16" t="n"/>
    </row>
    <row r="113">
      <c r="A113" s="7" t="n">
        <v>109</v>
      </c>
      <c r="B113" s="16" t="n">
        <v>0.62304</v>
      </c>
      <c r="C113" s="16" t="n">
        <v>0.54827</v>
      </c>
      <c r="D113" s="16" t="n">
        <v>0.56814</v>
      </c>
      <c r="E113" s="16" t="n">
        <v>0.53768</v>
      </c>
      <c r="F113" s="16" t="n">
        <v>0.52696</v>
      </c>
      <c r="G113" s="16" t="n">
        <v>0.43661</v>
      </c>
      <c r="H113" s="16" t="n">
        <v>0.56858</v>
      </c>
      <c r="I113" s="16" t="n">
        <v>0.44091</v>
      </c>
      <c r="J113" s="16" t="n"/>
      <c r="K113" s="16" t="n"/>
      <c r="L113" s="16" t="n"/>
      <c r="M113" s="16" t="n"/>
    </row>
    <row r="114">
      <c r="A114" s="7" t="n">
        <v>110</v>
      </c>
      <c r="B114" s="16" t="n">
        <v>0.65422</v>
      </c>
      <c r="C114" s="16" t="n">
        <v>0.57965</v>
      </c>
      <c r="D114" s="16" t="n">
        <v>0.59413</v>
      </c>
      <c r="E114" s="16" t="n">
        <v>0.57053</v>
      </c>
      <c r="F114" s="16" t="n">
        <v>0.54918</v>
      </c>
      <c r="G114" s="16" t="n">
        <v>0.45554</v>
      </c>
      <c r="H114" s="16" t="n">
        <v>0.5899799999999999</v>
      </c>
      <c r="I114" s="16" t="n">
        <v>0.45617</v>
      </c>
      <c r="J114" s="16" t="n"/>
      <c r="K114" s="16" t="n"/>
      <c r="L114" s="16" t="n"/>
      <c r="M114" s="16" t="n"/>
    </row>
    <row r="115">
      <c r="A115" s="7" t="n">
        <v>111</v>
      </c>
      <c r="B115" s="16" t="n">
        <v>1</v>
      </c>
      <c r="C115" s="16" t="n">
        <v>0.61112</v>
      </c>
      <c r="D115" s="16" t="n">
        <v>0.6201100000000001</v>
      </c>
      <c r="E115" s="16" t="n">
        <v>0.6036899999999999</v>
      </c>
      <c r="F115" s="16" t="n">
        <v>0.57147</v>
      </c>
      <c r="G115" s="16" t="n">
        <v>0.47454</v>
      </c>
      <c r="H115" s="16" t="n">
        <v>1</v>
      </c>
      <c r="I115" s="16" t="n">
        <v>0.47133</v>
      </c>
      <c r="J115" s="16" t="n"/>
      <c r="K115" s="16" t="n"/>
      <c r="L115" s="16" t="n"/>
      <c r="M115" s="16" t="n"/>
    </row>
    <row r="116">
      <c r="A116" s="7" t="n">
        <v>112</v>
      </c>
      <c r="B116" s="16" t="n">
        <v>1</v>
      </c>
      <c r="C116" s="16" t="n">
        <v>0.64247</v>
      </c>
      <c r="D116" s="16" t="n">
        <v>1</v>
      </c>
      <c r="E116" s="16" t="n">
        <v>0.63692</v>
      </c>
      <c r="F116" s="16" t="n">
        <v>0.59378</v>
      </c>
      <c r="G116" s="16" t="n">
        <v>0.49359</v>
      </c>
      <c r="H116" s="16" t="n">
        <v>1</v>
      </c>
      <c r="I116" s="16" t="n">
        <v>0.48637</v>
      </c>
      <c r="J116" s="16" t="n"/>
      <c r="K116" s="16" t="n"/>
      <c r="L116" s="16" t="n"/>
      <c r="M116" s="16" t="n"/>
    </row>
    <row r="117">
      <c r="A117" s="7" t="n">
        <v>113</v>
      </c>
      <c r="B117" s="16" t="n">
        <v>1</v>
      </c>
      <c r="C117" s="16" t="n">
        <v>0.67352</v>
      </c>
      <c r="D117" s="16" t="n">
        <v>1</v>
      </c>
      <c r="E117" s="16" t="n">
        <v>0.66997</v>
      </c>
      <c r="F117" s="16" t="n">
        <v>1</v>
      </c>
      <c r="G117" s="16" t="n">
        <v>0.51266</v>
      </c>
      <c r="H117" s="16" t="n">
        <v>1</v>
      </c>
      <c r="I117" s="16" t="n">
        <v>0.50129</v>
      </c>
      <c r="J117" s="16" t="n"/>
      <c r="K117" s="16" t="n"/>
      <c r="L117" s="16" t="n"/>
      <c r="M117" s="16" t="n"/>
    </row>
    <row r="118">
      <c r="A118" s="7" t="n">
        <v>114</v>
      </c>
      <c r="B118" s="16" t="n">
        <v>1</v>
      </c>
      <c r="C118" s="16" t="n">
        <v>0.70404</v>
      </c>
      <c r="D118" s="16" t="n">
        <v>1</v>
      </c>
      <c r="E118" s="16" t="n">
        <v>0.70259</v>
      </c>
      <c r="F118" s="16" t="n">
        <v>1</v>
      </c>
      <c r="G118" s="16" t="n">
        <v>0.53172</v>
      </c>
      <c r="H118" s="16" t="n">
        <v>1</v>
      </c>
      <c r="I118" s="16" t="n">
        <v>0.51608</v>
      </c>
      <c r="J118" s="16" t="n"/>
      <c r="K118" s="16" t="n"/>
      <c r="L118" s="16" t="n"/>
      <c r="M118" s="16" t="n"/>
    </row>
    <row r="119">
      <c r="A119" s="7" t="n">
        <v>115</v>
      </c>
      <c r="B119" s="16" t="n">
        <v>1</v>
      </c>
      <c r="C119" s="16" t="n">
        <v>1</v>
      </c>
      <c r="D119" s="16" t="n">
        <v>1</v>
      </c>
      <c r="E119" s="16" t="n">
        <v>1</v>
      </c>
      <c r="F119" s="16" t="n">
        <v>1</v>
      </c>
      <c r="G119" s="16" t="n">
        <v>0.55075</v>
      </c>
      <c r="H119" s="16" t="n">
        <v>1</v>
      </c>
      <c r="I119" s="16" t="n">
        <v>0.53073</v>
      </c>
      <c r="J119" s="16" t="n"/>
      <c r="K119" s="16" t="n"/>
      <c r="L119" s="16" t="n"/>
      <c r="M119" s="16" t="n"/>
    </row>
    <row r="120">
      <c r="A120" s="7" t="n">
        <v>116</v>
      </c>
      <c r="B120" s="16" t="n">
        <v>1</v>
      </c>
      <c r="C120" s="16" t="n">
        <v>1</v>
      </c>
      <c r="D120" s="16" t="n">
        <v>1</v>
      </c>
      <c r="E120" s="16" t="n">
        <v>1</v>
      </c>
      <c r="F120" s="16" t="n">
        <v>1</v>
      </c>
      <c r="G120" s="16" t="n">
        <v>0.5697</v>
      </c>
      <c r="H120" s="16" t="n">
        <v>1</v>
      </c>
      <c r="I120" s="16" t="n">
        <v>1</v>
      </c>
      <c r="J120" s="16" t="n"/>
      <c r="K120" s="16" t="n"/>
      <c r="L120" s="16" t="n"/>
      <c r="M120" s="16" t="n"/>
    </row>
    <row r="121">
      <c r="A121" s="7" t="n">
        <v>117</v>
      </c>
      <c r="B121" s="16" t="n">
        <v>1</v>
      </c>
      <c r="C121" s="16" t="n">
        <v>1</v>
      </c>
      <c r="D121" s="16" t="n">
        <v>1</v>
      </c>
      <c r="E121" s="16" t="n">
        <v>1</v>
      </c>
      <c r="F121" s="16" t="n">
        <v>1</v>
      </c>
      <c r="G121" s="16" t="n">
        <v>1</v>
      </c>
      <c r="H121" s="16" t="n">
        <v>1</v>
      </c>
      <c r="I121" s="16" t="n">
        <v>1</v>
      </c>
      <c r="J121" s="16" t="n"/>
      <c r="K121" s="16" t="n"/>
      <c r="L121" s="16" t="n"/>
      <c r="M121" s="16" t="n"/>
    </row>
    <row r="122">
      <c r="A122" s="7" t="n">
        <v>118</v>
      </c>
      <c r="B122" s="16" t="n">
        <v>1</v>
      </c>
      <c r="C122" s="16" t="n">
        <v>1</v>
      </c>
      <c r="D122" s="16" t="n">
        <v>1</v>
      </c>
      <c r="E122" s="16" t="n">
        <v>1</v>
      </c>
      <c r="F122" s="16" t="n">
        <v>1</v>
      </c>
      <c r="G122" s="16" t="n">
        <v>1</v>
      </c>
      <c r="H122" s="16" t="n">
        <v>1</v>
      </c>
      <c r="I122" s="16" t="n">
        <v>1</v>
      </c>
      <c r="J122" s="16" t="n"/>
      <c r="K122" s="16" t="n"/>
      <c r="L122" s="16" t="n"/>
      <c r="M122" s="16" t="n"/>
    </row>
    <row r="123">
      <c r="A123" s="7" t="n">
        <v>119</v>
      </c>
      <c r="B123" s="16" t="n">
        <v>1</v>
      </c>
      <c r="C123" s="16" t="n">
        <v>1</v>
      </c>
      <c r="D123" s="16" t="n">
        <v>1</v>
      </c>
      <c r="E123" s="16" t="n">
        <v>1</v>
      </c>
      <c r="F123" s="16" t="n">
        <v>1</v>
      </c>
      <c r="G123" s="16" t="n">
        <v>1</v>
      </c>
      <c r="H123" s="16" t="n">
        <v>1</v>
      </c>
      <c r="I123" s="16" t="n">
        <v>1</v>
      </c>
      <c r="J123" s="16" t="n"/>
      <c r="K123" s="16" t="n"/>
      <c r="L123" s="16" t="n"/>
      <c r="M123" s="16" t="n"/>
    </row>
    <row r="124">
      <c r="A124" s="7" t="n">
        <v>120</v>
      </c>
      <c r="B124" s="16" t="n">
        <v>1</v>
      </c>
      <c r="C124" s="16" t="n">
        <v>1</v>
      </c>
      <c r="D124" s="16" t="n">
        <v>1</v>
      </c>
      <c r="E124" s="16" t="n">
        <v>1</v>
      </c>
      <c r="F124" s="16" t="n">
        <v>1</v>
      </c>
      <c r="G124" s="16" t="n">
        <v>1</v>
      </c>
      <c r="H124" s="16" t="n">
        <v>1</v>
      </c>
      <c r="I124" s="16" t="n">
        <v>1</v>
      </c>
      <c r="J124" s="16" t="n"/>
      <c r="K124" s="16" t="n"/>
      <c r="L124" s="16" t="n"/>
      <c r="M124" s="16" t="n"/>
    </row>
    <row r="125">
      <c r="A125" s="7" t="n">
        <v>121</v>
      </c>
      <c r="B125" s="16" t="n">
        <v>1</v>
      </c>
      <c r="C125" s="16" t="n">
        <v>1</v>
      </c>
      <c r="D125" s="16" t="n">
        <v>1</v>
      </c>
      <c r="E125" s="16" t="n">
        <v>1</v>
      </c>
      <c r="F125" s="16" t="n">
        <v>1</v>
      </c>
      <c r="G125" s="16" t="n">
        <v>1</v>
      </c>
      <c r="H125" s="16" t="n">
        <v>1</v>
      </c>
      <c r="I125" s="16" t="n">
        <v>1</v>
      </c>
      <c r="J125" s="16" t="n"/>
      <c r="K125" s="16" t="n"/>
      <c r="L125" s="16" t="n"/>
      <c r="M125" s="16" t="n"/>
    </row>
    <row r="126">
      <c r="A126" s="7" t="n">
        <v>122</v>
      </c>
      <c r="B126" s="16" t="n">
        <v>1</v>
      </c>
      <c r="C126" s="16" t="n">
        <v>1</v>
      </c>
      <c r="D126" s="16" t="n">
        <v>1</v>
      </c>
      <c r="E126" s="16" t="n">
        <v>1</v>
      </c>
      <c r="F126" s="16" t="n">
        <v>1</v>
      </c>
      <c r="G126" s="16" t="n">
        <v>1</v>
      </c>
      <c r="H126" s="16" t="n">
        <v>1</v>
      </c>
      <c r="I126" s="16" t="n">
        <v>1</v>
      </c>
      <c r="J126" s="16" t="n"/>
      <c r="K126" s="16" t="n"/>
      <c r="L126" s="16" t="n"/>
      <c r="M126" s="16" t="n"/>
    </row>
    <row r="127">
      <c r="A127" s="7" t="n">
        <v>123</v>
      </c>
      <c r="B127" s="16" t="n">
        <v>1</v>
      </c>
      <c r="C127" s="16" t="n">
        <v>1</v>
      </c>
      <c r="D127" s="16" t="n">
        <v>1</v>
      </c>
      <c r="E127" s="16" t="n">
        <v>1</v>
      </c>
      <c r="F127" s="16" t="n">
        <v>1</v>
      </c>
      <c r="G127" s="16" t="n">
        <v>1</v>
      </c>
      <c r="H127" s="16" t="n">
        <v>1</v>
      </c>
      <c r="I127" s="16" t="n">
        <v>1</v>
      </c>
      <c r="J127" s="16" t="n"/>
      <c r="K127" s="16" t="n"/>
      <c r="L127" s="16" t="n"/>
      <c r="M127" s="16" t="n"/>
    </row>
    <row r="128">
      <c r="A128" s="7" t="n">
        <v>124</v>
      </c>
      <c r="B128" s="16" t="n">
        <v>1</v>
      </c>
      <c r="C128" s="16" t="n">
        <v>1</v>
      </c>
      <c r="D128" s="16" t="n">
        <v>1</v>
      </c>
      <c r="E128" s="16" t="n">
        <v>1</v>
      </c>
      <c r="F128" s="16" t="n">
        <v>1</v>
      </c>
      <c r="G128" s="16" t="n">
        <v>1</v>
      </c>
      <c r="H128" s="16" t="n">
        <v>1</v>
      </c>
      <c r="I128" s="16" t="n">
        <v>1</v>
      </c>
      <c r="J128" s="16" t="n"/>
      <c r="K128" s="16" t="n"/>
      <c r="L128" s="16" t="n"/>
      <c r="M128" s="16" t="n"/>
    </row>
    <row r="129">
      <c r="A129" s="7" t="n">
        <v>125</v>
      </c>
      <c r="B129" s="16" t="n">
        <v>1</v>
      </c>
      <c r="C129" s="16" t="n">
        <v>1</v>
      </c>
      <c r="D129" s="16" t="n">
        <v>1</v>
      </c>
      <c r="E129" s="16" t="n">
        <v>1</v>
      </c>
      <c r="F129" s="16" t="n">
        <v>1</v>
      </c>
      <c r="G129" s="16" t="n">
        <v>1</v>
      </c>
      <c r="H129" s="16" t="n">
        <v>1</v>
      </c>
      <c r="I129" s="16" t="n">
        <v>1</v>
      </c>
      <c r="J129" s="16" t="n"/>
      <c r="K129" s="16" t="n"/>
      <c r="L129" s="16" t="n"/>
      <c r="M129" s="16" t="n"/>
    </row>
    <row r="130">
      <c r="A130" s="7" t="n">
        <v>126</v>
      </c>
      <c r="B130" s="16" t="n">
        <v>1</v>
      </c>
      <c r="C130" s="16" t="n">
        <v>1</v>
      </c>
      <c r="D130" s="16" t="n">
        <v>1</v>
      </c>
      <c r="E130" s="16" t="n">
        <v>1</v>
      </c>
      <c r="F130" s="16" t="n">
        <v>1</v>
      </c>
      <c r="G130" s="16" t="n">
        <v>1</v>
      </c>
      <c r="H130" s="16" t="n">
        <v>1</v>
      </c>
      <c r="I130" s="16" t="n">
        <v>1</v>
      </c>
      <c r="J130" s="16" t="n"/>
      <c r="K130" s="16" t="n"/>
      <c r="L130" s="16" t="n"/>
      <c r="M130" s="16" t="n"/>
    </row>
    <row r="131">
      <c r="A131" s="7" t="n">
        <v>127</v>
      </c>
      <c r="B131" s="16" t="n">
        <v>1</v>
      </c>
      <c r="C131" s="16" t="n">
        <v>1</v>
      </c>
      <c r="D131" s="16" t="n">
        <v>1</v>
      </c>
      <c r="E131" s="16" t="n">
        <v>1</v>
      </c>
      <c r="F131" s="16" t="n">
        <v>1</v>
      </c>
      <c r="G131" s="16" t="n">
        <v>1</v>
      </c>
      <c r="H131" s="16" t="n">
        <v>1</v>
      </c>
      <c r="I131" s="16" t="n">
        <v>1</v>
      </c>
      <c r="J131" s="16" t="n"/>
      <c r="K131" s="16" t="n"/>
      <c r="L131" s="16" t="n"/>
      <c r="M131" s="16" t="n"/>
    </row>
    <row r="132">
      <c r="A132" s="7" t="n">
        <v>128</v>
      </c>
      <c r="B132" s="16" t="n">
        <v>1</v>
      </c>
      <c r="C132" s="16" t="n">
        <v>1</v>
      </c>
      <c r="D132" s="16" t="n">
        <v>1</v>
      </c>
      <c r="E132" s="16" t="n">
        <v>1</v>
      </c>
      <c r="F132" s="16" t="n">
        <v>1</v>
      </c>
      <c r="G132" s="16" t="n">
        <v>1</v>
      </c>
      <c r="H132" s="16" t="n">
        <v>1</v>
      </c>
      <c r="I132" s="16" t="n">
        <v>1</v>
      </c>
      <c r="J132" s="16" t="n"/>
      <c r="K132" s="16" t="n"/>
      <c r="L132" s="16" t="n"/>
      <c r="M132" s="16" t="n"/>
    </row>
    <row r="133">
      <c r="A133" s="7" t="n">
        <v>129</v>
      </c>
      <c r="B133" s="16" t="n">
        <v>1</v>
      </c>
      <c r="C133" s="16" t="n">
        <v>1</v>
      </c>
      <c r="D133" s="16" t="n">
        <v>1</v>
      </c>
      <c r="E133" s="16" t="n">
        <v>1</v>
      </c>
      <c r="F133" s="16" t="n">
        <v>1</v>
      </c>
      <c r="G133" s="16" t="n">
        <v>1</v>
      </c>
      <c r="H133" s="16" t="n">
        <v>1</v>
      </c>
      <c r="I133" s="16" t="n">
        <v>1</v>
      </c>
      <c r="J133" s="16" t="n"/>
      <c r="K133" s="16" t="n"/>
      <c r="L133" s="16" t="n"/>
      <c r="M133" s="16" t="n"/>
    </row>
    <row r="134">
      <c r="A134" s="7" t="n">
        <v>130</v>
      </c>
      <c r="B134" s="16" t="n">
        <v>1</v>
      </c>
      <c r="C134" s="16" t="n">
        <v>1</v>
      </c>
      <c r="D134" s="16" t="n">
        <v>1</v>
      </c>
      <c r="E134" s="16" t="n">
        <v>1</v>
      </c>
      <c r="F134" s="16" t="n">
        <v>1</v>
      </c>
      <c r="G134" s="16" t="n">
        <v>1</v>
      </c>
      <c r="H134" s="16" t="n">
        <v>1</v>
      </c>
      <c r="I134" s="16" t="n">
        <v>1</v>
      </c>
      <c r="J134" s="16" t="n"/>
      <c r="K134" s="16" t="n"/>
      <c r="L134" s="16" t="n"/>
      <c r="M134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K1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Economic scenarios — flat annual discount/earned rate paths by year (lifelib Input.Scenarios, IntRate)</t>
        </is>
      </c>
    </row>
    <row r="2">
      <c r="A2" s="10" t="inlineStr">
        <is>
          <t>t</t>
        </is>
      </c>
      <c r="B2" s="10" t="inlineStr">
        <is>
          <t>Scen 1</t>
        </is>
      </c>
      <c r="C2" s="10" t="inlineStr">
        <is>
          <t>Scen 2</t>
        </is>
      </c>
      <c r="D2" s="10" t="inlineStr">
        <is>
          <t>Scen 3</t>
        </is>
      </c>
      <c r="E2" s="10" t="inlineStr">
        <is>
          <t>Scen 4</t>
        </is>
      </c>
      <c r="F2" s="10" t="inlineStr">
        <is>
          <t>Scen 5</t>
        </is>
      </c>
      <c r="G2" s="10" t="inlineStr">
        <is>
          <t>Scen 6</t>
        </is>
      </c>
      <c r="H2" s="10" t="inlineStr">
        <is>
          <t>Scen 7</t>
        </is>
      </c>
      <c r="I2" s="10" t="inlineStr">
        <is>
          <t>Scen 8</t>
        </is>
      </c>
      <c r="J2" s="10" t="inlineStr">
        <is>
          <t>Scen 9</t>
        </is>
      </c>
      <c r="K2" s="10" t="inlineStr">
        <is>
          <t>Scen 10</t>
        </is>
      </c>
    </row>
    <row r="3">
      <c r="A3" s="14" t="inlineStr">
        <is>
          <t>t</t>
        </is>
      </c>
      <c r="B3" s="14" t="inlineStr">
        <is>
          <t>DiscRate</t>
        </is>
      </c>
    </row>
    <row r="4">
      <c r="A4" s="7" t="n">
        <v>0</v>
      </c>
      <c r="B4" s="18" t="n">
        <v>0.015</v>
      </c>
      <c r="C4" s="18" t="n">
        <v>0.02</v>
      </c>
      <c r="D4" s="18" t="n">
        <v>0.01</v>
      </c>
      <c r="E4" s="18" t="n">
        <v>0.01</v>
      </c>
      <c r="F4" s="18" t="n">
        <v>0.03</v>
      </c>
      <c r="G4" s="18" t="n">
        <v>0.03</v>
      </c>
      <c r="H4" s="18" t="n">
        <v>0.03</v>
      </c>
      <c r="I4" s="18" t="n">
        <v>0.03</v>
      </c>
      <c r="J4" s="18" t="n">
        <v>0.03</v>
      </c>
      <c r="K4" s="18" t="n">
        <v>0.03</v>
      </c>
    </row>
    <row r="5">
      <c r="A5" s="7" t="n">
        <v>1</v>
      </c>
      <c r="B5" s="18" t="n">
        <v>0.015</v>
      </c>
      <c r="C5" s="18" t="n">
        <v>0.02</v>
      </c>
      <c r="D5" s="18" t="n">
        <v>0.01</v>
      </c>
      <c r="E5" s="18" t="n">
        <v>0.011</v>
      </c>
      <c r="F5" s="18" t="n">
        <v>0.03</v>
      </c>
      <c r="G5" s="18" t="n">
        <v>0.03</v>
      </c>
      <c r="H5" s="18" t="n">
        <v>0.03</v>
      </c>
      <c r="I5" s="18" t="n">
        <v>0.03</v>
      </c>
      <c r="J5" s="18" t="n">
        <v>0.03</v>
      </c>
      <c r="K5" s="18" t="n">
        <v>0.03</v>
      </c>
    </row>
    <row r="6">
      <c r="A6" s="7" t="n">
        <v>2</v>
      </c>
      <c r="B6" s="18" t="n">
        <v>0.015</v>
      </c>
      <c r="C6" s="18" t="n">
        <v>0.02</v>
      </c>
      <c r="D6" s="18" t="n">
        <v>0.01</v>
      </c>
      <c r="E6" s="18" t="n">
        <v>0.012</v>
      </c>
      <c r="F6" s="18" t="n">
        <v>0.03</v>
      </c>
      <c r="G6" s="18" t="n">
        <v>0.03</v>
      </c>
      <c r="H6" s="18" t="n">
        <v>0.03</v>
      </c>
      <c r="I6" s="18" t="n">
        <v>0.03</v>
      </c>
      <c r="J6" s="18" t="n">
        <v>0.03</v>
      </c>
      <c r="K6" s="18" t="n">
        <v>0.03</v>
      </c>
    </row>
    <row r="7">
      <c r="A7" s="7" t="n">
        <v>3</v>
      </c>
      <c r="B7" s="18" t="n">
        <v>0.015</v>
      </c>
      <c r="C7" s="18" t="n">
        <v>0.02</v>
      </c>
      <c r="D7" s="18" t="n">
        <v>0.01</v>
      </c>
      <c r="E7" s="18" t="n">
        <v>0.013</v>
      </c>
      <c r="F7" s="18" t="n">
        <v>0.03</v>
      </c>
      <c r="G7" s="18" t="n">
        <v>0.03</v>
      </c>
      <c r="H7" s="18" t="n">
        <v>0.03</v>
      </c>
      <c r="I7" s="18" t="n">
        <v>0.03</v>
      </c>
      <c r="J7" s="18" t="n">
        <v>0.03</v>
      </c>
      <c r="K7" s="18" t="n">
        <v>0.03</v>
      </c>
    </row>
    <row r="8">
      <c r="A8" s="7" t="n">
        <v>4</v>
      </c>
      <c r="B8" s="18" t="n">
        <v>0.015</v>
      </c>
      <c r="C8" s="18" t="n">
        <v>0.02</v>
      </c>
      <c r="D8" s="18" t="n">
        <v>0.01</v>
      </c>
      <c r="E8" s="18" t="n">
        <v>0.014</v>
      </c>
      <c r="F8" s="18" t="n">
        <v>0.03</v>
      </c>
      <c r="G8" s="18" t="n">
        <v>0.03</v>
      </c>
      <c r="H8" s="18" t="n">
        <v>0.03</v>
      </c>
      <c r="I8" s="18" t="n">
        <v>0.03</v>
      </c>
      <c r="J8" s="18" t="n">
        <v>0.03</v>
      </c>
      <c r="K8" s="18" t="n">
        <v>0.03</v>
      </c>
    </row>
    <row r="9">
      <c r="A9" s="7" t="n">
        <v>5</v>
      </c>
      <c r="B9" s="18" t="n">
        <v>0.015</v>
      </c>
      <c r="C9" s="18" t="n">
        <v>0.02</v>
      </c>
      <c r="D9" s="18" t="n">
        <v>0.01</v>
      </c>
      <c r="E9" s="18" t="n">
        <v>0.015</v>
      </c>
      <c r="F9" s="18" t="n">
        <v>0.03</v>
      </c>
      <c r="G9" s="18" t="n">
        <v>0.03</v>
      </c>
      <c r="H9" s="18" t="n">
        <v>0.03</v>
      </c>
      <c r="I9" s="18" t="n">
        <v>0.03</v>
      </c>
      <c r="J9" s="18" t="n">
        <v>0.03</v>
      </c>
      <c r="K9" s="18" t="n">
        <v>0.03</v>
      </c>
    </row>
    <row r="10">
      <c r="A10" s="7" t="n">
        <v>6</v>
      </c>
      <c r="B10" s="18" t="n">
        <v>0.015</v>
      </c>
      <c r="C10" s="18" t="n">
        <v>0.02</v>
      </c>
      <c r="D10" s="18" t="n">
        <v>0.01</v>
      </c>
      <c r="E10" s="18" t="n">
        <v>0.015</v>
      </c>
      <c r="F10" s="18" t="n">
        <v>0.03</v>
      </c>
      <c r="G10" s="18" t="n">
        <v>0.03</v>
      </c>
      <c r="H10" s="18" t="n">
        <v>0.03</v>
      </c>
      <c r="I10" s="18" t="n">
        <v>0.03</v>
      </c>
      <c r="J10" s="18" t="n">
        <v>0.03</v>
      </c>
      <c r="K10" s="18" t="n">
        <v>0.03</v>
      </c>
    </row>
    <row r="11">
      <c r="A11" s="7" t="n">
        <v>7</v>
      </c>
      <c r="B11" s="18" t="n">
        <v>0.015</v>
      </c>
      <c r="C11" s="18" t="n">
        <v>0.02</v>
      </c>
      <c r="D11" s="18" t="n">
        <v>0.01</v>
      </c>
      <c r="E11" s="18" t="n">
        <v>0.015</v>
      </c>
      <c r="F11" s="18" t="n">
        <v>0.03</v>
      </c>
      <c r="G11" s="18" t="n">
        <v>0.03</v>
      </c>
      <c r="H11" s="18" t="n">
        <v>0.03</v>
      </c>
      <c r="I11" s="18" t="n">
        <v>0.03</v>
      </c>
      <c r="J11" s="18" t="n">
        <v>0.03</v>
      </c>
      <c r="K11" s="18" t="n">
        <v>0.03</v>
      </c>
    </row>
    <row r="12">
      <c r="A12" s="7" t="n">
        <v>8</v>
      </c>
      <c r="B12" s="18" t="n">
        <v>0.015</v>
      </c>
      <c r="C12" s="18" t="n">
        <v>0.02</v>
      </c>
      <c r="D12" s="18" t="n">
        <v>0.01</v>
      </c>
      <c r="E12" s="18" t="n">
        <v>0.015</v>
      </c>
      <c r="F12" s="18" t="n">
        <v>0.03</v>
      </c>
      <c r="G12" s="18" t="n">
        <v>0.03</v>
      </c>
      <c r="H12" s="18" t="n">
        <v>0.03</v>
      </c>
      <c r="I12" s="18" t="n">
        <v>0.03</v>
      </c>
      <c r="J12" s="18" t="n">
        <v>0.03</v>
      </c>
      <c r="K12" s="18" t="n">
        <v>0.03</v>
      </c>
    </row>
    <row r="13">
      <c r="A13" s="7" t="n">
        <v>9</v>
      </c>
      <c r="B13" s="18" t="n">
        <v>0.015</v>
      </c>
      <c r="C13" s="18" t="n">
        <v>0.02</v>
      </c>
      <c r="D13" s="18" t="n">
        <v>0.01</v>
      </c>
      <c r="E13" s="18" t="n">
        <v>0.015</v>
      </c>
      <c r="F13" s="18" t="n">
        <v>0.03</v>
      </c>
      <c r="G13" s="18" t="n">
        <v>0.03</v>
      </c>
      <c r="H13" s="18" t="n">
        <v>0.03</v>
      </c>
      <c r="I13" s="18" t="n">
        <v>0.03</v>
      </c>
      <c r="J13" s="18" t="n">
        <v>0.03</v>
      </c>
      <c r="K13" s="18" t="n">
        <v>0.03</v>
      </c>
    </row>
    <row r="14">
      <c r="A14" s="7" t="n">
        <v>10</v>
      </c>
      <c r="B14" s="18" t="n">
        <v>0.015</v>
      </c>
      <c r="C14" s="18" t="n">
        <v>0.02</v>
      </c>
      <c r="D14" s="18" t="n">
        <v>0.01</v>
      </c>
      <c r="E14" s="18" t="n">
        <v>0.015</v>
      </c>
      <c r="F14" s="18" t="n">
        <v>0.03</v>
      </c>
      <c r="G14" s="18" t="n">
        <v>0.03</v>
      </c>
      <c r="H14" s="18" t="n">
        <v>0.03</v>
      </c>
      <c r="I14" s="18" t="n">
        <v>0.03</v>
      </c>
      <c r="J14" s="18" t="n">
        <v>0.03</v>
      </c>
      <c r="K14" s="18" t="n">
        <v>0.03</v>
      </c>
    </row>
    <row r="15">
      <c r="A15" s="7" t="n">
        <v>11</v>
      </c>
      <c r="B15" s="18" t="n">
        <v>0.015</v>
      </c>
      <c r="C15" s="18" t="n">
        <v>0.02</v>
      </c>
      <c r="D15" s="18" t="n">
        <v>0.01</v>
      </c>
      <c r="E15" s="18" t="n">
        <v>0.015</v>
      </c>
      <c r="F15" s="18" t="n">
        <v>0.03</v>
      </c>
      <c r="G15" s="18" t="n">
        <v>0.03</v>
      </c>
      <c r="H15" s="18" t="n">
        <v>0.03</v>
      </c>
      <c r="I15" s="18" t="n">
        <v>0.03</v>
      </c>
      <c r="J15" s="18" t="n">
        <v>0.03</v>
      </c>
      <c r="K15" s="18" t="n">
        <v>0.03</v>
      </c>
    </row>
    <row r="16">
      <c r="A16" s="7" t="n">
        <v>12</v>
      </c>
      <c r="B16" s="18" t="n">
        <v>0.015</v>
      </c>
      <c r="C16" s="18" t="n">
        <v>0.02</v>
      </c>
      <c r="D16" s="18" t="n">
        <v>0.01</v>
      </c>
      <c r="E16" s="18" t="n">
        <v>0.015</v>
      </c>
      <c r="F16" s="18" t="n">
        <v>0.03</v>
      </c>
      <c r="G16" s="18" t="n">
        <v>0.03</v>
      </c>
      <c r="H16" s="18" t="n">
        <v>0.03</v>
      </c>
      <c r="I16" s="18" t="n">
        <v>0.03</v>
      </c>
      <c r="J16" s="18" t="n">
        <v>0.03</v>
      </c>
      <c r="K16" s="18" t="n">
        <v>0.03</v>
      </c>
    </row>
    <row r="17">
      <c r="A17" s="7" t="n">
        <v>13</v>
      </c>
      <c r="B17" s="18" t="n">
        <v>0.015</v>
      </c>
      <c r="C17" s="18" t="n">
        <v>0.02</v>
      </c>
      <c r="D17" s="18" t="n">
        <v>0.01</v>
      </c>
      <c r="E17" s="18" t="n">
        <v>0.015</v>
      </c>
      <c r="F17" s="18" t="n">
        <v>0.03</v>
      </c>
      <c r="G17" s="18" t="n">
        <v>0.03</v>
      </c>
      <c r="H17" s="18" t="n">
        <v>0.03</v>
      </c>
      <c r="I17" s="18" t="n">
        <v>0.03</v>
      </c>
      <c r="J17" s="18" t="n">
        <v>0.03</v>
      </c>
      <c r="K17" s="18" t="n">
        <v>0.03</v>
      </c>
    </row>
    <row r="18">
      <c r="A18" s="7" t="n">
        <v>14</v>
      </c>
      <c r="B18" s="18" t="n">
        <v>0.015</v>
      </c>
      <c r="C18" s="18" t="n">
        <v>0.02</v>
      </c>
      <c r="D18" s="18" t="n">
        <v>0.01</v>
      </c>
      <c r="E18" s="18" t="n">
        <v>0.015</v>
      </c>
      <c r="F18" s="18" t="n">
        <v>0.03</v>
      </c>
      <c r="G18" s="18" t="n">
        <v>0.03</v>
      </c>
      <c r="H18" s="18" t="n">
        <v>0.03</v>
      </c>
      <c r="I18" s="18" t="n">
        <v>0.03</v>
      </c>
      <c r="J18" s="18" t="n">
        <v>0.03</v>
      </c>
      <c r="K18" s="18" t="n">
        <v>0.03</v>
      </c>
    </row>
    <row r="19">
      <c r="A19" s="7" t="n">
        <v>15</v>
      </c>
      <c r="B19" s="18" t="n">
        <v>0.015</v>
      </c>
      <c r="C19" s="18" t="n">
        <v>0.02</v>
      </c>
      <c r="D19" s="18" t="n">
        <v>0.01</v>
      </c>
      <c r="E19" s="18" t="n">
        <v>0.015</v>
      </c>
      <c r="F19" s="18" t="n">
        <v>0.03</v>
      </c>
      <c r="G19" s="18" t="n">
        <v>0.03</v>
      </c>
      <c r="H19" s="18" t="n">
        <v>0.03</v>
      </c>
      <c r="I19" s="18" t="n">
        <v>0.03</v>
      </c>
      <c r="J19" s="18" t="n">
        <v>0.03</v>
      </c>
      <c r="K19" s="18" t="n">
        <v>0.03</v>
      </c>
    </row>
    <row r="20">
      <c r="A20" s="7" t="n">
        <v>16</v>
      </c>
      <c r="B20" s="18" t="n">
        <v>0.015</v>
      </c>
      <c r="C20" s="18" t="n">
        <v>0.02</v>
      </c>
      <c r="D20" s="18" t="n">
        <v>0.01</v>
      </c>
      <c r="E20" s="18" t="n">
        <v>0.015</v>
      </c>
      <c r="F20" s="18" t="n">
        <v>0.03</v>
      </c>
      <c r="G20" s="18" t="n">
        <v>0.03</v>
      </c>
      <c r="H20" s="18" t="n">
        <v>0.03</v>
      </c>
      <c r="I20" s="18" t="n">
        <v>0.03</v>
      </c>
      <c r="J20" s="18" t="n">
        <v>0.03</v>
      </c>
      <c r="K20" s="18" t="n">
        <v>0.03</v>
      </c>
    </row>
    <row r="21">
      <c r="A21" s="7" t="n">
        <v>17</v>
      </c>
      <c r="B21" s="18" t="n">
        <v>0.015</v>
      </c>
      <c r="C21" s="18" t="n">
        <v>0.02</v>
      </c>
      <c r="D21" s="18" t="n">
        <v>0.01</v>
      </c>
      <c r="E21" s="18" t="n">
        <v>0.015</v>
      </c>
      <c r="F21" s="18" t="n">
        <v>0.03</v>
      </c>
      <c r="G21" s="18" t="n">
        <v>0.03</v>
      </c>
      <c r="H21" s="18" t="n">
        <v>0.03</v>
      </c>
      <c r="I21" s="18" t="n">
        <v>0.03</v>
      </c>
      <c r="J21" s="18" t="n">
        <v>0.03</v>
      </c>
      <c r="K21" s="18" t="n">
        <v>0.03</v>
      </c>
    </row>
    <row r="22">
      <c r="A22" s="7" t="n">
        <v>18</v>
      </c>
      <c r="B22" s="18" t="n">
        <v>0.015</v>
      </c>
      <c r="C22" s="18" t="n">
        <v>0.02</v>
      </c>
      <c r="D22" s="18" t="n">
        <v>0.01</v>
      </c>
      <c r="E22" s="18" t="n">
        <v>0.015</v>
      </c>
      <c r="F22" s="18" t="n">
        <v>0.03</v>
      </c>
      <c r="G22" s="18" t="n">
        <v>0.03</v>
      </c>
      <c r="H22" s="18" t="n">
        <v>0.03</v>
      </c>
      <c r="I22" s="18" t="n">
        <v>0.03</v>
      </c>
      <c r="J22" s="18" t="n">
        <v>0.03</v>
      </c>
      <c r="K22" s="18" t="n">
        <v>0.03</v>
      </c>
    </row>
    <row r="23">
      <c r="A23" s="7" t="n">
        <v>19</v>
      </c>
      <c r="B23" s="18" t="n">
        <v>0.015</v>
      </c>
      <c r="C23" s="18" t="n">
        <v>0.02</v>
      </c>
      <c r="D23" s="18" t="n">
        <v>0.01</v>
      </c>
      <c r="E23" s="18" t="n">
        <v>0.015</v>
      </c>
      <c r="F23" s="18" t="n">
        <v>0.03</v>
      </c>
      <c r="G23" s="18" t="n">
        <v>0.03</v>
      </c>
      <c r="H23" s="18" t="n">
        <v>0.03</v>
      </c>
      <c r="I23" s="18" t="n">
        <v>0.03</v>
      </c>
      <c r="J23" s="18" t="n">
        <v>0.03</v>
      </c>
      <c r="K23" s="18" t="n">
        <v>0.03</v>
      </c>
    </row>
    <row r="24">
      <c r="A24" s="7" t="n">
        <v>20</v>
      </c>
      <c r="B24" s="18" t="n">
        <v>0.015</v>
      </c>
      <c r="C24" s="18" t="n">
        <v>0.02</v>
      </c>
      <c r="D24" s="18" t="n">
        <v>0.01</v>
      </c>
      <c r="E24" s="18" t="n">
        <v>0.015</v>
      </c>
      <c r="F24" s="18" t="n">
        <v>0.03</v>
      </c>
      <c r="G24" s="18" t="n">
        <v>0.03</v>
      </c>
      <c r="H24" s="18" t="n">
        <v>0.03</v>
      </c>
      <c r="I24" s="18" t="n">
        <v>0.03</v>
      </c>
      <c r="J24" s="18" t="n">
        <v>0.03</v>
      </c>
      <c r="K24" s="18" t="n">
        <v>0.03</v>
      </c>
    </row>
    <row r="25">
      <c r="A25" s="7" t="n">
        <v>21</v>
      </c>
      <c r="B25" s="18" t="n">
        <v>0.015</v>
      </c>
      <c r="C25" s="18" t="n">
        <v>0.02</v>
      </c>
      <c r="D25" s="18" t="n">
        <v>0.01</v>
      </c>
      <c r="E25" s="18" t="n">
        <v>0.015</v>
      </c>
      <c r="F25" s="18" t="n">
        <v>0.03</v>
      </c>
      <c r="G25" s="18" t="n">
        <v>0.03</v>
      </c>
      <c r="H25" s="18" t="n">
        <v>0.03</v>
      </c>
      <c r="I25" s="18" t="n">
        <v>0.03</v>
      </c>
      <c r="J25" s="18" t="n">
        <v>0.03</v>
      </c>
      <c r="K25" s="18" t="n">
        <v>0.03</v>
      </c>
    </row>
    <row r="26">
      <c r="A26" s="7" t="n">
        <v>22</v>
      </c>
      <c r="B26" s="18" t="n">
        <v>0.015</v>
      </c>
      <c r="C26" s="18" t="n">
        <v>0.02</v>
      </c>
      <c r="D26" s="18" t="n">
        <v>0.01</v>
      </c>
      <c r="E26" s="18" t="n">
        <v>0.015</v>
      </c>
      <c r="F26" s="18" t="n">
        <v>0.03</v>
      </c>
      <c r="G26" s="18" t="n">
        <v>0.03</v>
      </c>
      <c r="H26" s="18" t="n">
        <v>0.03</v>
      </c>
      <c r="I26" s="18" t="n">
        <v>0.03</v>
      </c>
      <c r="J26" s="18" t="n">
        <v>0.03</v>
      </c>
      <c r="K26" s="18" t="n">
        <v>0.03</v>
      </c>
    </row>
    <row r="27">
      <c r="A27" s="7" t="n">
        <v>23</v>
      </c>
      <c r="B27" s="18" t="n">
        <v>0.015</v>
      </c>
      <c r="C27" s="18" t="n">
        <v>0.02</v>
      </c>
      <c r="D27" s="18" t="n">
        <v>0.01</v>
      </c>
      <c r="E27" s="18" t="n">
        <v>0.015</v>
      </c>
      <c r="F27" s="18" t="n">
        <v>0.03</v>
      </c>
      <c r="G27" s="18" t="n">
        <v>0.03</v>
      </c>
      <c r="H27" s="18" t="n">
        <v>0.03</v>
      </c>
      <c r="I27" s="18" t="n">
        <v>0.03</v>
      </c>
      <c r="J27" s="18" t="n">
        <v>0.03</v>
      </c>
      <c r="K27" s="18" t="n">
        <v>0.03</v>
      </c>
    </row>
    <row r="28">
      <c r="A28" s="7" t="n">
        <v>24</v>
      </c>
      <c r="B28" s="18" t="n">
        <v>0.015</v>
      </c>
      <c r="C28" s="18" t="n">
        <v>0.02</v>
      </c>
      <c r="D28" s="18" t="n">
        <v>0.01</v>
      </c>
      <c r="E28" s="18" t="n">
        <v>0.015</v>
      </c>
      <c r="F28" s="18" t="n">
        <v>0.03</v>
      </c>
      <c r="G28" s="18" t="n">
        <v>0.03</v>
      </c>
      <c r="H28" s="18" t="n">
        <v>0.03</v>
      </c>
      <c r="I28" s="18" t="n">
        <v>0.03</v>
      </c>
      <c r="J28" s="18" t="n">
        <v>0.03</v>
      </c>
      <c r="K28" s="18" t="n">
        <v>0.03</v>
      </c>
    </row>
    <row r="29">
      <c r="A29" s="7" t="n">
        <v>25</v>
      </c>
      <c r="B29" s="18" t="n">
        <v>0.015</v>
      </c>
      <c r="C29" s="18" t="n">
        <v>0.02</v>
      </c>
      <c r="D29" s="18" t="n">
        <v>0.01</v>
      </c>
      <c r="E29" s="18" t="n">
        <v>0.015</v>
      </c>
      <c r="F29" s="18" t="n">
        <v>0.03</v>
      </c>
      <c r="G29" s="18" t="n">
        <v>0.03</v>
      </c>
      <c r="H29" s="18" t="n">
        <v>0.03</v>
      </c>
      <c r="I29" s="18" t="n">
        <v>0.03</v>
      </c>
      <c r="J29" s="18" t="n">
        <v>0.03</v>
      </c>
      <c r="K29" s="18" t="n">
        <v>0.03</v>
      </c>
    </row>
    <row r="30">
      <c r="A30" s="7" t="n">
        <v>26</v>
      </c>
      <c r="B30" s="18" t="n">
        <v>0.015</v>
      </c>
      <c r="C30" s="18" t="n">
        <v>0.02</v>
      </c>
      <c r="D30" s="18" t="n">
        <v>0.01</v>
      </c>
      <c r="E30" s="18" t="n">
        <v>0.015</v>
      </c>
      <c r="F30" s="18" t="n">
        <v>0.03</v>
      </c>
      <c r="G30" s="18" t="n">
        <v>0.03</v>
      </c>
      <c r="H30" s="18" t="n">
        <v>0.03</v>
      </c>
      <c r="I30" s="18" t="n">
        <v>0.03</v>
      </c>
      <c r="J30" s="18" t="n">
        <v>0.03</v>
      </c>
      <c r="K30" s="18" t="n">
        <v>0.03</v>
      </c>
    </row>
    <row r="31">
      <c r="A31" s="7" t="n">
        <v>27</v>
      </c>
      <c r="B31" s="18" t="n">
        <v>0.015</v>
      </c>
      <c r="C31" s="18" t="n">
        <v>0.02</v>
      </c>
      <c r="D31" s="18" t="n">
        <v>0.01</v>
      </c>
      <c r="E31" s="18" t="n">
        <v>0.015</v>
      </c>
      <c r="F31" s="18" t="n">
        <v>0.03</v>
      </c>
      <c r="G31" s="18" t="n">
        <v>0.03</v>
      </c>
      <c r="H31" s="18" t="n">
        <v>0.03</v>
      </c>
      <c r="I31" s="18" t="n">
        <v>0.03</v>
      </c>
      <c r="J31" s="18" t="n">
        <v>0.03</v>
      </c>
      <c r="K31" s="18" t="n">
        <v>0.03</v>
      </c>
    </row>
    <row r="32">
      <c r="A32" s="7" t="n">
        <v>28</v>
      </c>
      <c r="B32" s="18" t="n">
        <v>0.015</v>
      </c>
      <c r="C32" s="18" t="n">
        <v>0.02</v>
      </c>
      <c r="D32" s="18" t="n">
        <v>0.01</v>
      </c>
      <c r="E32" s="18" t="n">
        <v>0.015</v>
      </c>
      <c r="F32" s="18" t="n">
        <v>0.03</v>
      </c>
      <c r="G32" s="18" t="n">
        <v>0.03</v>
      </c>
      <c r="H32" s="18" t="n">
        <v>0.03</v>
      </c>
      <c r="I32" s="18" t="n">
        <v>0.03</v>
      </c>
      <c r="J32" s="18" t="n">
        <v>0.03</v>
      </c>
      <c r="K32" s="18" t="n">
        <v>0.03</v>
      </c>
    </row>
    <row r="33">
      <c r="A33" s="7" t="n">
        <v>29</v>
      </c>
      <c r="B33" s="18" t="n">
        <v>0.015</v>
      </c>
      <c r="C33" s="18" t="n">
        <v>0.02</v>
      </c>
      <c r="D33" s="18" t="n">
        <v>0.01</v>
      </c>
      <c r="E33" s="18" t="n">
        <v>0.015</v>
      </c>
      <c r="F33" s="18" t="n">
        <v>0.03</v>
      </c>
      <c r="G33" s="18" t="n">
        <v>0.03</v>
      </c>
      <c r="H33" s="18" t="n">
        <v>0.03</v>
      </c>
      <c r="I33" s="18" t="n">
        <v>0.03</v>
      </c>
      <c r="J33" s="18" t="n">
        <v>0.03</v>
      </c>
      <c r="K33" s="18" t="n">
        <v>0.03</v>
      </c>
    </row>
    <row r="34">
      <c r="A34" s="7" t="n">
        <v>30</v>
      </c>
      <c r="B34" s="18" t="n">
        <v>0.015</v>
      </c>
      <c r="C34" s="18" t="n">
        <v>0.02</v>
      </c>
      <c r="D34" s="18" t="n">
        <v>0.01</v>
      </c>
      <c r="E34" s="18" t="n">
        <v>0.015</v>
      </c>
      <c r="F34" s="18" t="n">
        <v>0.03</v>
      </c>
      <c r="G34" s="18" t="n">
        <v>0.03</v>
      </c>
      <c r="H34" s="18" t="n">
        <v>0.03</v>
      </c>
      <c r="I34" s="18" t="n">
        <v>0.03</v>
      </c>
      <c r="J34" s="18" t="n">
        <v>0.03</v>
      </c>
      <c r="K34" s="18" t="n">
        <v>0.03</v>
      </c>
    </row>
    <row r="35">
      <c r="A35" s="7" t="n">
        <v>31</v>
      </c>
      <c r="B35" s="18" t="n">
        <v>0.015</v>
      </c>
      <c r="C35" s="18" t="n">
        <v>0.02</v>
      </c>
      <c r="D35" s="18" t="n">
        <v>0.01</v>
      </c>
      <c r="E35" s="18" t="n">
        <v>0.015</v>
      </c>
      <c r="F35" s="18" t="n">
        <v>0.03</v>
      </c>
      <c r="G35" s="18" t="n">
        <v>0.03</v>
      </c>
      <c r="H35" s="18" t="n">
        <v>0.03</v>
      </c>
      <c r="I35" s="18" t="n">
        <v>0.03</v>
      </c>
      <c r="J35" s="18" t="n">
        <v>0.03</v>
      </c>
      <c r="K35" s="18" t="n">
        <v>0.03</v>
      </c>
    </row>
    <row r="36">
      <c r="A36" s="7" t="n">
        <v>32</v>
      </c>
      <c r="B36" s="18" t="n">
        <v>0.015</v>
      </c>
      <c r="C36" s="18" t="n">
        <v>0.02</v>
      </c>
      <c r="D36" s="18" t="n">
        <v>0.01</v>
      </c>
      <c r="E36" s="18" t="n">
        <v>0.015</v>
      </c>
      <c r="F36" s="18" t="n">
        <v>0.03</v>
      </c>
      <c r="G36" s="18" t="n">
        <v>0.03</v>
      </c>
      <c r="H36" s="18" t="n">
        <v>0.03</v>
      </c>
      <c r="I36" s="18" t="n">
        <v>0.03</v>
      </c>
      <c r="J36" s="18" t="n">
        <v>0.03</v>
      </c>
      <c r="K36" s="18" t="n">
        <v>0.03</v>
      </c>
    </row>
    <row r="37">
      <c r="A37" s="7" t="n">
        <v>33</v>
      </c>
      <c r="B37" s="18" t="n">
        <v>0.015</v>
      </c>
      <c r="C37" s="18" t="n">
        <v>0.02</v>
      </c>
      <c r="D37" s="18" t="n">
        <v>0.01</v>
      </c>
      <c r="E37" s="18" t="n">
        <v>0.015</v>
      </c>
      <c r="F37" s="18" t="n">
        <v>0.03</v>
      </c>
      <c r="G37" s="18" t="n">
        <v>0.03</v>
      </c>
      <c r="H37" s="18" t="n">
        <v>0.03</v>
      </c>
      <c r="I37" s="18" t="n">
        <v>0.03</v>
      </c>
      <c r="J37" s="18" t="n">
        <v>0.03</v>
      </c>
      <c r="K37" s="18" t="n">
        <v>0.03</v>
      </c>
    </row>
    <row r="38">
      <c r="A38" s="7" t="n">
        <v>34</v>
      </c>
      <c r="B38" s="18" t="n">
        <v>0.015</v>
      </c>
      <c r="C38" s="18" t="n">
        <v>0.02</v>
      </c>
      <c r="D38" s="18" t="n">
        <v>0.01</v>
      </c>
      <c r="E38" s="18" t="n">
        <v>0.015</v>
      </c>
      <c r="F38" s="18" t="n">
        <v>0.03</v>
      </c>
      <c r="G38" s="18" t="n">
        <v>0.03</v>
      </c>
      <c r="H38" s="18" t="n">
        <v>0.03</v>
      </c>
      <c r="I38" s="18" t="n">
        <v>0.03</v>
      </c>
      <c r="J38" s="18" t="n">
        <v>0.03</v>
      </c>
      <c r="K38" s="18" t="n">
        <v>0.03</v>
      </c>
    </row>
    <row r="39">
      <c r="A39" s="7" t="n">
        <v>35</v>
      </c>
      <c r="B39" s="18" t="n">
        <v>0.015</v>
      </c>
      <c r="C39" s="18" t="n">
        <v>0.02</v>
      </c>
      <c r="D39" s="18" t="n">
        <v>0.01</v>
      </c>
      <c r="E39" s="18" t="n">
        <v>0.015</v>
      </c>
      <c r="F39" s="18" t="n">
        <v>0.03</v>
      </c>
      <c r="G39" s="18" t="n">
        <v>0.03</v>
      </c>
      <c r="H39" s="18" t="n">
        <v>0.03</v>
      </c>
      <c r="I39" s="18" t="n">
        <v>0.03</v>
      </c>
      <c r="J39" s="18" t="n">
        <v>0.03</v>
      </c>
      <c r="K39" s="18" t="n">
        <v>0.03</v>
      </c>
    </row>
    <row r="40">
      <c r="A40" s="7" t="n">
        <v>36</v>
      </c>
      <c r="B40" s="18" t="n">
        <v>0.015</v>
      </c>
      <c r="C40" s="18" t="n">
        <v>0.02</v>
      </c>
      <c r="D40" s="18" t="n">
        <v>0.01</v>
      </c>
      <c r="E40" s="18" t="n">
        <v>0.015</v>
      </c>
      <c r="F40" s="18" t="n">
        <v>0.03</v>
      </c>
      <c r="G40" s="18" t="n">
        <v>0.03</v>
      </c>
      <c r="H40" s="18" t="n">
        <v>0.03</v>
      </c>
      <c r="I40" s="18" t="n">
        <v>0.03</v>
      </c>
      <c r="J40" s="18" t="n">
        <v>0.03</v>
      </c>
      <c r="K40" s="18" t="n">
        <v>0.03</v>
      </c>
    </row>
    <row r="41">
      <c r="A41" s="7" t="n">
        <v>37</v>
      </c>
      <c r="B41" s="18" t="n">
        <v>0.015</v>
      </c>
      <c r="C41" s="18" t="n">
        <v>0.02</v>
      </c>
      <c r="D41" s="18" t="n">
        <v>0.01</v>
      </c>
      <c r="E41" s="18" t="n">
        <v>0.015</v>
      </c>
      <c r="F41" s="18" t="n">
        <v>0.03</v>
      </c>
      <c r="G41" s="18" t="n">
        <v>0.03</v>
      </c>
      <c r="H41" s="18" t="n">
        <v>0.03</v>
      </c>
      <c r="I41" s="18" t="n">
        <v>0.03</v>
      </c>
      <c r="J41" s="18" t="n">
        <v>0.03</v>
      </c>
      <c r="K41" s="18" t="n">
        <v>0.03</v>
      </c>
    </row>
    <row r="42">
      <c r="A42" s="7" t="n">
        <v>38</v>
      </c>
      <c r="B42" s="18" t="n">
        <v>0.015</v>
      </c>
      <c r="C42" s="18" t="n">
        <v>0.02</v>
      </c>
      <c r="D42" s="18" t="n">
        <v>0.01</v>
      </c>
      <c r="E42" s="18" t="n">
        <v>0.015</v>
      </c>
      <c r="F42" s="18" t="n">
        <v>0.03</v>
      </c>
      <c r="G42" s="18" t="n">
        <v>0.03</v>
      </c>
      <c r="H42" s="18" t="n">
        <v>0.03</v>
      </c>
      <c r="I42" s="18" t="n">
        <v>0.03</v>
      </c>
      <c r="J42" s="18" t="n">
        <v>0.03</v>
      </c>
      <c r="K42" s="18" t="n">
        <v>0.03</v>
      </c>
    </row>
    <row r="43">
      <c r="A43" s="7" t="n">
        <v>39</v>
      </c>
      <c r="B43" s="18" t="n">
        <v>0.015</v>
      </c>
      <c r="C43" s="18" t="n">
        <v>0.02</v>
      </c>
      <c r="D43" s="18" t="n">
        <v>0.01</v>
      </c>
      <c r="E43" s="18" t="n">
        <v>0.015</v>
      </c>
      <c r="F43" s="18" t="n">
        <v>0.03</v>
      </c>
      <c r="G43" s="18" t="n">
        <v>0.03</v>
      </c>
      <c r="H43" s="18" t="n">
        <v>0.03</v>
      </c>
      <c r="I43" s="18" t="n">
        <v>0.03</v>
      </c>
      <c r="J43" s="18" t="n">
        <v>0.03</v>
      </c>
      <c r="K43" s="18" t="n">
        <v>0.03</v>
      </c>
    </row>
    <row r="44">
      <c r="A44" s="7" t="n">
        <v>40</v>
      </c>
      <c r="B44" s="18" t="n">
        <v>0.015</v>
      </c>
      <c r="C44" s="18" t="n">
        <v>0.02</v>
      </c>
      <c r="D44" s="18" t="n">
        <v>0.01</v>
      </c>
      <c r="E44" s="18" t="n">
        <v>0.015</v>
      </c>
      <c r="F44" s="18" t="n">
        <v>0.03</v>
      </c>
      <c r="G44" s="18" t="n">
        <v>0.03</v>
      </c>
      <c r="H44" s="18" t="n">
        <v>0.03</v>
      </c>
      <c r="I44" s="18" t="n">
        <v>0.03</v>
      </c>
      <c r="J44" s="18" t="n">
        <v>0.03</v>
      </c>
      <c r="K44" s="18" t="n">
        <v>0.03</v>
      </c>
    </row>
    <row r="45">
      <c r="A45" s="7" t="n">
        <v>41</v>
      </c>
      <c r="B45" s="18" t="n">
        <v>0.015</v>
      </c>
      <c r="C45" s="18" t="n">
        <v>0.02</v>
      </c>
      <c r="D45" s="18" t="n">
        <v>0.01</v>
      </c>
      <c r="E45" s="18" t="n">
        <v>0.015</v>
      </c>
      <c r="F45" s="18" t="n">
        <v>0.03</v>
      </c>
      <c r="G45" s="18" t="n">
        <v>0.03</v>
      </c>
      <c r="H45" s="18" t="n">
        <v>0.03</v>
      </c>
      <c r="I45" s="18" t="n">
        <v>0.03</v>
      </c>
      <c r="J45" s="18" t="n">
        <v>0.03</v>
      </c>
      <c r="K45" s="18" t="n">
        <v>0.03</v>
      </c>
    </row>
    <row r="46">
      <c r="A46" s="7" t="n">
        <v>42</v>
      </c>
      <c r="B46" s="18" t="n">
        <v>0.015</v>
      </c>
      <c r="C46" s="18" t="n">
        <v>0.02</v>
      </c>
      <c r="D46" s="18" t="n">
        <v>0.01</v>
      </c>
      <c r="E46" s="18" t="n">
        <v>0.015</v>
      </c>
      <c r="F46" s="18" t="n">
        <v>0.03</v>
      </c>
      <c r="G46" s="18" t="n">
        <v>0.03</v>
      </c>
      <c r="H46" s="18" t="n">
        <v>0.03</v>
      </c>
      <c r="I46" s="18" t="n">
        <v>0.03</v>
      </c>
      <c r="J46" s="18" t="n">
        <v>0.03</v>
      </c>
      <c r="K46" s="18" t="n">
        <v>0.03</v>
      </c>
    </row>
    <row r="47">
      <c r="A47" s="7" t="n">
        <v>43</v>
      </c>
      <c r="B47" s="18" t="n">
        <v>0.015</v>
      </c>
      <c r="C47" s="18" t="n">
        <v>0.02</v>
      </c>
      <c r="D47" s="18" t="n">
        <v>0.01</v>
      </c>
      <c r="E47" s="18" t="n">
        <v>0.015</v>
      </c>
      <c r="F47" s="18" t="n">
        <v>0.03</v>
      </c>
      <c r="G47" s="18" t="n">
        <v>0.03</v>
      </c>
      <c r="H47" s="18" t="n">
        <v>0.03</v>
      </c>
      <c r="I47" s="18" t="n">
        <v>0.03</v>
      </c>
      <c r="J47" s="18" t="n">
        <v>0.03</v>
      </c>
      <c r="K47" s="18" t="n">
        <v>0.03</v>
      </c>
    </row>
    <row r="48">
      <c r="A48" s="7" t="n">
        <v>44</v>
      </c>
      <c r="B48" s="18" t="n">
        <v>0.015</v>
      </c>
      <c r="C48" s="18" t="n">
        <v>0.02</v>
      </c>
      <c r="D48" s="18" t="n">
        <v>0.01</v>
      </c>
      <c r="E48" s="18" t="n">
        <v>0.015</v>
      </c>
      <c r="F48" s="18" t="n">
        <v>0.03</v>
      </c>
      <c r="G48" s="18" t="n">
        <v>0.03</v>
      </c>
      <c r="H48" s="18" t="n">
        <v>0.03</v>
      </c>
      <c r="I48" s="18" t="n">
        <v>0.03</v>
      </c>
      <c r="J48" s="18" t="n">
        <v>0.03</v>
      </c>
      <c r="K48" s="18" t="n">
        <v>0.03</v>
      </c>
    </row>
    <row r="49">
      <c r="A49" s="7" t="n">
        <v>45</v>
      </c>
      <c r="B49" s="18" t="n">
        <v>0.015</v>
      </c>
      <c r="C49" s="18" t="n">
        <v>0.02</v>
      </c>
      <c r="D49" s="18" t="n">
        <v>0.01</v>
      </c>
      <c r="E49" s="18" t="n">
        <v>0.015</v>
      </c>
      <c r="F49" s="18" t="n">
        <v>0.03</v>
      </c>
      <c r="G49" s="18" t="n">
        <v>0.03</v>
      </c>
      <c r="H49" s="18" t="n">
        <v>0.03</v>
      </c>
      <c r="I49" s="18" t="n">
        <v>0.03</v>
      </c>
      <c r="J49" s="18" t="n">
        <v>0.03</v>
      </c>
      <c r="K49" s="18" t="n">
        <v>0.03</v>
      </c>
    </row>
    <row r="50">
      <c r="A50" s="7" t="n">
        <v>46</v>
      </c>
      <c r="B50" s="18" t="n">
        <v>0.015</v>
      </c>
      <c r="C50" s="18" t="n">
        <v>0.02</v>
      </c>
      <c r="D50" s="18" t="n">
        <v>0.01</v>
      </c>
      <c r="E50" s="18" t="n">
        <v>0.015</v>
      </c>
      <c r="F50" s="18" t="n">
        <v>0.03</v>
      </c>
      <c r="G50" s="18" t="n">
        <v>0.03</v>
      </c>
      <c r="H50" s="18" t="n">
        <v>0.03</v>
      </c>
      <c r="I50" s="18" t="n">
        <v>0.03</v>
      </c>
      <c r="J50" s="18" t="n">
        <v>0.03</v>
      </c>
      <c r="K50" s="18" t="n">
        <v>0.03</v>
      </c>
    </row>
    <row r="51">
      <c r="A51" s="7" t="n">
        <v>47</v>
      </c>
      <c r="B51" s="18" t="n">
        <v>0.015</v>
      </c>
      <c r="C51" s="18" t="n">
        <v>0.02</v>
      </c>
      <c r="D51" s="18" t="n">
        <v>0.01</v>
      </c>
      <c r="E51" s="18" t="n">
        <v>0.015</v>
      </c>
      <c r="F51" s="18" t="n">
        <v>0.03</v>
      </c>
      <c r="G51" s="18" t="n">
        <v>0.03</v>
      </c>
      <c r="H51" s="18" t="n">
        <v>0.03</v>
      </c>
      <c r="I51" s="18" t="n">
        <v>0.03</v>
      </c>
      <c r="J51" s="18" t="n">
        <v>0.03</v>
      </c>
      <c r="K51" s="18" t="n">
        <v>0.03</v>
      </c>
    </row>
    <row r="52">
      <c r="A52" s="7" t="n">
        <v>48</v>
      </c>
      <c r="B52" s="18" t="n">
        <v>0.015</v>
      </c>
      <c r="C52" s="18" t="n">
        <v>0.02</v>
      </c>
      <c r="D52" s="18" t="n">
        <v>0.01</v>
      </c>
      <c r="E52" s="18" t="n">
        <v>0.015</v>
      </c>
      <c r="F52" s="18" t="n">
        <v>0.03</v>
      </c>
      <c r="G52" s="18" t="n">
        <v>0.03</v>
      </c>
      <c r="H52" s="18" t="n">
        <v>0.03</v>
      </c>
      <c r="I52" s="18" t="n">
        <v>0.03</v>
      </c>
      <c r="J52" s="18" t="n">
        <v>0.03</v>
      </c>
      <c r="K52" s="18" t="n">
        <v>0.03</v>
      </c>
    </row>
    <row r="53">
      <c r="A53" s="7" t="n">
        <v>49</v>
      </c>
      <c r="B53" s="18" t="n">
        <v>0.015</v>
      </c>
      <c r="C53" s="18" t="n">
        <v>0.02</v>
      </c>
      <c r="D53" s="18" t="n">
        <v>0.01</v>
      </c>
      <c r="E53" s="18" t="n">
        <v>0.015</v>
      </c>
      <c r="F53" s="18" t="n">
        <v>0.03</v>
      </c>
      <c r="G53" s="18" t="n">
        <v>0.03</v>
      </c>
      <c r="H53" s="18" t="n">
        <v>0.03</v>
      </c>
      <c r="I53" s="18" t="n">
        <v>0.03</v>
      </c>
      <c r="J53" s="18" t="n">
        <v>0.03</v>
      </c>
      <c r="K53" s="18" t="n">
        <v>0.03</v>
      </c>
    </row>
    <row r="54">
      <c r="A54" s="7" t="n">
        <v>50</v>
      </c>
      <c r="B54" s="18" t="n">
        <v>0.015</v>
      </c>
      <c r="C54" s="18" t="n">
        <v>0.02</v>
      </c>
      <c r="D54" s="18" t="n">
        <v>0.01</v>
      </c>
      <c r="E54" s="18" t="n">
        <v>0.015</v>
      </c>
      <c r="F54" s="18" t="n">
        <v>0.03</v>
      </c>
      <c r="G54" s="18" t="n">
        <v>0.03</v>
      </c>
      <c r="H54" s="18" t="n">
        <v>0.03</v>
      </c>
      <c r="I54" s="18" t="n">
        <v>0.03</v>
      </c>
      <c r="J54" s="18" t="n">
        <v>0.03</v>
      </c>
      <c r="K54" s="18" t="n">
        <v>0.03</v>
      </c>
    </row>
    <row r="55">
      <c r="A55" s="7" t="n">
        <v>51</v>
      </c>
      <c r="B55" s="18" t="n">
        <v>0.015</v>
      </c>
      <c r="C55" s="18" t="n">
        <v>0.02</v>
      </c>
      <c r="D55" s="18" t="n">
        <v>0.01</v>
      </c>
      <c r="E55" s="18" t="n">
        <v>0.015</v>
      </c>
      <c r="F55" s="18" t="n">
        <v>0.03</v>
      </c>
      <c r="G55" s="18" t="n">
        <v>0.03</v>
      </c>
      <c r="H55" s="18" t="n">
        <v>0.03</v>
      </c>
      <c r="I55" s="18" t="n">
        <v>0.03</v>
      </c>
      <c r="J55" s="18" t="n">
        <v>0.03</v>
      </c>
      <c r="K55" s="18" t="n">
        <v>0.03</v>
      </c>
    </row>
    <row r="56">
      <c r="A56" s="7" t="n">
        <v>52</v>
      </c>
      <c r="B56" s="18" t="n">
        <v>0.015</v>
      </c>
      <c r="C56" s="18" t="n">
        <v>0.02</v>
      </c>
      <c r="D56" s="18" t="n">
        <v>0.01</v>
      </c>
      <c r="E56" s="18" t="n">
        <v>0.015</v>
      </c>
      <c r="F56" s="18" t="n">
        <v>0.03</v>
      </c>
      <c r="G56" s="18" t="n">
        <v>0.03</v>
      </c>
      <c r="H56" s="18" t="n">
        <v>0.03</v>
      </c>
      <c r="I56" s="18" t="n">
        <v>0.03</v>
      </c>
      <c r="J56" s="18" t="n">
        <v>0.03</v>
      </c>
      <c r="K56" s="18" t="n">
        <v>0.03</v>
      </c>
    </row>
    <row r="57">
      <c r="A57" s="7" t="n">
        <v>53</v>
      </c>
      <c r="B57" s="18" t="n">
        <v>0.015</v>
      </c>
      <c r="C57" s="18" t="n">
        <v>0.02</v>
      </c>
      <c r="D57" s="18" t="n">
        <v>0.01</v>
      </c>
      <c r="E57" s="18" t="n">
        <v>0.015</v>
      </c>
      <c r="F57" s="18" t="n">
        <v>0.03</v>
      </c>
      <c r="G57" s="18" t="n">
        <v>0.03</v>
      </c>
      <c r="H57" s="18" t="n">
        <v>0.03</v>
      </c>
      <c r="I57" s="18" t="n">
        <v>0.03</v>
      </c>
      <c r="J57" s="18" t="n">
        <v>0.03</v>
      </c>
      <c r="K57" s="18" t="n">
        <v>0.03</v>
      </c>
    </row>
    <row r="58">
      <c r="A58" s="7" t="n">
        <v>54</v>
      </c>
      <c r="B58" s="18" t="n">
        <v>0.015</v>
      </c>
      <c r="C58" s="18" t="n">
        <v>0.02</v>
      </c>
      <c r="D58" s="18" t="n">
        <v>0.01</v>
      </c>
      <c r="E58" s="18" t="n">
        <v>0.015</v>
      </c>
      <c r="F58" s="18" t="n">
        <v>0.03</v>
      </c>
      <c r="G58" s="18" t="n">
        <v>0.03</v>
      </c>
      <c r="H58" s="18" t="n">
        <v>0.03</v>
      </c>
      <c r="I58" s="18" t="n">
        <v>0.03</v>
      </c>
      <c r="J58" s="18" t="n">
        <v>0.03</v>
      </c>
      <c r="K58" s="18" t="n">
        <v>0.03</v>
      </c>
    </row>
    <row r="59">
      <c r="A59" s="7" t="n">
        <v>55</v>
      </c>
      <c r="B59" s="18" t="n">
        <v>0.015</v>
      </c>
      <c r="C59" s="18" t="n">
        <v>0.02</v>
      </c>
      <c r="D59" s="18" t="n">
        <v>0.01</v>
      </c>
      <c r="E59" s="18" t="n">
        <v>0.015</v>
      </c>
      <c r="F59" s="18" t="n">
        <v>0.03</v>
      </c>
      <c r="G59" s="18" t="n">
        <v>0.03</v>
      </c>
      <c r="H59" s="18" t="n">
        <v>0.03</v>
      </c>
      <c r="I59" s="18" t="n">
        <v>0.03</v>
      </c>
      <c r="J59" s="18" t="n">
        <v>0.03</v>
      </c>
      <c r="K59" s="18" t="n">
        <v>0.03</v>
      </c>
    </row>
    <row r="60">
      <c r="A60" s="7" t="n">
        <v>56</v>
      </c>
      <c r="B60" s="18" t="n">
        <v>0.015</v>
      </c>
      <c r="C60" s="18" t="n">
        <v>0.02</v>
      </c>
      <c r="D60" s="18" t="n">
        <v>0.01</v>
      </c>
      <c r="E60" s="18" t="n">
        <v>0.015</v>
      </c>
      <c r="F60" s="18" t="n">
        <v>0.03</v>
      </c>
      <c r="G60" s="18" t="n">
        <v>0.03</v>
      </c>
      <c r="H60" s="18" t="n">
        <v>0.03</v>
      </c>
      <c r="I60" s="18" t="n">
        <v>0.03</v>
      </c>
      <c r="J60" s="18" t="n">
        <v>0.03</v>
      </c>
      <c r="K60" s="18" t="n">
        <v>0.03</v>
      </c>
    </row>
    <row r="61">
      <c r="A61" s="7" t="n">
        <v>57</v>
      </c>
      <c r="B61" s="18" t="n">
        <v>0.015</v>
      </c>
      <c r="C61" s="18" t="n">
        <v>0.02</v>
      </c>
      <c r="D61" s="18" t="n">
        <v>0.01</v>
      </c>
      <c r="E61" s="18" t="n">
        <v>0.015</v>
      </c>
      <c r="F61" s="18" t="n">
        <v>0.03</v>
      </c>
      <c r="G61" s="18" t="n">
        <v>0.03</v>
      </c>
      <c r="H61" s="18" t="n">
        <v>0.03</v>
      </c>
      <c r="I61" s="18" t="n">
        <v>0.03</v>
      </c>
      <c r="J61" s="18" t="n">
        <v>0.03</v>
      </c>
      <c r="K61" s="18" t="n">
        <v>0.03</v>
      </c>
    </row>
    <row r="62">
      <c r="A62" s="7" t="n">
        <v>58</v>
      </c>
      <c r="B62" s="18" t="n">
        <v>0.015</v>
      </c>
      <c r="C62" s="18" t="n">
        <v>0.02</v>
      </c>
      <c r="D62" s="18" t="n">
        <v>0.01</v>
      </c>
      <c r="E62" s="18" t="n">
        <v>0.015</v>
      </c>
      <c r="F62" s="18" t="n">
        <v>0.03</v>
      </c>
      <c r="G62" s="18" t="n">
        <v>0.03</v>
      </c>
      <c r="H62" s="18" t="n">
        <v>0.03</v>
      </c>
      <c r="I62" s="18" t="n">
        <v>0.03</v>
      </c>
      <c r="J62" s="18" t="n">
        <v>0.03</v>
      </c>
      <c r="K62" s="18" t="n">
        <v>0.03</v>
      </c>
    </row>
    <row r="63">
      <c r="A63" s="7" t="n">
        <v>59</v>
      </c>
      <c r="B63" s="18" t="n">
        <v>0.015</v>
      </c>
      <c r="C63" s="18" t="n">
        <v>0.02</v>
      </c>
      <c r="D63" s="18" t="n">
        <v>0.01</v>
      </c>
      <c r="E63" s="18" t="n">
        <v>0.015</v>
      </c>
      <c r="F63" s="18" t="n">
        <v>0.03</v>
      </c>
      <c r="G63" s="18" t="n">
        <v>0.03</v>
      </c>
      <c r="H63" s="18" t="n">
        <v>0.03</v>
      </c>
      <c r="I63" s="18" t="n">
        <v>0.03</v>
      </c>
      <c r="J63" s="18" t="n">
        <v>0.03</v>
      </c>
      <c r="K63" s="18" t="n">
        <v>0.03</v>
      </c>
    </row>
    <row r="64">
      <c r="A64" s="7" t="n">
        <v>60</v>
      </c>
      <c r="B64" s="18" t="n">
        <v>0.015</v>
      </c>
      <c r="C64" s="18" t="n">
        <v>0.02</v>
      </c>
      <c r="D64" s="18" t="n">
        <v>0.01</v>
      </c>
      <c r="E64" s="18" t="n">
        <v>0.015</v>
      </c>
      <c r="F64" s="18" t="n">
        <v>0.03</v>
      </c>
      <c r="G64" s="18" t="n">
        <v>0.03</v>
      </c>
      <c r="H64" s="18" t="n">
        <v>0.03</v>
      </c>
      <c r="I64" s="18" t="n">
        <v>0.03</v>
      </c>
      <c r="J64" s="18" t="n">
        <v>0.03</v>
      </c>
      <c r="K64" s="18" t="n">
        <v>0.03</v>
      </c>
    </row>
    <row r="65">
      <c r="A65" s="7" t="n">
        <v>61</v>
      </c>
      <c r="B65" s="18" t="n">
        <v>0.015</v>
      </c>
      <c r="C65" s="18" t="n">
        <v>0.02</v>
      </c>
      <c r="D65" s="18" t="n">
        <v>0.01</v>
      </c>
      <c r="E65" s="18" t="n">
        <v>0.015</v>
      </c>
      <c r="F65" s="18" t="n">
        <v>0.03</v>
      </c>
      <c r="G65" s="18" t="n">
        <v>0.03</v>
      </c>
      <c r="H65" s="18" t="n">
        <v>0.03</v>
      </c>
      <c r="I65" s="18" t="n">
        <v>0.03</v>
      </c>
      <c r="J65" s="18" t="n">
        <v>0.03</v>
      </c>
      <c r="K65" s="18" t="n">
        <v>0.03</v>
      </c>
    </row>
    <row r="66">
      <c r="A66" s="7" t="n">
        <v>62</v>
      </c>
      <c r="B66" s="18" t="n">
        <v>0.015</v>
      </c>
      <c r="C66" s="18" t="n">
        <v>0.02</v>
      </c>
      <c r="D66" s="18" t="n">
        <v>0.01</v>
      </c>
      <c r="E66" s="18" t="n">
        <v>0.015</v>
      </c>
      <c r="F66" s="18" t="n">
        <v>0.03</v>
      </c>
      <c r="G66" s="18" t="n">
        <v>0.03</v>
      </c>
      <c r="H66" s="18" t="n">
        <v>0.03</v>
      </c>
      <c r="I66" s="18" t="n">
        <v>0.03</v>
      </c>
      <c r="J66" s="18" t="n">
        <v>0.03</v>
      </c>
      <c r="K66" s="18" t="n">
        <v>0.03</v>
      </c>
    </row>
    <row r="67">
      <c r="A67" s="7" t="n">
        <v>63</v>
      </c>
      <c r="B67" s="18" t="n">
        <v>0.015</v>
      </c>
      <c r="C67" s="18" t="n">
        <v>0.02</v>
      </c>
      <c r="D67" s="18" t="n">
        <v>0.01</v>
      </c>
      <c r="E67" s="18" t="n">
        <v>0.015</v>
      </c>
      <c r="F67" s="18" t="n">
        <v>0.03</v>
      </c>
      <c r="G67" s="18" t="n">
        <v>0.03</v>
      </c>
      <c r="H67" s="18" t="n">
        <v>0.03</v>
      </c>
      <c r="I67" s="18" t="n">
        <v>0.03</v>
      </c>
      <c r="J67" s="18" t="n">
        <v>0.03</v>
      </c>
      <c r="K67" s="18" t="n">
        <v>0.03</v>
      </c>
    </row>
    <row r="68">
      <c r="A68" s="7" t="n">
        <v>64</v>
      </c>
      <c r="B68" s="18" t="n">
        <v>0.015</v>
      </c>
      <c r="C68" s="18" t="n">
        <v>0.02</v>
      </c>
      <c r="D68" s="18" t="n">
        <v>0.01</v>
      </c>
      <c r="E68" s="18" t="n">
        <v>0.015</v>
      </c>
      <c r="F68" s="18" t="n">
        <v>0.03</v>
      </c>
      <c r="G68" s="18" t="n">
        <v>0.03</v>
      </c>
      <c r="H68" s="18" t="n">
        <v>0.03</v>
      </c>
      <c r="I68" s="18" t="n">
        <v>0.03</v>
      </c>
      <c r="J68" s="18" t="n">
        <v>0.03</v>
      </c>
      <c r="K68" s="18" t="n">
        <v>0.03</v>
      </c>
    </row>
    <row r="69">
      <c r="A69" s="7" t="n">
        <v>65</v>
      </c>
      <c r="B69" s="18" t="n">
        <v>0.015</v>
      </c>
      <c r="C69" s="18" t="n">
        <v>0.02</v>
      </c>
      <c r="D69" s="18" t="n">
        <v>0.01</v>
      </c>
      <c r="E69" s="18" t="n">
        <v>0.015</v>
      </c>
      <c r="F69" s="18" t="n">
        <v>0.03</v>
      </c>
      <c r="G69" s="18" t="n">
        <v>0.03</v>
      </c>
      <c r="H69" s="18" t="n">
        <v>0.03</v>
      </c>
      <c r="I69" s="18" t="n">
        <v>0.03</v>
      </c>
      <c r="J69" s="18" t="n">
        <v>0.03</v>
      </c>
      <c r="K69" s="18" t="n">
        <v>0.03</v>
      </c>
    </row>
    <row r="70">
      <c r="A70" s="7" t="n">
        <v>66</v>
      </c>
      <c r="B70" s="18" t="n">
        <v>0.015</v>
      </c>
      <c r="C70" s="18" t="n">
        <v>0.02</v>
      </c>
      <c r="D70" s="18" t="n">
        <v>0.01</v>
      </c>
      <c r="E70" s="18" t="n">
        <v>0.015</v>
      </c>
      <c r="F70" s="18" t="n">
        <v>0.03</v>
      </c>
      <c r="G70" s="18" t="n">
        <v>0.03</v>
      </c>
      <c r="H70" s="18" t="n">
        <v>0.03</v>
      </c>
      <c r="I70" s="18" t="n">
        <v>0.03</v>
      </c>
      <c r="J70" s="18" t="n">
        <v>0.03</v>
      </c>
      <c r="K70" s="18" t="n">
        <v>0.03</v>
      </c>
    </row>
    <row r="71">
      <c r="A71" s="7" t="n">
        <v>67</v>
      </c>
      <c r="B71" s="18" t="n">
        <v>0.015</v>
      </c>
      <c r="C71" s="18" t="n">
        <v>0.02</v>
      </c>
      <c r="D71" s="18" t="n">
        <v>0.01</v>
      </c>
      <c r="E71" s="18" t="n">
        <v>0.015</v>
      </c>
      <c r="F71" s="18" t="n">
        <v>0.03</v>
      </c>
      <c r="G71" s="18" t="n">
        <v>0.03</v>
      </c>
      <c r="H71" s="18" t="n">
        <v>0.03</v>
      </c>
      <c r="I71" s="18" t="n">
        <v>0.03</v>
      </c>
      <c r="J71" s="18" t="n">
        <v>0.03</v>
      </c>
      <c r="K71" s="18" t="n">
        <v>0.03</v>
      </c>
    </row>
    <row r="72">
      <c r="A72" s="7" t="n">
        <v>68</v>
      </c>
      <c r="B72" s="18" t="n">
        <v>0.015</v>
      </c>
      <c r="C72" s="18" t="n">
        <v>0.02</v>
      </c>
      <c r="D72" s="18" t="n">
        <v>0.01</v>
      </c>
      <c r="E72" s="18" t="n">
        <v>0.015</v>
      </c>
      <c r="F72" s="18" t="n">
        <v>0.03</v>
      </c>
      <c r="G72" s="18" t="n">
        <v>0.03</v>
      </c>
      <c r="H72" s="18" t="n">
        <v>0.03</v>
      </c>
      <c r="I72" s="18" t="n">
        <v>0.03</v>
      </c>
      <c r="J72" s="18" t="n">
        <v>0.03</v>
      </c>
      <c r="K72" s="18" t="n">
        <v>0.03</v>
      </c>
    </row>
    <row r="73">
      <c r="A73" s="7" t="n">
        <v>69</v>
      </c>
      <c r="B73" s="18" t="n">
        <v>0.015</v>
      </c>
      <c r="C73" s="18" t="n">
        <v>0.02</v>
      </c>
      <c r="D73" s="18" t="n">
        <v>0.01</v>
      </c>
      <c r="E73" s="18" t="n">
        <v>0.015</v>
      </c>
      <c r="F73" s="18" t="n">
        <v>0.03</v>
      </c>
      <c r="G73" s="18" t="n">
        <v>0.03</v>
      </c>
      <c r="H73" s="18" t="n">
        <v>0.03</v>
      </c>
      <c r="I73" s="18" t="n">
        <v>0.03</v>
      </c>
      <c r="J73" s="18" t="n">
        <v>0.03</v>
      </c>
      <c r="K73" s="18" t="n">
        <v>0.03</v>
      </c>
    </row>
    <row r="74">
      <c r="A74" s="7" t="n">
        <v>70</v>
      </c>
      <c r="B74" s="18" t="n">
        <v>0.015</v>
      </c>
      <c r="C74" s="18" t="n">
        <v>0.02</v>
      </c>
      <c r="D74" s="18" t="n">
        <v>0.01</v>
      </c>
      <c r="E74" s="18" t="n">
        <v>0.015</v>
      </c>
      <c r="F74" s="18" t="n">
        <v>0.03</v>
      </c>
      <c r="G74" s="18" t="n">
        <v>0.03</v>
      </c>
      <c r="H74" s="18" t="n">
        <v>0.03</v>
      </c>
      <c r="I74" s="18" t="n">
        <v>0.03</v>
      </c>
      <c r="J74" s="18" t="n">
        <v>0.03</v>
      </c>
      <c r="K74" s="18" t="n">
        <v>0.03</v>
      </c>
    </row>
    <row r="75">
      <c r="A75" s="7" t="n">
        <v>71</v>
      </c>
      <c r="B75" s="18" t="n">
        <v>0.015</v>
      </c>
      <c r="C75" s="18" t="n">
        <v>0.02</v>
      </c>
      <c r="D75" s="18" t="n">
        <v>0.01</v>
      </c>
      <c r="E75" s="18" t="n">
        <v>0.015</v>
      </c>
      <c r="F75" s="18" t="n">
        <v>0.03</v>
      </c>
      <c r="G75" s="18" t="n">
        <v>0.03</v>
      </c>
      <c r="H75" s="18" t="n">
        <v>0.03</v>
      </c>
      <c r="I75" s="18" t="n">
        <v>0.03</v>
      </c>
      <c r="J75" s="18" t="n">
        <v>0.03</v>
      </c>
      <c r="K75" s="18" t="n">
        <v>0.03</v>
      </c>
    </row>
    <row r="76">
      <c r="A76" s="7" t="n">
        <v>72</v>
      </c>
      <c r="B76" s="18" t="n">
        <v>0.015</v>
      </c>
      <c r="C76" s="18" t="n">
        <v>0.02</v>
      </c>
      <c r="D76" s="18" t="n">
        <v>0.01</v>
      </c>
      <c r="E76" s="18" t="n">
        <v>0.015</v>
      </c>
      <c r="F76" s="18" t="n">
        <v>0.03</v>
      </c>
      <c r="G76" s="18" t="n">
        <v>0.03</v>
      </c>
      <c r="H76" s="18" t="n">
        <v>0.03</v>
      </c>
      <c r="I76" s="18" t="n">
        <v>0.03</v>
      </c>
      <c r="J76" s="18" t="n">
        <v>0.03</v>
      </c>
      <c r="K76" s="18" t="n">
        <v>0.03</v>
      </c>
    </row>
    <row r="77">
      <c r="A77" s="7" t="n">
        <v>73</v>
      </c>
      <c r="B77" s="18" t="n">
        <v>0.015</v>
      </c>
      <c r="C77" s="18" t="n">
        <v>0.02</v>
      </c>
      <c r="D77" s="18" t="n">
        <v>0.01</v>
      </c>
      <c r="E77" s="18" t="n">
        <v>0.015</v>
      </c>
      <c r="F77" s="18" t="n">
        <v>0.03</v>
      </c>
      <c r="G77" s="18" t="n">
        <v>0.03</v>
      </c>
      <c r="H77" s="18" t="n">
        <v>0.03</v>
      </c>
      <c r="I77" s="18" t="n">
        <v>0.03</v>
      </c>
      <c r="J77" s="18" t="n">
        <v>0.03</v>
      </c>
      <c r="K77" s="18" t="n">
        <v>0.03</v>
      </c>
    </row>
    <row r="78">
      <c r="A78" s="7" t="n">
        <v>74</v>
      </c>
      <c r="B78" s="18" t="n">
        <v>0.015</v>
      </c>
      <c r="C78" s="18" t="n">
        <v>0.02</v>
      </c>
      <c r="D78" s="18" t="n">
        <v>0.01</v>
      </c>
      <c r="E78" s="18" t="n">
        <v>0.015</v>
      </c>
      <c r="F78" s="18" t="n">
        <v>0.03</v>
      </c>
      <c r="G78" s="18" t="n">
        <v>0.03</v>
      </c>
      <c r="H78" s="18" t="n">
        <v>0.03</v>
      </c>
      <c r="I78" s="18" t="n">
        <v>0.03</v>
      </c>
      <c r="J78" s="18" t="n">
        <v>0.03</v>
      </c>
      <c r="K78" s="18" t="n">
        <v>0.03</v>
      </c>
    </row>
    <row r="79">
      <c r="A79" s="7" t="n">
        <v>75</v>
      </c>
      <c r="B79" s="18" t="n">
        <v>0.015</v>
      </c>
      <c r="C79" s="18" t="n">
        <v>0.02</v>
      </c>
      <c r="D79" s="18" t="n">
        <v>0.01</v>
      </c>
      <c r="E79" s="18" t="n">
        <v>0.015</v>
      </c>
      <c r="F79" s="18" t="n">
        <v>0.03</v>
      </c>
      <c r="G79" s="18" t="n">
        <v>0.03</v>
      </c>
      <c r="H79" s="18" t="n">
        <v>0.03</v>
      </c>
      <c r="I79" s="18" t="n">
        <v>0.03</v>
      </c>
      <c r="J79" s="18" t="n">
        <v>0.03</v>
      </c>
      <c r="K79" s="18" t="n">
        <v>0.03</v>
      </c>
    </row>
    <row r="80">
      <c r="A80" s="7" t="n">
        <v>76</v>
      </c>
      <c r="B80" s="18" t="n">
        <v>0.015</v>
      </c>
      <c r="C80" s="18" t="n">
        <v>0.02</v>
      </c>
      <c r="D80" s="18" t="n">
        <v>0.01</v>
      </c>
      <c r="E80" s="18" t="n">
        <v>0.015</v>
      </c>
      <c r="F80" s="18" t="n">
        <v>0.03</v>
      </c>
      <c r="G80" s="18" t="n">
        <v>0.03</v>
      </c>
      <c r="H80" s="18" t="n">
        <v>0.03</v>
      </c>
      <c r="I80" s="18" t="n">
        <v>0.03</v>
      </c>
      <c r="J80" s="18" t="n">
        <v>0.03</v>
      </c>
      <c r="K80" s="18" t="n">
        <v>0.03</v>
      </c>
    </row>
    <row r="81">
      <c r="A81" s="7" t="n">
        <v>77</v>
      </c>
      <c r="B81" s="18" t="n">
        <v>0.015</v>
      </c>
      <c r="C81" s="18" t="n">
        <v>0.02</v>
      </c>
      <c r="D81" s="18" t="n">
        <v>0.01</v>
      </c>
      <c r="E81" s="18" t="n">
        <v>0.015</v>
      </c>
      <c r="F81" s="18" t="n">
        <v>0.03</v>
      </c>
      <c r="G81" s="18" t="n">
        <v>0.03</v>
      </c>
      <c r="H81" s="18" t="n">
        <v>0.03</v>
      </c>
      <c r="I81" s="18" t="n">
        <v>0.03</v>
      </c>
      <c r="J81" s="18" t="n">
        <v>0.03</v>
      </c>
      <c r="K81" s="18" t="n">
        <v>0.03</v>
      </c>
    </row>
    <row r="82">
      <c r="A82" s="7" t="n">
        <v>78</v>
      </c>
      <c r="B82" s="18" t="n">
        <v>0.015</v>
      </c>
      <c r="C82" s="18" t="n">
        <v>0.02</v>
      </c>
      <c r="D82" s="18" t="n">
        <v>0.01</v>
      </c>
      <c r="E82" s="18" t="n">
        <v>0.015</v>
      </c>
      <c r="F82" s="18" t="n">
        <v>0.03</v>
      </c>
      <c r="G82" s="18" t="n">
        <v>0.03</v>
      </c>
      <c r="H82" s="18" t="n">
        <v>0.03</v>
      </c>
      <c r="I82" s="18" t="n">
        <v>0.03</v>
      </c>
      <c r="J82" s="18" t="n">
        <v>0.03</v>
      </c>
      <c r="K82" s="18" t="n">
        <v>0.03</v>
      </c>
    </row>
    <row r="83">
      <c r="A83" s="7" t="n">
        <v>79</v>
      </c>
      <c r="B83" s="18" t="n">
        <v>0.015</v>
      </c>
      <c r="C83" s="18" t="n">
        <v>0.02</v>
      </c>
      <c r="D83" s="18" t="n">
        <v>0.01</v>
      </c>
      <c r="E83" s="18" t="n">
        <v>0.015</v>
      </c>
      <c r="F83" s="18" t="n">
        <v>0.03</v>
      </c>
      <c r="G83" s="18" t="n">
        <v>0.03</v>
      </c>
      <c r="H83" s="18" t="n">
        <v>0.03</v>
      </c>
      <c r="I83" s="18" t="n">
        <v>0.03</v>
      </c>
      <c r="J83" s="18" t="n">
        <v>0.03</v>
      </c>
      <c r="K83" s="18" t="n">
        <v>0.03</v>
      </c>
    </row>
    <row r="84">
      <c r="A84" s="7" t="n">
        <v>80</v>
      </c>
      <c r="B84" s="18" t="n">
        <v>0.015</v>
      </c>
      <c r="C84" s="18" t="n">
        <v>0.02</v>
      </c>
      <c r="D84" s="18" t="n">
        <v>0.01</v>
      </c>
      <c r="E84" s="18" t="n">
        <v>0.015</v>
      </c>
      <c r="F84" s="18" t="n">
        <v>0.03</v>
      </c>
      <c r="G84" s="18" t="n">
        <v>0.03</v>
      </c>
      <c r="H84" s="18" t="n">
        <v>0.03</v>
      </c>
      <c r="I84" s="18" t="n">
        <v>0.03</v>
      </c>
      <c r="J84" s="18" t="n">
        <v>0.03</v>
      </c>
      <c r="K84" s="18" t="n">
        <v>0.03</v>
      </c>
    </row>
    <row r="85">
      <c r="A85" s="7" t="n">
        <v>81</v>
      </c>
      <c r="B85" s="18" t="n">
        <v>0.015</v>
      </c>
      <c r="C85" s="18" t="n">
        <v>0.02</v>
      </c>
      <c r="D85" s="18" t="n">
        <v>0.01</v>
      </c>
      <c r="E85" s="18" t="n">
        <v>0.015</v>
      </c>
      <c r="F85" s="18" t="n">
        <v>0.03</v>
      </c>
      <c r="G85" s="18" t="n">
        <v>0.03</v>
      </c>
      <c r="H85" s="18" t="n">
        <v>0.03</v>
      </c>
      <c r="I85" s="18" t="n">
        <v>0.03</v>
      </c>
      <c r="J85" s="18" t="n">
        <v>0.03</v>
      </c>
      <c r="K85" s="18" t="n">
        <v>0.03</v>
      </c>
    </row>
    <row r="86">
      <c r="A86" s="7" t="n">
        <v>82</v>
      </c>
      <c r="B86" s="18" t="n">
        <v>0.015</v>
      </c>
      <c r="C86" s="18" t="n">
        <v>0.02</v>
      </c>
      <c r="D86" s="18" t="n">
        <v>0.01</v>
      </c>
      <c r="E86" s="18" t="n">
        <v>0.015</v>
      </c>
      <c r="F86" s="18" t="n">
        <v>0.03</v>
      </c>
      <c r="G86" s="18" t="n">
        <v>0.03</v>
      </c>
      <c r="H86" s="18" t="n">
        <v>0.03</v>
      </c>
      <c r="I86" s="18" t="n">
        <v>0.03</v>
      </c>
      <c r="J86" s="18" t="n">
        <v>0.03</v>
      </c>
      <c r="K86" s="18" t="n">
        <v>0.03</v>
      </c>
    </row>
    <row r="87">
      <c r="A87" s="7" t="n">
        <v>83</v>
      </c>
      <c r="B87" s="18" t="n">
        <v>0.015</v>
      </c>
      <c r="C87" s="18" t="n">
        <v>0.02</v>
      </c>
      <c r="D87" s="18" t="n">
        <v>0.01</v>
      </c>
      <c r="E87" s="18" t="n">
        <v>0.015</v>
      </c>
      <c r="F87" s="18" t="n">
        <v>0.03</v>
      </c>
      <c r="G87" s="18" t="n">
        <v>0.03</v>
      </c>
      <c r="H87" s="18" t="n">
        <v>0.03</v>
      </c>
      <c r="I87" s="18" t="n">
        <v>0.03</v>
      </c>
      <c r="J87" s="18" t="n">
        <v>0.03</v>
      </c>
      <c r="K87" s="18" t="n">
        <v>0.03</v>
      </c>
    </row>
    <row r="88">
      <c r="A88" s="7" t="n">
        <v>84</v>
      </c>
      <c r="B88" s="18" t="n">
        <v>0.015</v>
      </c>
      <c r="C88" s="18" t="n">
        <v>0.02</v>
      </c>
      <c r="D88" s="18" t="n">
        <v>0.01</v>
      </c>
      <c r="E88" s="18" t="n">
        <v>0.015</v>
      </c>
      <c r="F88" s="18" t="n">
        <v>0.03</v>
      </c>
      <c r="G88" s="18" t="n">
        <v>0.03</v>
      </c>
      <c r="H88" s="18" t="n">
        <v>0.03</v>
      </c>
      <c r="I88" s="18" t="n">
        <v>0.03</v>
      </c>
      <c r="J88" s="18" t="n">
        <v>0.03</v>
      </c>
      <c r="K88" s="18" t="n">
        <v>0.03</v>
      </c>
    </row>
    <row r="89">
      <c r="A89" s="7" t="n">
        <v>85</v>
      </c>
      <c r="B89" s="18" t="n">
        <v>0.015</v>
      </c>
      <c r="C89" s="18" t="n">
        <v>0.02</v>
      </c>
      <c r="D89" s="18" t="n">
        <v>0.01</v>
      </c>
      <c r="E89" s="18" t="n">
        <v>0.015</v>
      </c>
      <c r="F89" s="18" t="n">
        <v>0.03</v>
      </c>
      <c r="G89" s="18" t="n">
        <v>0.03</v>
      </c>
      <c r="H89" s="18" t="n">
        <v>0.03</v>
      </c>
      <c r="I89" s="18" t="n">
        <v>0.03</v>
      </c>
      <c r="J89" s="18" t="n">
        <v>0.03</v>
      </c>
      <c r="K89" s="18" t="n">
        <v>0.03</v>
      </c>
    </row>
    <row r="90">
      <c r="A90" s="7" t="n">
        <v>86</v>
      </c>
      <c r="B90" s="18" t="n">
        <v>0.015</v>
      </c>
      <c r="C90" s="18" t="n">
        <v>0.02</v>
      </c>
      <c r="D90" s="18" t="n">
        <v>0.01</v>
      </c>
      <c r="E90" s="18" t="n">
        <v>0.015</v>
      </c>
      <c r="F90" s="18" t="n">
        <v>0.03</v>
      </c>
      <c r="G90" s="18" t="n">
        <v>0.03</v>
      </c>
      <c r="H90" s="18" t="n">
        <v>0.03</v>
      </c>
      <c r="I90" s="18" t="n">
        <v>0.03</v>
      </c>
      <c r="J90" s="18" t="n">
        <v>0.03</v>
      </c>
      <c r="K90" s="18" t="n">
        <v>0.03</v>
      </c>
    </row>
    <row r="91">
      <c r="A91" s="7" t="n">
        <v>87</v>
      </c>
      <c r="B91" s="18" t="n">
        <v>0.015</v>
      </c>
      <c r="C91" s="18" t="n">
        <v>0.02</v>
      </c>
      <c r="D91" s="18" t="n">
        <v>0.01</v>
      </c>
      <c r="E91" s="18" t="n">
        <v>0.015</v>
      </c>
      <c r="F91" s="18" t="n">
        <v>0.03</v>
      </c>
      <c r="G91" s="18" t="n">
        <v>0.03</v>
      </c>
      <c r="H91" s="18" t="n">
        <v>0.03</v>
      </c>
      <c r="I91" s="18" t="n">
        <v>0.03</v>
      </c>
      <c r="J91" s="18" t="n">
        <v>0.03</v>
      </c>
      <c r="K91" s="18" t="n">
        <v>0.03</v>
      </c>
    </row>
    <row r="92">
      <c r="A92" s="7" t="n">
        <v>88</v>
      </c>
      <c r="B92" s="18" t="n">
        <v>0.015</v>
      </c>
      <c r="C92" s="18" t="n">
        <v>0.02</v>
      </c>
      <c r="D92" s="18" t="n">
        <v>0.01</v>
      </c>
      <c r="E92" s="18" t="n">
        <v>0.015</v>
      </c>
      <c r="F92" s="18" t="n">
        <v>0.03</v>
      </c>
      <c r="G92" s="18" t="n">
        <v>0.03</v>
      </c>
      <c r="H92" s="18" t="n">
        <v>0.03</v>
      </c>
      <c r="I92" s="18" t="n">
        <v>0.03</v>
      </c>
      <c r="J92" s="18" t="n">
        <v>0.03</v>
      </c>
      <c r="K92" s="18" t="n">
        <v>0.03</v>
      </c>
    </row>
    <row r="93">
      <c r="A93" s="7" t="n">
        <v>89</v>
      </c>
      <c r="B93" s="18" t="n">
        <v>0.015</v>
      </c>
      <c r="C93" s="18" t="n">
        <v>0.02</v>
      </c>
      <c r="D93" s="18" t="n">
        <v>0.01</v>
      </c>
      <c r="E93" s="18" t="n">
        <v>0.015</v>
      </c>
      <c r="F93" s="18" t="n">
        <v>0.03</v>
      </c>
      <c r="G93" s="18" t="n">
        <v>0.03</v>
      </c>
      <c r="H93" s="18" t="n">
        <v>0.03</v>
      </c>
      <c r="I93" s="18" t="n">
        <v>0.03</v>
      </c>
      <c r="J93" s="18" t="n">
        <v>0.03</v>
      </c>
      <c r="K93" s="18" t="n">
        <v>0.03</v>
      </c>
    </row>
    <row r="94">
      <c r="A94" s="7" t="n">
        <v>90</v>
      </c>
      <c r="B94" s="18" t="n">
        <v>0.015</v>
      </c>
      <c r="C94" s="18" t="n">
        <v>0.02</v>
      </c>
      <c r="D94" s="18" t="n">
        <v>0.01</v>
      </c>
      <c r="E94" s="18" t="n">
        <v>0.015</v>
      </c>
      <c r="F94" s="18" t="n">
        <v>0.03</v>
      </c>
      <c r="G94" s="18" t="n">
        <v>0.03</v>
      </c>
      <c r="H94" s="18" t="n">
        <v>0.03</v>
      </c>
      <c r="I94" s="18" t="n">
        <v>0.03</v>
      </c>
      <c r="J94" s="18" t="n">
        <v>0.03</v>
      </c>
      <c r="K94" s="18" t="n">
        <v>0.03</v>
      </c>
    </row>
    <row r="95">
      <c r="A95" s="7" t="n">
        <v>91</v>
      </c>
      <c r="B95" s="18" t="n">
        <v>0.015</v>
      </c>
      <c r="C95" s="18" t="n">
        <v>0.02</v>
      </c>
      <c r="D95" s="18" t="n">
        <v>0.01</v>
      </c>
      <c r="E95" s="18" t="n">
        <v>0.015</v>
      </c>
      <c r="F95" s="18" t="n">
        <v>0.03</v>
      </c>
      <c r="G95" s="18" t="n">
        <v>0.03</v>
      </c>
      <c r="H95" s="18" t="n">
        <v>0.03</v>
      </c>
      <c r="I95" s="18" t="n">
        <v>0.03</v>
      </c>
      <c r="J95" s="18" t="n">
        <v>0.03</v>
      </c>
      <c r="K95" s="18" t="n">
        <v>0.03</v>
      </c>
    </row>
    <row r="96">
      <c r="A96" s="7" t="n">
        <v>92</v>
      </c>
      <c r="B96" s="18" t="n">
        <v>0.015</v>
      </c>
      <c r="C96" s="18" t="n">
        <v>0.02</v>
      </c>
      <c r="D96" s="18" t="n">
        <v>0.01</v>
      </c>
      <c r="E96" s="18" t="n">
        <v>0.015</v>
      </c>
      <c r="F96" s="18" t="n">
        <v>0.03</v>
      </c>
      <c r="G96" s="18" t="n">
        <v>0.03</v>
      </c>
      <c r="H96" s="18" t="n">
        <v>0.03</v>
      </c>
      <c r="I96" s="18" t="n">
        <v>0.03</v>
      </c>
      <c r="J96" s="18" t="n">
        <v>0.03</v>
      </c>
      <c r="K96" s="18" t="n">
        <v>0.03</v>
      </c>
    </row>
    <row r="97">
      <c r="A97" s="7" t="n">
        <v>93</v>
      </c>
      <c r="B97" s="18" t="n">
        <v>0.015</v>
      </c>
      <c r="C97" s="18" t="n">
        <v>0.02</v>
      </c>
      <c r="D97" s="18" t="n">
        <v>0.01</v>
      </c>
      <c r="E97" s="18" t="n">
        <v>0.015</v>
      </c>
      <c r="F97" s="18" t="n">
        <v>0.03</v>
      </c>
      <c r="G97" s="18" t="n">
        <v>0.03</v>
      </c>
      <c r="H97" s="18" t="n">
        <v>0.03</v>
      </c>
      <c r="I97" s="18" t="n">
        <v>0.03</v>
      </c>
      <c r="J97" s="18" t="n">
        <v>0.03</v>
      </c>
      <c r="K97" s="18" t="n">
        <v>0.03</v>
      </c>
    </row>
    <row r="98">
      <c r="A98" s="7" t="n">
        <v>94</v>
      </c>
      <c r="B98" s="18" t="n">
        <v>0.015</v>
      </c>
      <c r="C98" s="18" t="n">
        <v>0.02</v>
      </c>
      <c r="D98" s="18" t="n">
        <v>0.01</v>
      </c>
      <c r="E98" s="18" t="n">
        <v>0.015</v>
      </c>
      <c r="F98" s="18" t="n">
        <v>0.03</v>
      </c>
      <c r="G98" s="18" t="n">
        <v>0.03</v>
      </c>
      <c r="H98" s="18" t="n">
        <v>0.03</v>
      </c>
      <c r="I98" s="18" t="n">
        <v>0.03</v>
      </c>
      <c r="J98" s="18" t="n">
        <v>0.03</v>
      </c>
      <c r="K98" s="18" t="n">
        <v>0.03</v>
      </c>
    </row>
    <row r="99">
      <c r="A99" s="7" t="n">
        <v>95</v>
      </c>
      <c r="B99" s="18" t="n">
        <v>0.015</v>
      </c>
      <c r="C99" s="18" t="n">
        <v>0.02</v>
      </c>
      <c r="D99" s="18" t="n">
        <v>0.01</v>
      </c>
      <c r="E99" s="18" t="n">
        <v>0.015</v>
      </c>
      <c r="F99" s="18" t="n">
        <v>0.03</v>
      </c>
      <c r="G99" s="18" t="n">
        <v>0.03</v>
      </c>
      <c r="H99" s="18" t="n">
        <v>0.03</v>
      </c>
      <c r="I99" s="18" t="n">
        <v>0.03</v>
      </c>
      <c r="J99" s="18" t="n">
        <v>0.03</v>
      </c>
      <c r="K99" s="18" t="n">
        <v>0.03</v>
      </c>
    </row>
    <row r="100">
      <c r="A100" s="7" t="n">
        <v>96</v>
      </c>
      <c r="B100" s="18" t="n">
        <v>0.015</v>
      </c>
      <c r="C100" s="18" t="n">
        <v>0.02</v>
      </c>
      <c r="D100" s="18" t="n">
        <v>0.01</v>
      </c>
      <c r="E100" s="18" t="n">
        <v>0.015</v>
      </c>
      <c r="F100" s="18" t="n">
        <v>0.03</v>
      </c>
      <c r="G100" s="18" t="n">
        <v>0.03</v>
      </c>
      <c r="H100" s="18" t="n">
        <v>0.03</v>
      </c>
      <c r="I100" s="18" t="n">
        <v>0.03</v>
      </c>
      <c r="J100" s="18" t="n">
        <v>0.03</v>
      </c>
      <c r="K100" s="18" t="n">
        <v>0.03</v>
      </c>
    </row>
    <row r="101">
      <c r="A101" s="7" t="n">
        <v>97</v>
      </c>
      <c r="B101" s="18" t="n">
        <v>0.015</v>
      </c>
      <c r="C101" s="18" t="n">
        <v>0.02</v>
      </c>
      <c r="D101" s="18" t="n">
        <v>0.01</v>
      </c>
      <c r="E101" s="18" t="n">
        <v>0.015</v>
      </c>
      <c r="F101" s="18" t="n">
        <v>0.03</v>
      </c>
      <c r="G101" s="18" t="n">
        <v>0.03</v>
      </c>
      <c r="H101" s="18" t="n">
        <v>0.03</v>
      </c>
      <c r="I101" s="18" t="n">
        <v>0.03</v>
      </c>
      <c r="J101" s="18" t="n">
        <v>0.03</v>
      </c>
      <c r="K101" s="18" t="n">
        <v>0.03</v>
      </c>
    </row>
    <row r="102">
      <c r="A102" s="7" t="n">
        <v>98</v>
      </c>
      <c r="B102" s="18" t="n">
        <v>0.015</v>
      </c>
      <c r="C102" s="18" t="n">
        <v>0.02</v>
      </c>
      <c r="D102" s="18" t="n">
        <v>0.01</v>
      </c>
      <c r="E102" s="18" t="n">
        <v>0.015</v>
      </c>
      <c r="F102" s="18" t="n">
        <v>0.03</v>
      </c>
      <c r="G102" s="18" t="n">
        <v>0.03</v>
      </c>
      <c r="H102" s="18" t="n">
        <v>0.03</v>
      </c>
      <c r="I102" s="18" t="n">
        <v>0.03</v>
      </c>
      <c r="J102" s="18" t="n">
        <v>0.03</v>
      </c>
      <c r="K102" s="18" t="n">
        <v>0.03</v>
      </c>
    </row>
    <row r="103">
      <c r="A103" s="7" t="n">
        <v>99</v>
      </c>
      <c r="B103" s="18" t="n">
        <v>0.015</v>
      </c>
      <c r="C103" s="18" t="n">
        <v>0.02</v>
      </c>
      <c r="D103" s="18" t="n">
        <v>0.01</v>
      </c>
      <c r="E103" s="18" t="n">
        <v>0.015</v>
      </c>
      <c r="F103" s="18" t="n">
        <v>0.03</v>
      </c>
      <c r="G103" s="18" t="n">
        <v>0.03</v>
      </c>
      <c r="H103" s="18" t="n">
        <v>0.03</v>
      </c>
      <c r="I103" s="18" t="n">
        <v>0.03</v>
      </c>
      <c r="J103" s="18" t="n">
        <v>0.03</v>
      </c>
      <c r="K103" s="18" t="n">
        <v>0.03</v>
      </c>
    </row>
    <row r="104">
      <c r="A104" s="7" t="n">
        <v>100</v>
      </c>
      <c r="B104" s="18" t="n">
        <v>0.015</v>
      </c>
      <c r="C104" s="18" t="n">
        <v>0.02</v>
      </c>
      <c r="D104" s="18" t="n">
        <v>0.01</v>
      </c>
      <c r="E104" s="18" t="n">
        <v>0.015</v>
      </c>
      <c r="F104" s="18" t="n">
        <v>0.03</v>
      </c>
      <c r="G104" s="18" t="n">
        <v>0.03</v>
      </c>
      <c r="H104" s="18" t="n">
        <v>0.03</v>
      </c>
      <c r="I104" s="18" t="n">
        <v>0.03</v>
      </c>
      <c r="J104" s="18" t="n">
        <v>0.03</v>
      </c>
      <c r="K104" s="18" t="n">
        <v>0.03</v>
      </c>
    </row>
    <row r="105">
      <c r="A105" s="7" t="n">
        <v>101</v>
      </c>
      <c r="B105" s="18" t="n">
        <v>0.015</v>
      </c>
      <c r="C105" s="18" t="n">
        <v>0.02</v>
      </c>
      <c r="D105" s="18" t="n">
        <v>0.01</v>
      </c>
      <c r="E105" s="18" t="n">
        <v>0.015</v>
      </c>
      <c r="F105" s="18" t="n">
        <v>0.03</v>
      </c>
      <c r="G105" s="18" t="n">
        <v>0.03</v>
      </c>
      <c r="H105" s="18" t="n">
        <v>0.03</v>
      </c>
      <c r="I105" s="18" t="n">
        <v>0.03</v>
      </c>
      <c r="J105" s="18" t="n">
        <v>0.03</v>
      </c>
      <c r="K105" s="18" t="n">
        <v>0.03</v>
      </c>
    </row>
    <row r="106">
      <c r="A106" s="7" t="n">
        <v>102</v>
      </c>
      <c r="B106" s="18" t="n">
        <v>0.015</v>
      </c>
      <c r="C106" s="18" t="n">
        <v>0.02</v>
      </c>
      <c r="D106" s="18" t="n">
        <v>0.01</v>
      </c>
      <c r="E106" s="18" t="n">
        <v>0.015</v>
      </c>
      <c r="F106" s="18" t="n">
        <v>0.03</v>
      </c>
      <c r="G106" s="18" t="n">
        <v>0.03</v>
      </c>
      <c r="H106" s="18" t="n">
        <v>0.03</v>
      </c>
      <c r="I106" s="18" t="n">
        <v>0.03</v>
      </c>
      <c r="J106" s="18" t="n">
        <v>0.03</v>
      </c>
      <c r="K106" s="18" t="n">
        <v>0.03</v>
      </c>
    </row>
    <row r="107">
      <c r="A107" s="7" t="n">
        <v>103</v>
      </c>
      <c r="B107" s="18" t="n">
        <v>0.015</v>
      </c>
      <c r="C107" s="18" t="n">
        <v>0.02</v>
      </c>
      <c r="D107" s="18" t="n">
        <v>0.01</v>
      </c>
      <c r="E107" s="18" t="n">
        <v>0.015</v>
      </c>
      <c r="F107" s="18" t="n">
        <v>0.03</v>
      </c>
      <c r="G107" s="18" t="n">
        <v>0.03</v>
      </c>
      <c r="H107" s="18" t="n">
        <v>0.03</v>
      </c>
      <c r="I107" s="18" t="n">
        <v>0.03</v>
      </c>
      <c r="J107" s="18" t="n">
        <v>0.03</v>
      </c>
      <c r="K107" s="18" t="n">
        <v>0.03</v>
      </c>
    </row>
    <row r="108">
      <c r="A108" s="7" t="n">
        <v>104</v>
      </c>
      <c r="B108" s="18" t="n">
        <v>0.015</v>
      </c>
      <c r="C108" s="18" t="n">
        <v>0.02</v>
      </c>
      <c r="D108" s="18" t="n">
        <v>0.01</v>
      </c>
      <c r="E108" s="18" t="n">
        <v>0.015</v>
      </c>
      <c r="F108" s="18" t="n">
        <v>0.03</v>
      </c>
      <c r="G108" s="18" t="n">
        <v>0.03</v>
      </c>
      <c r="H108" s="18" t="n">
        <v>0.03</v>
      </c>
      <c r="I108" s="18" t="n">
        <v>0.03</v>
      </c>
      <c r="J108" s="18" t="n">
        <v>0.03</v>
      </c>
      <c r="K108" s="18" t="n">
        <v>0.03</v>
      </c>
    </row>
    <row r="109">
      <c r="A109" s="7" t="n">
        <v>105</v>
      </c>
      <c r="B109" s="18" t="n">
        <v>0.015</v>
      </c>
      <c r="C109" s="18" t="n">
        <v>0.02</v>
      </c>
      <c r="D109" s="18" t="n">
        <v>0.01</v>
      </c>
      <c r="E109" s="18" t="n">
        <v>0.015</v>
      </c>
      <c r="F109" s="18" t="n">
        <v>0.03</v>
      </c>
      <c r="G109" s="18" t="n">
        <v>0.03</v>
      </c>
      <c r="H109" s="18" t="n">
        <v>0.03</v>
      </c>
      <c r="I109" s="18" t="n">
        <v>0.03</v>
      </c>
      <c r="J109" s="18" t="n">
        <v>0.03</v>
      </c>
      <c r="K109" s="18" t="n">
        <v>0.03</v>
      </c>
    </row>
    <row r="110">
      <c r="A110" s="7" t="n">
        <v>106</v>
      </c>
      <c r="B110" s="18" t="n">
        <v>0.015</v>
      </c>
      <c r="C110" s="18" t="n">
        <v>0.02</v>
      </c>
      <c r="D110" s="18" t="n">
        <v>0.01</v>
      </c>
      <c r="E110" s="18" t="n">
        <v>0.015</v>
      </c>
      <c r="F110" s="18" t="n">
        <v>0.03</v>
      </c>
      <c r="G110" s="18" t="n">
        <v>0.03</v>
      </c>
      <c r="H110" s="18" t="n">
        <v>0.03</v>
      </c>
      <c r="I110" s="18" t="n">
        <v>0.03</v>
      </c>
      <c r="J110" s="18" t="n">
        <v>0.03</v>
      </c>
      <c r="K110" s="18" t="n">
        <v>0.03</v>
      </c>
    </row>
    <row r="111">
      <c r="A111" s="7" t="n">
        <v>107</v>
      </c>
      <c r="B111" s="18" t="n">
        <v>0.015</v>
      </c>
      <c r="C111" s="18" t="n">
        <v>0.02</v>
      </c>
      <c r="D111" s="18" t="n">
        <v>0.01</v>
      </c>
      <c r="E111" s="18" t="n">
        <v>0.015</v>
      </c>
      <c r="F111" s="18" t="n">
        <v>0.03</v>
      </c>
      <c r="G111" s="18" t="n">
        <v>0.03</v>
      </c>
      <c r="H111" s="18" t="n">
        <v>0.03</v>
      </c>
      <c r="I111" s="18" t="n">
        <v>0.03</v>
      </c>
      <c r="J111" s="18" t="n">
        <v>0.03</v>
      </c>
      <c r="K111" s="18" t="n">
        <v>0.03</v>
      </c>
    </row>
    <row r="112">
      <c r="A112" s="7" t="n">
        <v>108</v>
      </c>
      <c r="B112" s="18" t="n">
        <v>0.015</v>
      </c>
      <c r="C112" s="18" t="n">
        <v>0.02</v>
      </c>
      <c r="D112" s="18" t="n">
        <v>0.01</v>
      </c>
      <c r="E112" s="18" t="n">
        <v>0.015</v>
      </c>
      <c r="F112" s="18" t="n">
        <v>0.03</v>
      </c>
      <c r="G112" s="18" t="n">
        <v>0.03</v>
      </c>
      <c r="H112" s="18" t="n">
        <v>0.03</v>
      </c>
      <c r="I112" s="18" t="n">
        <v>0.03</v>
      </c>
      <c r="J112" s="18" t="n">
        <v>0.03</v>
      </c>
      <c r="K112" s="18" t="n">
        <v>0.03</v>
      </c>
    </row>
    <row r="113">
      <c r="A113" s="7" t="n">
        <v>109</v>
      </c>
      <c r="B113" s="18" t="n">
        <v>0.015</v>
      </c>
      <c r="C113" s="18" t="n">
        <v>0.02</v>
      </c>
      <c r="D113" s="18" t="n">
        <v>0.01</v>
      </c>
      <c r="E113" s="18" t="n">
        <v>0.015</v>
      </c>
      <c r="F113" s="18" t="n">
        <v>0.03</v>
      </c>
      <c r="G113" s="18" t="n">
        <v>0.03</v>
      </c>
      <c r="H113" s="18" t="n">
        <v>0.03</v>
      </c>
      <c r="I113" s="18" t="n">
        <v>0.03</v>
      </c>
      <c r="J113" s="18" t="n">
        <v>0.03</v>
      </c>
      <c r="K113" s="18" t="n">
        <v>0.03</v>
      </c>
    </row>
    <row r="114">
      <c r="A114" s="7" t="n">
        <v>110</v>
      </c>
      <c r="B114" s="18" t="n">
        <v>0.015</v>
      </c>
      <c r="C114" s="18" t="n">
        <v>0.02</v>
      </c>
      <c r="D114" s="18" t="n">
        <v>0.01</v>
      </c>
      <c r="E114" s="18" t="n">
        <v>0.015</v>
      </c>
      <c r="F114" s="18" t="n">
        <v>0.03</v>
      </c>
      <c r="G114" s="18" t="n">
        <v>0.03</v>
      </c>
      <c r="H114" s="18" t="n">
        <v>0.03</v>
      </c>
      <c r="I114" s="18" t="n">
        <v>0.03</v>
      </c>
      <c r="J114" s="18" t="n">
        <v>0.03</v>
      </c>
      <c r="K114" s="18" t="n">
        <v>0.03</v>
      </c>
    </row>
    <row r="115">
      <c r="A115" s="7" t="n">
        <v>111</v>
      </c>
      <c r="B115" s="18" t="n">
        <v>0.015</v>
      </c>
      <c r="C115" s="18" t="n">
        <v>0.02</v>
      </c>
      <c r="D115" s="18" t="n">
        <v>0.01</v>
      </c>
      <c r="E115" s="18" t="n">
        <v>0.015</v>
      </c>
      <c r="F115" s="18" t="n">
        <v>0.03</v>
      </c>
      <c r="G115" s="18" t="n">
        <v>0.03</v>
      </c>
      <c r="H115" s="18" t="n">
        <v>0.03</v>
      </c>
      <c r="I115" s="18" t="n">
        <v>0.03</v>
      </c>
      <c r="J115" s="18" t="n">
        <v>0.03</v>
      </c>
      <c r="K115" s="18" t="n">
        <v>0.03</v>
      </c>
    </row>
    <row r="116">
      <c r="A116" s="7" t="n">
        <v>112</v>
      </c>
      <c r="B116" s="18" t="n">
        <v>0.015</v>
      </c>
      <c r="C116" s="18" t="n">
        <v>0.02</v>
      </c>
      <c r="D116" s="18" t="n">
        <v>0.01</v>
      </c>
      <c r="E116" s="18" t="n">
        <v>0.015</v>
      </c>
      <c r="F116" s="18" t="n">
        <v>0.03</v>
      </c>
      <c r="G116" s="18" t="n">
        <v>0.03</v>
      </c>
      <c r="H116" s="18" t="n">
        <v>0.03</v>
      </c>
      <c r="I116" s="18" t="n">
        <v>0.03</v>
      </c>
      <c r="J116" s="18" t="n">
        <v>0.03</v>
      </c>
      <c r="K116" s="18" t="n">
        <v>0.03</v>
      </c>
    </row>
    <row r="117">
      <c r="A117" s="7" t="n">
        <v>113</v>
      </c>
      <c r="B117" s="18" t="n">
        <v>0.015</v>
      </c>
      <c r="C117" s="18" t="n">
        <v>0.02</v>
      </c>
      <c r="D117" s="18" t="n">
        <v>0.01</v>
      </c>
      <c r="E117" s="18" t="n">
        <v>0.015</v>
      </c>
      <c r="F117" s="18" t="n">
        <v>0.03</v>
      </c>
      <c r="G117" s="18" t="n">
        <v>0.03</v>
      </c>
      <c r="H117" s="18" t="n">
        <v>0.03</v>
      </c>
      <c r="I117" s="18" t="n">
        <v>0.03</v>
      </c>
      <c r="J117" s="18" t="n">
        <v>0.03</v>
      </c>
      <c r="K117" s="18" t="n">
        <v>0.03</v>
      </c>
    </row>
    <row r="118">
      <c r="A118" s="7" t="n">
        <v>114</v>
      </c>
      <c r="B118" s="18" t="n">
        <v>0.015</v>
      </c>
      <c r="C118" s="18" t="n">
        <v>0.02</v>
      </c>
      <c r="D118" s="18" t="n">
        <v>0.01</v>
      </c>
      <c r="E118" s="18" t="n">
        <v>0.015</v>
      </c>
      <c r="F118" s="18" t="n">
        <v>0.03</v>
      </c>
      <c r="G118" s="18" t="n">
        <v>0.03</v>
      </c>
      <c r="H118" s="18" t="n">
        <v>0.03</v>
      </c>
      <c r="I118" s="18" t="n">
        <v>0.03</v>
      </c>
      <c r="J118" s="18" t="n">
        <v>0.03</v>
      </c>
      <c r="K118" s="18" t="n">
        <v>0.03</v>
      </c>
    </row>
    <row r="119">
      <c r="A119" s="7" t="n">
        <v>115</v>
      </c>
      <c r="B119" s="18" t="n">
        <v>0.015</v>
      </c>
      <c r="C119" s="18" t="n">
        <v>0.02</v>
      </c>
      <c r="D119" s="18" t="n">
        <v>0.01</v>
      </c>
      <c r="E119" s="18" t="n">
        <v>0.015</v>
      </c>
      <c r="F119" s="18" t="n">
        <v>0.03</v>
      </c>
      <c r="G119" s="18" t="n">
        <v>0.03</v>
      </c>
      <c r="H119" s="18" t="n">
        <v>0.03</v>
      </c>
      <c r="I119" s="18" t="n">
        <v>0.03</v>
      </c>
      <c r="J119" s="18" t="n">
        <v>0.03</v>
      </c>
      <c r="K119" s="18" t="n">
        <v>0.03</v>
      </c>
    </row>
    <row r="120">
      <c r="A120" s="7" t="n">
        <v>116</v>
      </c>
      <c r="B120" s="18" t="n">
        <v>0.015</v>
      </c>
      <c r="C120" s="18" t="n">
        <v>0.02</v>
      </c>
      <c r="D120" s="18" t="n">
        <v>0.01</v>
      </c>
      <c r="E120" s="18" t="n">
        <v>0.015</v>
      </c>
      <c r="F120" s="18" t="n">
        <v>0.03</v>
      </c>
      <c r="G120" s="18" t="n">
        <v>0.03</v>
      </c>
      <c r="H120" s="18" t="n">
        <v>0.03</v>
      </c>
      <c r="I120" s="18" t="n">
        <v>0.03</v>
      </c>
      <c r="J120" s="18" t="n">
        <v>0.03</v>
      </c>
      <c r="K120" s="18" t="n">
        <v>0.03</v>
      </c>
    </row>
    <row r="121">
      <c r="A121" s="7" t="n">
        <v>117</v>
      </c>
      <c r="B121" s="18" t="n">
        <v>0.015</v>
      </c>
      <c r="C121" s="18" t="n">
        <v>0.02</v>
      </c>
      <c r="D121" s="18" t="n">
        <v>0.01</v>
      </c>
      <c r="E121" s="18" t="n">
        <v>0.015</v>
      </c>
      <c r="F121" s="18" t="n">
        <v>0.03</v>
      </c>
      <c r="G121" s="18" t="n">
        <v>0.03</v>
      </c>
      <c r="H121" s="18" t="n">
        <v>0.03</v>
      </c>
      <c r="I121" s="18" t="n">
        <v>0.03</v>
      </c>
      <c r="J121" s="18" t="n">
        <v>0.03</v>
      </c>
      <c r="K121" s="18" t="n">
        <v>0.03</v>
      </c>
    </row>
    <row r="122">
      <c r="A122" s="7" t="n">
        <v>118</v>
      </c>
      <c r="B122" s="18" t="n">
        <v>0.015</v>
      </c>
      <c r="C122" s="18" t="n">
        <v>0.02</v>
      </c>
      <c r="D122" s="18" t="n">
        <v>0.01</v>
      </c>
      <c r="E122" s="18" t="n">
        <v>0.015</v>
      </c>
      <c r="F122" s="18" t="n">
        <v>0.03</v>
      </c>
      <c r="G122" s="18" t="n">
        <v>0.03</v>
      </c>
      <c r="H122" s="18" t="n">
        <v>0.03</v>
      </c>
      <c r="I122" s="18" t="n">
        <v>0.03</v>
      </c>
      <c r="J122" s="18" t="n">
        <v>0.03</v>
      </c>
      <c r="K122" s="18" t="n">
        <v>0.03</v>
      </c>
    </row>
    <row r="123">
      <c r="A123" s="7" t="n">
        <v>119</v>
      </c>
      <c r="B123" s="18" t="n">
        <v>0.015</v>
      </c>
      <c r="C123" s="18" t="n">
        <v>0.02</v>
      </c>
      <c r="D123" s="18" t="n">
        <v>0.01</v>
      </c>
      <c r="E123" s="18" t="n">
        <v>0.015</v>
      </c>
      <c r="F123" s="18" t="n">
        <v>0.03</v>
      </c>
      <c r="G123" s="18" t="n">
        <v>0.03</v>
      </c>
      <c r="H123" s="18" t="n">
        <v>0.03</v>
      </c>
      <c r="I123" s="18" t="n">
        <v>0.03</v>
      </c>
      <c r="J123" s="18" t="n">
        <v>0.03</v>
      </c>
      <c r="K123" s="18" t="n">
        <v>0.03</v>
      </c>
    </row>
    <row r="124">
      <c r="A124" s="7" t="n">
        <v>120</v>
      </c>
      <c r="B124" s="18" t="n">
        <v>0.015</v>
      </c>
      <c r="C124" s="18" t="n">
        <v>0.02</v>
      </c>
      <c r="D124" s="18" t="n">
        <v>0.01</v>
      </c>
      <c r="E124" s="18" t="n">
        <v>0.015</v>
      </c>
      <c r="F124" s="18" t="n">
        <v>0.03</v>
      </c>
      <c r="G124" s="18" t="n">
        <v>0.03</v>
      </c>
      <c r="H124" s="18" t="n">
        <v>0.03</v>
      </c>
      <c r="I124" s="18" t="n">
        <v>0.03</v>
      </c>
      <c r="J124" s="18" t="n">
        <v>0.03</v>
      </c>
      <c r="K124" s="18" t="n">
        <v>0.03</v>
      </c>
    </row>
    <row r="125">
      <c r="A125" s="7" t="n">
        <v>121</v>
      </c>
      <c r="B125" s="18" t="n">
        <v>0.015</v>
      </c>
      <c r="C125" s="18" t="n">
        <v>0.02</v>
      </c>
      <c r="D125" s="18" t="n">
        <v>0.01</v>
      </c>
      <c r="E125" s="18" t="n">
        <v>0.015</v>
      </c>
      <c r="F125" s="18" t="n">
        <v>0.03</v>
      </c>
      <c r="G125" s="18" t="n">
        <v>0.03</v>
      </c>
      <c r="H125" s="18" t="n">
        <v>0.03</v>
      </c>
      <c r="I125" s="18" t="n">
        <v>0.03</v>
      </c>
      <c r="J125" s="18" t="n">
        <v>0.03</v>
      </c>
      <c r="K125" s="18" t="n">
        <v>0.03</v>
      </c>
    </row>
    <row r="126">
      <c r="A126" s="7" t="n">
        <v>122</v>
      </c>
      <c r="B126" s="18" t="n">
        <v>0.015</v>
      </c>
      <c r="C126" s="18" t="n">
        <v>0.02</v>
      </c>
      <c r="D126" s="18" t="n">
        <v>0.01</v>
      </c>
      <c r="E126" s="18" t="n">
        <v>0.015</v>
      </c>
      <c r="F126" s="18" t="n">
        <v>0.03</v>
      </c>
      <c r="G126" s="18" t="n">
        <v>0.03</v>
      </c>
      <c r="H126" s="18" t="n">
        <v>0.03</v>
      </c>
      <c r="I126" s="18" t="n">
        <v>0.03</v>
      </c>
      <c r="J126" s="18" t="n">
        <v>0.03</v>
      </c>
      <c r="K126" s="18" t="n">
        <v>0.03</v>
      </c>
    </row>
    <row r="127">
      <c r="A127" s="7" t="n">
        <v>123</v>
      </c>
      <c r="B127" s="18" t="n">
        <v>0.015</v>
      </c>
      <c r="C127" s="18" t="n">
        <v>0.02</v>
      </c>
      <c r="D127" s="18" t="n">
        <v>0.01</v>
      </c>
      <c r="E127" s="18" t="n">
        <v>0.015</v>
      </c>
      <c r="F127" s="18" t="n">
        <v>0.03</v>
      </c>
      <c r="G127" s="18" t="n">
        <v>0.03</v>
      </c>
      <c r="H127" s="18" t="n">
        <v>0.03</v>
      </c>
      <c r="I127" s="18" t="n">
        <v>0.03</v>
      </c>
      <c r="J127" s="18" t="n">
        <v>0.03</v>
      </c>
      <c r="K127" s="18" t="n">
        <v>0.03</v>
      </c>
    </row>
    <row r="128">
      <c r="A128" s="7" t="n">
        <v>124</v>
      </c>
      <c r="B128" s="18" t="n">
        <v>0.015</v>
      </c>
      <c r="C128" s="18" t="n">
        <v>0.02</v>
      </c>
      <c r="D128" s="18" t="n">
        <v>0.01</v>
      </c>
      <c r="E128" s="18" t="n">
        <v>0.015</v>
      </c>
      <c r="F128" s="18" t="n">
        <v>0.03</v>
      </c>
      <c r="G128" s="18" t="n">
        <v>0.03</v>
      </c>
      <c r="H128" s="18" t="n">
        <v>0.03</v>
      </c>
      <c r="I128" s="18" t="n">
        <v>0.03</v>
      </c>
      <c r="J128" s="18" t="n">
        <v>0.03</v>
      </c>
      <c r="K128" s="18" t="n">
        <v>0.03</v>
      </c>
    </row>
    <row r="129">
      <c r="A129" s="7" t="n">
        <v>125</v>
      </c>
      <c r="B129" s="18" t="n">
        <v>0.015</v>
      </c>
      <c r="C129" s="18" t="n">
        <v>0.02</v>
      </c>
      <c r="D129" s="18" t="n">
        <v>0.01</v>
      </c>
      <c r="E129" s="18" t="n">
        <v>0.015</v>
      </c>
      <c r="F129" s="18" t="n">
        <v>0.03</v>
      </c>
      <c r="G129" s="18" t="n">
        <v>0.03</v>
      </c>
      <c r="H129" s="18" t="n">
        <v>0.03</v>
      </c>
      <c r="I129" s="18" t="n">
        <v>0.03</v>
      </c>
      <c r="J129" s="18" t="n">
        <v>0.03</v>
      </c>
      <c r="K129" s="18" t="n">
        <v>0.03</v>
      </c>
    </row>
    <row r="130">
      <c r="A130" s="7" t="n">
        <v>126</v>
      </c>
      <c r="B130" s="18" t="n">
        <v>0.015</v>
      </c>
      <c r="C130" s="18" t="n">
        <v>0.02</v>
      </c>
      <c r="D130" s="18" t="n">
        <v>0.01</v>
      </c>
      <c r="E130" s="18" t="n">
        <v>0.015</v>
      </c>
      <c r="F130" s="18" t="n">
        <v>0.03</v>
      </c>
      <c r="G130" s="18" t="n">
        <v>0.03</v>
      </c>
      <c r="H130" s="18" t="n">
        <v>0.03</v>
      </c>
      <c r="I130" s="18" t="n">
        <v>0.03</v>
      </c>
      <c r="J130" s="18" t="n">
        <v>0.03</v>
      </c>
      <c r="K130" s="18" t="n">
        <v>0.03</v>
      </c>
    </row>
    <row r="131">
      <c r="A131" s="7" t="n">
        <v>127</v>
      </c>
      <c r="B131" s="18" t="n">
        <v>0.015</v>
      </c>
      <c r="C131" s="18" t="n">
        <v>0.02</v>
      </c>
      <c r="D131" s="18" t="n">
        <v>0.01</v>
      </c>
      <c r="E131" s="18" t="n">
        <v>0.015</v>
      </c>
      <c r="F131" s="18" t="n">
        <v>0.03</v>
      </c>
      <c r="G131" s="18" t="n">
        <v>0.03</v>
      </c>
      <c r="H131" s="18" t="n">
        <v>0.03</v>
      </c>
      <c r="I131" s="18" t="n">
        <v>0.03</v>
      </c>
      <c r="J131" s="18" t="n">
        <v>0.03</v>
      </c>
      <c r="K131" s="18" t="n">
        <v>0.03</v>
      </c>
    </row>
    <row r="132">
      <c r="A132" s="7" t="n">
        <v>128</v>
      </c>
      <c r="B132" s="18" t="n">
        <v>0.015</v>
      </c>
      <c r="C132" s="18" t="n">
        <v>0.02</v>
      </c>
      <c r="D132" s="18" t="n">
        <v>0.01</v>
      </c>
      <c r="E132" s="18" t="n">
        <v>0.015</v>
      </c>
      <c r="F132" s="18" t="n">
        <v>0.03</v>
      </c>
      <c r="G132" s="18" t="n">
        <v>0.03</v>
      </c>
      <c r="H132" s="18" t="n">
        <v>0.03</v>
      </c>
      <c r="I132" s="18" t="n">
        <v>0.03</v>
      </c>
      <c r="J132" s="18" t="n">
        <v>0.03</v>
      </c>
      <c r="K132" s="18" t="n">
        <v>0.03</v>
      </c>
    </row>
    <row r="133">
      <c r="A133" s="7" t="n">
        <v>129</v>
      </c>
      <c r="B133" s="18" t="n">
        <v>0.015</v>
      </c>
      <c r="C133" s="18" t="n">
        <v>0.02</v>
      </c>
      <c r="D133" s="18" t="n">
        <v>0.01</v>
      </c>
      <c r="E133" s="18" t="n">
        <v>0.015</v>
      </c>
      <c r="F133" s="18" t="n">
        <v>0.03</v>
      </c>
      <c r="G133" s="18" t="n">
        <v>0.03</v>
      </c>
      <c r="H133" s="18" t="n">
        <v>0.03</v>
      </c>
      <c r="I133" s="18" t="n">
        <v>0.03</v>
      </c>
      <c r="J133" s="18" t="n">
        <v>0.03</v>
      </c>
      <c r="K133" s="18" t="n">
        <v>0.03</v>
      </c>
    </row>
    <row r="134">
      <c r="A134" s="7" t="n">
        <v>130</v>
      </c>
      <c r="B134" s="18" t="n">
        <v>0.015</v>
      </c>
      <c r="C134" s="18" t="n">
        <v>0.02</v>
      </c>
      <c r="D134" s="18" t="n">
        <v>0.01</v>
      </c>
      <c r="E134" s="18" t="n">
        <v>0.015</v>
      </c>
      <c r="F134" s="18" t="n">
        <v>0.03</v>
      </c>
      <c r="G134" s="18" t="n">
        <v>0.03</v>
      </c>
      <c r="H134" s="18" t="n">
        <v>0.03</v>
      </c>
      <c r="I134" s="18" t="n">
        <v>0.03</v>
      </c>
      <c r="J134" s="18" t="n">
        <v>0.03</v>
      </c>
      <c r="K134" s="18" t="n">
        <v>0.03</v>
      </c>
    </row>
    <row r="135">
      <c r="A135" s="7" t="n">
        <v>131</v>
      </c>
      <c r="B135" s="18" t="n">
        <v>0.015</v>
      </c>
      <c r="C135" s="18" t="n">
        <v>0.02</v>
      </c>
      <c r="D135" s="18" t="n">
        <v>0.01</v>
      </c>
      <c r="E135" s="18" t="n">
        <v>0.015</v>
      </c>
      <c r="F135" s="18" t="n">
        <v>0.03</v>
      </c>
      <c r="G135" s="18" t="n">
        <v>0.03</v>
      </c>
      <c r="H135" s="18" t="n">
        <v>0.03</v>
      </c>
      <c r="I135" s="18" t="n">
        <v>0.03</v>
      </c>
      <c r="J135" s="18" t="n">
        <v>0.03</v>
      </c>
      <c r="K135" s="18" t="n">
        <v>0.03</v>
      </c>
    </row>
    <row r="136">
      <c r="A136" s="7" t="n">
        <v>132</v>
      </c>
      <c r="B136" s="18" t="n">
        <v>0.015</v>
      </c>
      <c r="C136" s="18" t="n">
        <v>0.02</v>
      </c>
      <c r="D136" s="18" t="n">
        <v>0.01</v>
      </c>
      <c r="E136" s="18" t="n">
        <v>0.015</v>
      </c>
      <c r="F136" s="18" t="n">
        <v>0.03</v>
      </c>
      <c r="G136" s="18" t="n">
        <v>0.03</v>
      </c>
      <c r="H136" s="18" t="n">
        <v>0.03</v>
      </c>
      <c r="I136" s="18" t="n">
        <v>0.03</v>
      </c>
      <c r="J136" s="18" t="n">
        <v>0.03</v>
      </c>
      <c r="K136" s="18" t="n">
        <v>0.03</v>
      </c>
    </row>
    <row r="137">
      <c r="A137" s="7" t="n">
        <v>133</v>
      </c>
      <c r="B137" s="18" t="n">
        <v>0.015</v>
      </c>
      <c r="C137" s="18" t="n">
        <v>0.02</v>
      </c>
      <c r="D137" s="18" t="n">
        <v>0.01</v>
      </c>
      <c r="E137" s="18" t="n">
        <v>0.015</v>
      </c>
      <c r="F137" s="18" t="n">
        <v>0.03</v>
      </c>
      <c r="G137" s="18" t="n">
        <v>0.03</v>
      </c>
      <c r="H137" s="18" t="n">
        <v>0.03</v>
      </c>
      <c r="I137" s="18" t="n">
        <v>0.03</v>
      </c>
      <c r="J137" s="18" t="n">
        <v>0.03</v>
      </c>
      <c r="K137" s="18" t="n">
        <v>0.03</v>
      </c>
    </row>
    <row r="138">
      <c r="A138" s="7" t="n">
        <v>134</v>
      </c>
      <c r="B138" s="18" t="n">
        <v>0.015</v>
      </c>
      <c r="C138" s="18" t="n">
        <v>0.02</v>
      </c>
      <c r="D138" s="18" t="n">
        <v>0.01</v>
      </c>
      <c r="E138" s="18" t="n">
        <v>0.015</v>
      </c>
      <c r="F138" s="18" t="n">
        <v>0.03</v>
      </c>
      <c r="G138" s="18" t="n">
        <v>0.03</v>
      </c>
      <c r="H138" s="18" t="n">
        <v>0.03</v>
      </c>
      <c r="I138" s="18" t="n">
        <v>0.03</v>
      </c>
      <c r="J138" s="18" t="n">
        <v>0.03</v>
      </c>
      <c r="K138" s="18" t="n">
        <v>0.03</v>
      </c>
    </row>
    <row r="139">
      <c r="A139" s="7" t="n">
        <v>135</v>
      </c>
      <c r="B139" s="18" t="n">
        <v>0.015</v>
      </c>
      <c r="C139" s="18" t="n">
        <v>0.02</v>
      </c>
      <c r="D139" s="18" t="n">
        <v>0.01</v>
      </c>
      <c r="E139" s="18" t="n">
        <v>0.015</v>
      </c>
      <c r="F139" s="18" t="n">
        <v>0.03</v>
      </c>
      <c r="G139" s="18" t="n">
        <v>0.03</v>
      </c>
      <c r="H139" s="18" t="n">
        <v>0.03</v>
      </c>
      <c r="I139" s="18" t="n">
        <v>0.03</v>
      </c>
      <c r="J139" s="18" t="n">
        <v>0.03</v>
      </c>
      <c r="K139" s="18" t="n">
        <v>0.03</v>
      </c>
    </row>
    <row r="140">
      <c r="A140" s="7" t="n">
        <v>136</v>
      </c>
      <c r="B140" s="18" t="n">
        <v>0.015</v>
      </c>
      <c r="C140" s="18" t="n">
        <v>0.02</v>
      </c>
      <c r="D140" s="18" t="n">
        <v>0.01</v>
      </c>
      <c r="E140" s="18" t="n">
        <v>0.015</v>
      </c>
      <c r="F140" s="18" t="n">
        <v>0.03</v>
      </c>
      <c r="G140" s="18" t="n">
        <v>0.03</v>
      </c>
      <c r="H140" s="18" t="n">
        <v>0.03</v>
      </c>
      <c r="I140" s="18" t="n">
        <v>0.03</v>
      </c>
      <c r="J140" s="18" t="n">
        <v>0.03</v>
      </c>
      <c r="K140" s="18" t="n">
        <v>0.03</v>
      </c>
    </row>
    <row r="141">
      <c r="A141" s="7" t="n">
        <v>137</v>
      </c>
      <c r="B141" s="18" t="n">
        <v>0.015</v>
      </c>
      <c r="C141" s="18" t="n">
        <v>0.02</v>
      </c>
      <c r="D141" s="18" t="n">
        <v>0.01</v>
      </c>
      <c r="E141" s="18" t="n">
        <v>0.015</v>
      </c>
      <c r="F141" s="18" t="n">
        <v>0.03</v>
      </c>
      <c r="G141" s="18" t="n">
        <v>0.03</v>
      </c>
      <c r="H141" s="18" t="n">
        <v>0.03</v>
      </c>
      <c r="I141" s="18" t="n">
        <v>0.03</v>
      </c>
      <c r="J141" s="18" t="n">
        <v>0.03</v>
      </c>
      <c r="K141" s="18" t="n">
        <v>0.03</v>
      </c>
    </row>
    <row r="142">
      <c r="A142" s="7" t="n">
        <v>138</v>
      </c>
      <c r="B142" s="18" t="n">
        <v>0.015</v>
      </c>
      <c r="C142" s="18" t="n">
        <v>0.02</v>
      </c>
      <c r="D142" s="18" t="n">
        <v>0.01</v>
      </c>
      <c r="E142" s="18" t="n">
        <v>0.015</v>
      </c>
      <c r="F142" s="18" t="n">
        <v>0.03</v>
      </c>
      <c r="G142" s="18" t="n">
        <v>0.03</v>
      </c>
      <c r="H142" s="18" t="n">
        <v>0.03</v>
      </c>
      <c r="I142" s="18" t="n">
        <v>0.03</v>
      </c>
      <c r="J142" s="18" t="n">
        <v>0.03</v>
      </c>
      <c r="K142" s="18" t="n">
        <v>0.03</v>
      </c>
    </row>
    <row r="143">
      <c r="A143" s="7" t="n">
        <v>139</v>
      </c>
      <c r="B143" s="18" t="n">
        <v>0.015</v>
      </c>
      <c r="C143" s="18" t="n">
        <v>0.02</v>
      </c>
      <c r="D143" s="18" t="n">
        <v>0.01</v>
      </c>
      <c r="E143" s="18" t="n">
        <v>0.015</v>
      </c>
      <c r="F143" s="18" t="n">
        <v>0.03</v>
      </c>
      <c r="G143" s="18" t="n">
        <v>0.03</v>
      </c>
      <c r="H143" s="18" t="n">
        <v>0.03</v>
      </c>
      <c r="I143" s="18" t="n">
        <v>0.03</v>
      </c>
      <c r="J143" s="18" t="n">
        <v>0.03</v>
      </c>
      <c r="K143" s="18" t="n">
        <v>0.03</v>
      </c>
    </row>
    <row r="144">
      <c r="A144" s="7" t="n">
        <v>140</v>
      </c>
      <c r="B144" s="18" t="n">
        <v>0.015</v>
      </c>
      <c r="C144" s="18" t="n">
        <v>0.02</v>
      </c>
      <c r="D144" s="18" t="n">
        <v>0.01</v>
      </c>
      <c r="E144" s="18" t="n">
        <v>0.015</v>
      </c>
      <c r="F144" s="18" t="n">
        <v>0.03</v>
      </c>
      <c r="G144" s="18" t="n">
        <v>0.03</v>
      </c>
      <c r="H144" s="18" t="n">
        <v>0.03</v>
      </c>
      <c r="I144" s="18" t="n">
        <v>0.03</v>
      </c>
      <c r="J144" s="18" t="n">
        <v>0.03</v>
      </c>
      <c r="K144" s="18" t="n">
        <v>0.03</v>
      </c>
    </row>
    <row r="145">
      <c r="A145" s="7" t="n">
        <v>141</v>
      </c>
      <c r="B145" s="18" t="n">
        <v>0.015</v>
      </c>
      <c r="C145" s="18" t="n">
        <v>0.02</v>
      </c>
      <c r="D145" s="18" t="n">
        <v>0.01</v>
      </c>
      <c r="E145" s="18" t="n">
        <v>0.015</v>
      </c>
      <c r="F145" s="18" t="n">
        <v>0.03</v>
      </c>
      <c r="G145" s="18" t="n">
        <v>0.03</v>
      </c>
      <c r="H145" s="18" t="n">
        <v>0.03</v>
      </c>
      <c r="I145" s="18" t="n">
        <v>0.03</v>
      </c>
      <c r="J145" s="18" t="n">
        <v>0.03</v>
      </c>
      <c r="K145" s="18" t="n">
        <v>0.03</v>
      </c>
    </row>
    <row r="146">
      <c r="A146" s="7" t="n">
        <v>142</v>
      </c>
      <c r="B146" s="18" t="n">
        <v>0.015</v>
      </c>
      <c r="C146" s="18" t="n">
        <v>0.02</v>
      </c>
      <c r="D146" s="18" t="n">
        <v>0.01</v>
      </c>
      <c r="E146" s="18" t="n">
        <v>0.015</v>
      </c>
      <c r="F146" s="18" t="n">
        <v>0.03</v>
      </c>
      <c r="G146" s="18" t="n">
        <v>0.03</v>
      </c>
      <c r="H146" s="18" t="n">
        <v>0.03</v>
      </c>
      <c r="I146" s="18" t="n">
        <v>0.03</v>
      </c>
      <c r="J146" s="18" t="n">
        <v>0.03</v>
      </c>
      <c r="K146" s="18" t="n">
        <v>0.03</v>
      </c>
    </row>
    <row r="147">
      <c r="A147" s="7" t="n">
        <v>143</v>
      </c>
      <c r="B147" s="18" t="n">
        <v>0.015</v>
      </c>
      <c r="C147" s="18" t="n">
        <v>0.02</v>
      </c>
      <c r="D147" s="18" t="n">
        <v>0.01</v>
      </c>
      <c r="E147" s="18" t="n">
        <v>0.015</v>
      </c>
      <c r="F147" s="18" t="n">
        <v>0.03</v>
      </c>
      <c r="G147" s="18" t="n">
        <v>0.03</v>
      </c>
      <c r="H147" s="18" t="n">
        <v>0.03</v>
      </c>
      <c r="I147" s="18" t="n">
        <v>0.03</v>
      </c>
      <c r="J147" s="18" t="n">
        <v>0.03</v>
      </c>
      <c r="K147" s="18" t="n">
        <v>0.03</v>
      </c>
    </row>
    <row r="148">
      <c r="A148" s="7" t="n">
        <v>144</v>
      </c>
      <c r="B148" s="18" t="n">
        <v>0.015</v>
      </c>
      <c r="C148" s="18" t="n">
        <v>0.02</v>
      </c>
      <c r="D148" s="18" t="n">
        <v>0.01</v>
      </c>
      <c r="E148" s="18" t="n">
        <v>0.015</v>
      </c>
      <c r="F148" s="18" t="n">
        <v>0.03</v>
      </c>
      <c r="G148" s="18" t="n">
        <v>0.03</v>
      </c>
      <c r="H148" s="18" t="n">
        <v>0.03</v>
      </c>
      <c r="I148" s="18" t="n">
        <v>0.03</v>
      </c>
      <c r="J148" s="18" t="n">
        <v>0.03</v>
      </c>
      <c r="K148" s="18" t="n">
        <v>0.03</v>
      </c>
    </row>
    <row r="149">
      <c r="A149" s="7" t="n">
        <v>145</v>
      </c>
      <c r="B149" s="18" t="n">
        <v>0.015</v>
      </c>
      <c r="C149" s="18" t="n">
        <v>0.02</v>
      </c>
      <c r="D149" s="18" t="n">
        <v>0.01</v>
      </c>
      <c r="E149" s="18" t="n">
        <v>0.015</v>
      </c>
      <c r="F149" s="18" t="n">
        <v>0.03</v>
      </c>
      <c r="G149" s="18" t="n">
        <v>0.03</v>
      </c>
      <c r="H149" s="18" t="n">
        <v>0.03</v>
      </c>
      <c r="I149" s="18" t="n">
        <v>0.03</v>
      </c>
      <c r="J149" s="18" t="n">
        <v>0.03</v>
      </c>
      <c r="K149" s="18" t="n">
        <v>0.03</v>
      </c>
    </row>
    <row r="150">
      <c r="A150" s="7" t="n">
        <v>146</v>
      </c>
      <c r="B150" s="18" t="n">
        <v>0.015</v>
      </c>
      <c r="C150" s="18" t="n">
        <v>0.02</v>
      </c>
      <c r="D150" s="18" t="n">
        <v>0.01</v>
      </c>
      <c r="E150" s="18" t="n">
        <v>0.015</v>
      </c>
      <c r="F150" s="18" t="n">
        <v>0.03</v>
      </c>
      <c r="G150" s="18" t="n">
        <v>0.03</v>
      </c>
      <c r="H150" s="18" t="n">
        <v>0.03</v>
      </c>
      <c r="I150" s="18" t="n">
        <v>0.03</v>
      </c>
      <c r="J150" s="18" t="n">
        <v>0.03</v>
      </c>
      <c r="K150" s="18" t="n">
        <v>0.03</v>
      </c>
    </row>
    <row r="151">
      <c r="A151" s="7" t="n">
        <v>147</v>
      </c>
      <c r="B151" s="18" t="n">
        <v>0.015</v>
      </c>
      <c r="C151" s="18" t="n">
        <v>0.02</v>
      </c>
      <c r="D151" s="18" t="n">
        <v>0.01</v>
      </c>
      <c r="E151" s="18" t="n">
        <v>0.015</v>
      </c>
      <c r="F151" s="18" t="n">
        <v>0.03</v>
      </c>
      <c r="G151" s="18" t="n">
        <v>0.03</v>
      </c>
      <c r="H151" s="18" t="n">
        <v>0.03</v>
      </c>
      <c r="I151" s="18" t="n">
        <v>0.03</v>
      </c>
      <c r="J151" s="18" t="n">
        <v>0.03</v>
      </c>
      <c r="K151" s="18" t="n">
        <v>0.03</v>
      </c>
    </row>
    <row r="152">
      <c r="A152" s="7" t="n">
        <v>148</v>
      </c>
      <c r="B152" s="18" t="n">
        <v>0.015</v>
      </c>
      <c r="C152" s="18" t="n">
        <v>0.02</v>
      </c>
      <c r="D152" s="18" t="n">
        <v>0.01</v>
      </c>
      <c r="E152" s="18" t="n">
        <v>0.015</v>
      </c>
      <c r="F152" s="18" t="n">
        <v>0.03</v>
      </c>
      <c r="G152" s="18" t="n">
        <v>0.03</v>
      </c>
      <c r="H152" s="18" t="n">
        <v>0.03</v>
      </c>
      <c r="I152" s="18" t="n">
        <v>0.03</v>
      </c>
      <c r="J152" s="18" t="n">
        <v>0.03</v>
      </c>
      <c r="K152" s="18" t="n">
        <v>0.03</v>
      </c>
    </row>
    <row r="153">
      <c r="A153" s="7" t="n">
        <v>149</v>
      </c>
      <c r="B153" s="18" t="n">
        <v>0.015</v>
      </c>
      <c r="C153" s="18" t="n">
        <v>0.02</v>
      </c>
      <c r="D153" s="18" t="n">
        <v>0.01</v>
      </c>
      <c r="E153" s="18" t="n">
        <v>0.015</v>
      </c>
      <c r="F153" s="18" t="n">
        <v>0.03</v>
      </c>
      <c r="G153" s="18" t="n">
        <v>0.03</v>
      </c>
      <c r="H153" s="18" t="n">
        <v>0.03</v>
      </c>
      <c r="I153" s="18" t="n">
        <v>0.03</v>
      </c>
      <c r="J153" s="18" t="n">
        <v>0.03</v>
      </c>
      <c r="K153" s="18" t="n">
        <v>0.03</v>
      </c>
    </row>
    <row r="154">
      <c r="A154" s="7" t="n">
        <v>150</v>
      </c>
      <c r="B154" s="18" t="n">
        <v>0.015</v>
      </c>
      <c r="C154" s="18" t="n">
        <v>0.02</v>
      </c>
      <c r="D154" s="18" t="n">
        <v>0.01</v>
      </c>
      <c r="E154" s="18" t="n">
        <v>0.015</v>
      </c>
      <c r="F154" s="18" t="n">
        <v>0.03</v>
      </c>
      <c r="G154" s="18" t="n">
        <v>0.03</v>
      </c>
      <c r="H154" s="18" t="n">
        <v>0.03</v>
      </c>
      <c r="I154" s="18" t="n">
        <v>0.03</v>
      </c>
      <c r="J154" s="18" t="n">
        <v>0.03</v>
      </c>
      <c r="K154" s="18" t="n">
        <v>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D70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5" customWidth="1" min="3" max="3"/>
    <col width="70" customWidth="1" min="4" max="4"/>
  </cols>
  <sheetData>
    <row r="2">
      <c r="B2" s="3" t="inlineStr">
        <is>
          <t>Selected policy (from Policy_Data)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Product</t>
        </is>
      </c>
      <c r="C4" s="19">
        <f>INDEX(MP_Product,MATCH(PolicyID,MP_ID,0))</f>
        <v/>
      </c>
      <c r="D4" s="12" t="inlineStr">
        <is>
          <t>Product() — TERM / WL / ENDW</t>
        </is>
      </c>
    </row>
    <row r="5">
      <c r="B5" s="5" t="inlineStr">
        <is>
          <t>Policy type</t>
        </is>
      </c>
      <c r="C5" s="20">
        <f>INDEX(MP_PolType,MATCH(PolicyID,MP_ID,0))</f>
        <v/>
      </c>
      <c r="D5" s="12" t="inlineStr">
        <is>
          <t>PolicyType()</t>
        </is>
      </c>
    </row>
    <row r="6">
      <c r="B6" s="5" t="inlineStr">
        <is>
          <t>Generation</t>
        </is>
      </c>
      <c r="C6" s="20">
        <f>INDEX(MP_Gen,MATCH(PolicyID,MP_ID,0))</f>
        <v/>
      </c>
      <c r="D6" s="12" t="inlineStr">
        <is>
          <t>Gen()</t>
        </is>
      </c>
    </row>
    <row r="7">
      <c r="B7" s="5" t="inlineStr">
        <is>
          <t>Sex</t>
        </is>
      </c>
      <c r="C7" s="19">
        <f>INDEX(MP_Sex,MATCH(PolicyID,MP_ID,0))</f>
        <v/>
      </c>
      <c r="D7" s="12" t="inlineStr">
        <is>
          <t>Sex()</t>
        </is>
      </c>
    </row>
    <row r="8">
      <c r="B8" s="5" t="inlineStr">
        <is>
          <t>Issue age</t>
        </is>
      </c>
      <c r="C8" s="20">
        <f>INDEX(MP_IssueAge,MATCH(PolicyID,MP_ID,0))</f>
        <v/>
      </c>
      <c r="D8" s="12" t="inlineStr">
        <is>
          <t>IssueAge() — x</t>
        </is>
      </c>
    </row>
    <row r="9">
      <c r="B9" s="5" t="inlineStr">
        <is>
          <t>Premium frequency p.a.</t>
        </is>
      </c>
      <c r="C9" s="20">
        <f>INDEX(MP_PremFreq,MATCH(PolicyID,MP_ID,0))</f>
        <v/>
      </c>
      <c r="D9" s="12" t="inlineStr">
        <is>
          <t>PremFreq()</t>
        </is>
      </c>
    </row>
    <row r="10">
      <c r="B10" s="5" t="inlineStr">
        <is>
          <t>Policy term (years)</t>
        </is>
      </c>
      <c r="C10" s="20">
        <f>INDEX(MP_Term,MATCH(PolicyID,MP_ID,0))</f>
        <v/>
      </c>
      <c r="D10" s="12" t="inlineStr">
        <is>
          <t>PolicyTerm() — n = m (premium term alias)</t>
        </is>
      </c>
    </row>
    <row r="11">
      <c r="B11" s="5" t="inlineStr">
        <is>
          <t>Policy count</t>
        </is>
      </c>
      <c r="C11" s="20">
        <f>INDEX(MP_Count,MATCH(PolicyID,MP_ID,0))</f>
        <v/>
      </c>
      <c r="D11" s="12" t="inlineStr">
        <is>
          <t>PolicyCount()</t>
        </is>
      </c>
    </row>
    <row r="12">
      <c r="B12" s="5" t="inlineStr">
        <is>
          <t>Sum assured</t>
        </is>
      </c>
      <c r="C12" s="21">
        <f>INDEX(MP_SumAssured,MATCH(PolicyID,MP_ID,0))</f>
        <v/>
      </c>
      <c r="D12" s="12" t="inlineStr">
        <is>
          <t>SumAssured()</t>
        </is>
      </c>
    </row>
    <row r="14">
      <c r="B14" s="3" t="inlineStr">
        <is>
          <t>Resolved lookups (modelx match cascade)</t>
        </is>
      </c>
    </row>
    <row r="15">
      <c r="B15" s="10" t="inlineStr">
        <is>
          <t>Item</t>
        </is>
      </c>
      <c r="C15" s="10" t="inlineStr">
        <is>
          <t>Value</t>
        </is>
      </c>
      <c r="D15" s="10" t="inlineStr">
        <is>
          <t>Notes / lifelib cell</t>
        </is>
      </c>
    </row>
    <row r="16">
      <c r="B16" s="5" t="inlineStr">
        <is>
          <t>BaseMortTable</t>
        </is>
      </c>
      <c r="C16" s="20">
        <f>IFERROR(INDEX(AsmpVals,IFERROR(MATCH("BaseMort|"&amp;Product&amp;"|"&amp;PolicyType&amp;"|"&amp;Gen,AsmpKeys,0),IFERROR(MATCH("BaseMort|"&amp;Product&amp;"|"&amp;PolicyType&amp;"|",AsmpKeys,0),IFERROR(MATCH("BaseMort|"&amp;Product&amp;"||"&amp;Gen,AsmpKeys,0),IFERROR(MATCH("BaseMort||"&amp;PolicyType&amp;"|"&amp;Gen,AsmpKeys,0),IFERROR(MATCH("BaseMort|"&amp;Product&amp;"||",AsmpKeys,0),IFERROR(MATCH("BaseMort||"&amp;PolicyType&amp;"|",AsmpKeys,0),IFERROR(MATCH("BaseMort|||"&amp;Gen,AsmpKeys,0),MATCH("BaseMort|||",AsmpKeys,0))))))))),"NA")</f>
        <v/>
      </c>
      <c r="D16" s="12" t="inlineStr">
        <is>
          <t>asmp.BaseMortRate — base mortality table id</t>
        </is>
      </c>
    </row>
    <row r="17">
      <c r="B17" s="5" t="inlineStr">
        <is>
          <t>MortFactorTable</t>
        </is>
      </c>
      <c r="C17" s="19">
        <f>IFERROR(INDEX(AsmpVals,IFERROR(MATCH("MortFactor|"&amp;Product&amp;"|"&amp;PolicyType&amp;"|"&amp;Gen,AsmpKeys,0),IFERROR(MATCH("MortFactor|"&amp;Product&amp;"|"&amp;PolicyType&amp;"|",AsmpKeys,0),IFERROR(MATCH("MortFactor|"&amp;Product&amp;"||"&amp;Gen,AsmpKeys,0),IFERROR(MATCH("MortFactor||"&amp;PolicyType&amp;"|"&amp;Gen,AsmpKeys,0),IFERROR(MATCH("MortFactor|"&amp;Product&amp;"||",AsmpKeys,0),IFERROR(MATCH("MortFactor||"&amp;PolicyType&amp;"|",AsmpKeys,0),IFERROR(MATCH("MortFactor|||"&amp;Gen,AsmpKeys,0),MATCH("MortFactor|||",AsmpKeys,0))))))))),"NA")</f>
        <v/>
      </c>
      <c r="D17" s="12" t="inlineStr">
        <is>
          <t>asmp.MortFactor — factor table name</t>
        </is>
      </c>
    </row>
    <row r="18">
      <c r="B18" s="5" t="inlineStr">
        <is>
          <t>SurrTable</t>
        </is>
      </c>
      <c r="C18" s="19">
        <f>IFERROR(INDEX(AsmpVals,IFERROR(MATCH("Surrender|"&amp;Product&amp;"|"&amp;PolicyType&amp;"|"&amp;Gen,AsmpKeys,0),IFERROR(MATCH("Surrender|"&amp;Product&amp;"|"&amp;PolicyType&amp;"|",AsmpKeys,0),IFERROR(MATCH("Surrender|"&amp;Product&amp;"||"&amp;Gen,AsmpKeys,0),IFERROR(MATCH("Surrender||"&amp;PolicyType&amp;"|"&amp;Gen,AsmpKeys,0),IFERROR(MATCH("Surrender|"&amp;Product&amp;"||",AsmpKeys,0),IFERROR(MATCH("Surrender||"&amp;PolicyType&amp;"|",AsmpKeys,0),IFERROR(MATCH("Surrender|||"&amp;Gen,AsmpKeys,0),MATCH("Surrender|||",AsmpKeys,0))))))))),"NA")</f>
        <v/>
      </c>
      <c r="D18" s="12" t="inlineStr">
        <is>
          <t>asmp.SurrRate — surrender table name</t>
        </is>
      </c>
    </row>
    <row r="19">
      <c r="B19" s="5" t="inlineStr">
        <is>
          <t>CnsmpTax</t>
        </is>
      </c>
      <c r="C19" s="22">
        <f>IFERROR(INDEX(AsmpVals,MATCH("CnsmpTax|||",AsmpKeys,0)),"NA")</f>
        <v/>
      </c>
      <c r="D19" s="12" t="inlineStr">
        <is>
          <t>asmp.CnsmpTax() — direct global lookup in lifelib, no cascade</t>
        </is>
      </c>
    </row>
    <row r="20">
      <c r="B20" s="5" t="inlineStr">
        <is>
          <t>CommInitPrem</t>
        </is>
      </c>
      <c r="C20" s="22">
        <f>IFERROR(INDEX(AsmpVals,IFERROR(MATCH("CommInitPrem|"&amp;Product&amp;"|"&amp;PolicyType&amp;"|"&amp;Gen,AsmpKeys,0),IFERROR(MATCH("CommInitPrem|"&amp;Product&amp;"|"&amp;PolicyType&amp;"|",AsmpKeys,0),IFERROR(MATCH("CommInitPrem|"&amp;Product&amp;"||"&amp;Gen,AsmpKeys,0),IFERROR(MATCH("CommInitPrem||"&amp;PolicyType&amp;"|"&amp;Gen,AsmpKeys,0),IFERROR(MATCH("CommInitPrem|"&amp;Product&amp;"||",AsmpKeys,0),IFERROR(MATCH("CommInitPrem||"&amp;PolicyType&amp;"|",AsmpKeys,0),IFERROR(MATCH("CommInitPrem|||"&amp;Gen,AsmpKeys,0),MATCH("CommInitPrem|||",AsmpKeys,0))))))))),"NA")</f>
        <v/>
      </c>
      <c r="D20" s="12" t="inlineStr">
        <is>
          <t>asmp.CommInitPrem()</t>
        </is>
      </c>
    </row>
    <row r="21">
      <c r="B21" s="5" t="inlineStr">
        <is>
          <t>CommRenPrem</t>
        </is>
      </c>
      <c r="C21" s="22">
        <f>IFERROR(INDEX(AsmpVals,IFERROR(MATCH("CommRenPrem|"&amp;Product&amp;"|"&amp;PolicyType&amp;"|"&amp;Gen,AsmpKeys,0),IFERROR(MATCH("CommRenPrem|"&amp;Product&amp;"|"&amp;PolicyType&amp;"|",AsmpKeys,0),IFERROR(MATCH("CommRenPrem|"&amp;Product&amp;"||"&amp;Gen,AsmpKeys,0),IFERROR(MATCH("CommRenPrem||"&amp;PolicyType&amp;"|"&amp;Gen,AsmpKeys,0),IFERROR(MATCH("CommRenPrem|"&amp;Product&amp;"||",AsmpKeys,0),IFERROR(MATCH("CommRenPrem||"&amp;PolicyType&amp;"|",AsmpKeys,0),IFERROR(MATCH("CommRenPrem|||"&amp;Gen,AsmpKeys,0),MATCH("CommRenPrem|||",AsmpKeys,0))))))))),"NA")</f>
        <v/>
      </c>
      <c r="D21" s="12" t="inlineStr">
        <is>
          <t>asmp.CommRenPrem()</t>
        </is>
      </c>
    </row>
    <row r="22">
      <c r="B22" s="5" t="inlineStr">
        <is>
          <t>CommRenTerm</t>
        </is>
      </c>
      <c r="C22" s="20">
        <f>IFERROR(INDEX(AsmpVals,IFERROR(MATCH("CommRenTerm|"&amp;Product&amp;"|"&amp;PolicyType&amp;"|"&amp;Gen,AsmpKeys,0),IFERROR(MATCH("CommRenTerm|"&amp;Product&amp;"|"&amp;PolicyType&amp;"|",AsmpKeys,0),IFERROR(MATCH("CommRenTerm|"&amp;Product&amp;"||"&amp;Gen,AsmpKeys,0),IFERROR(MATCH("CommRenTerm||"&amp;PolicyType&amp;"|"&amp;Gen,AsmpKeys,0),IFERROR(MATCH("CommRenTerm|"&amp;Product&amp;"||",AsmpKeys,0),IFERROR(MATCH("CommRenTerm||"&amp;PolicyType&amp;"|",AsmpKeys,0),IFERROR(MATCH("CommRenTerm|||"&amp;Gen,AsmpKeys,0),MATCH("CommRenTerm|||",AsmpKeys,0))))))))),"NA")</f>
        <v/>
      </c>
      <c r="D22" s="12" t="inlineStr">
        <is>
          <t>asmp.CommRenTerm()</t>
        </is>
      </c>
    </row>
    <row r="23">
      <c r="B23" s="5" t="inlineStr">
        <is>
          <t>ExpsAcqAnnPrem</t>
        </is>
      </c>
      <c r="C23" s="23">
        <f>IFERROR(INDEX(AsmpVals,IFERROR(MATCH("ExpsAcqAnnPrem|"&amp;Product&amp;"|"&amp;PolicyType&amp;"|"&amp;Gen,AsmpKeys,0),IFERROR(MATCH("ExpsAcqAnnPrem|"&amp;Product&amp;"|"&amp;PolicyType&amp;"|",AsmpKeys,0),IFERROR(MATCH("ExpsAcqAnnPrem|"&amp;Product&amp;"||"&amp;Gen,AsmpKeys,0),IFERROR(MATCH("ExpsAcqAnnPrem||"&amp;PolicyType&amp;"|"&amp;Gen,AsmpKeys,0),IFERROR(MATCH("ExpsAcqAnnPrem|"&amp;Product&amp;"||",AsmpKeys,0),IFERROR(MATCH("ExpsAcqAnnPrem||"&amp;PolicyType&amp;"|",AsmpKeys,0),IFERROR(MATCH("ExpsAcqAnnPrem|||"&amp;Gen,AsmpKeys,0),MATCH("ExpsAcqAnnPrem|||",AsmpKeys,0))))))))),"NA")</f>
        <v/>
      </c>
      <c r="D23" s="12" t="inlineStr">
        <is>
          <t>asmp.ExpsAcqAnnPrem()</t>
        </is>
      </c>
    </row>
    <row r="24">
      <c r="B24" s="5" t="inlineStr">
        <is>
          <t>ExpsAcqPol</t>
        </is>
      </c>
      <c r="C24" s="21">
        <f>IFERROR(INDEX(AsmpVals,IFERROR(MATCH("ExpsAcqPol|"&amp;Product&amp;"|"&amp;PolicyType&amp;"|"&amp;Gen,AsmpKeys,0),IFERROR(MATCH("ExpsAcqPol|"&amp;Product&amp;"|"&amp;PolicyType&amp;"|",AsmpKeys,0),IFERROR(MATCH("ExpsAcqPol|"&amp;Product&amp;"||"&amp;Gen,AsmpKeys,0),IFERROR(MATCH("ExpsAcqPol||"&amp;PolicyType&amp;"|"&amp;Gen,AsmpKeys,0),IFERROR(MATCH("ExpsAcqPol|"&amp;Product&amp;"||",AsmpKeys,0),IFERROR(MATCH("ExpsAcqPol||"&amp;PolicyType&amp;"|",AsmpKeys,0),IFERROR(MATCH("ExpsAcqPol|||"&amp;Gen,AsmpKeys,0),MATCH("ExpsAcqPol|||",AsmpKeys,0))))))))),"NA")</f>
        <v/>
      </c>
      <c r="D24" s="12" t="inlineStr">
        <is>
          <t>asmp.ExpsAcqPol()</t>
        </is>
      </c>
    </row>
    <row r="25">
      <c r="B25" s="5" t="inlineStr">
        <is>
          <t>ExpsAcqSA</t>
        </is>
      </c>
      <c r="C25" s="24">
        <f>IFERROR(INDEX(AsmpVals,IFERROR(MATCH("ExpsAcqSA|"&amp;Product&amp;"|"&amp;PolicyType&amp;"|"&amp;Gen,AsmpKeys,0),IFERROR(MATCH("ExpsAcqSA|"&amp;Product&amp;"|"&amp;PolicyType&amp;"|",AsmpKeys,0),IFERROR(MATCH("ExpsAcqSA|"&amp;Product&amp;"||"&amp;Gen,AsmpKeys,0),IFERROR(MATCH("ExpsAcqSA||"&amp;PolicyType&amp;"|"&amp;Gen,AsmpKeys,0),IFERROR(MATCH("ExpsAcqSA|"&amp;Product&amp;"||",AsmpKeys,0),IFERROR(MATCH("ExpsAcqSA||"&amp;PolicyType&amp;"|",AsmpKeys,0),IFERROR(MATCH("ExpsAcqSA|||"&amp;Gen,AsmpKeys,0),MATCH("ExpsAcqSA|||",AsmpKeys,0))))))))),"NA")</f>
        <v/>
      </c>
      <c r="D25" s="12" t="inlineStr">
        <is>
          <t>asmp.ExpsAcqSA()</t>
        </is>
      </c>
    </row>
    <row r="26">
      <c r="B26" s="5" t="inlineStr">
        <is>
          <t>ExpsMaintAnnPrem</t>
        </is>
      </c>
      <c r="C26" s="23">
        <f>IFERROR(INDEX(AsmpVals,IFERROR(MATCH("ExpsMaintPrem|"&amp;Product&amp;"|"&amp;PolicyType&amp;"|"&amp;Gen,AsmpKeys,0),IFERROR(MATCH("ExpsMaintPrem|"&amp;Product&amp;"|"&amp;PolicyType&amp;"|",AsmpKeys,0),IFERROR(MATCH("ExpsMaintPrem|"&amp;Product&amp;"||"&amp;Gen,AsmpKeys,0),IFERROR(MATCH("ExpsMaintPrem||"&amp;PolicyType&amp;"|"&amp;Gen,AsmpKeys,0),IFERROR(MATCH("ExpsMaintPrem|"&amp;Product&amp;"||",AsmpKeys,0),IFERROR(MATCH("ExpsMaintPrem||"&amp;PolicyType&amp;"|",AsmpKeys,0),IFERROR(MATCH("ExpsMaintPrem|||"&amp;Gen,AsmpKeys,0),MATCH("ExpsMaintPrem|||",AsmpKeys,0))))))))),"NA")</f>
        <v/>
      </c>
      <c r="D26" s="12" t="inlineStr">
        <is>
          <t>asmp.ExpsMaintAnnPrem()</t>
        </is>
      </c>
    </row>
    <row r="27">
      <c r="B27" s="5" t="inlineStr">
        <is>
          <t>ExpsMaintPol</t>
        </is>
      </c>
      <c r="C27" s="21">
        <f>IFERROR(INDEX(AsmpVals,IFERROR(MATCH("ExpsMaintPol|"&amp;Product&amp;"|"&amp;PolicyType&amp;"|"&amp;Gen,AsmpKeys,0),IFERROR(MATCH("ExpsMaintPol|"&amp;Product&amp;"|"&amp;PolicyType&amp;"|",AsmpKeys,0),IFERROR(MATCH("ExpsMaintPol|"&amp;Product&amp;"||"&amp;Gen,AsmpKeys,0),IFERROR(MATCH("ExpsMaintPol||"&amp;PolicyType&amp;"|"&amp;Gen,AsmpKeys,0),IFERROR(MATCH("ExpsMaintPol|"&amp;Product&amp;"||",AsmpKeys,0),IFERROR(MATCH("ExpsMaintPol||"&amp;PolicyType&amp;"|",AsmpKeys,0),IFERROR(MATCH("ExpsMaintPol|||"&amp;Gen,AsmpKeys,0),MATCH("ExpsMaintPol|||",AsmpKeys,0))))))))),"NA")</f>
        <v/>
      </c>
      <c r="D27" s="12" t="inlineStr">
        <is>
          <t>asmp.ExpsMaintPol()</t>
        </is>
      </c>
    </row>
    <row r="28">
      <c r="B28" s="5" t="inlineStr">
        <is>
          <t>ExpsMaintSA</t>
        </is>
      </c>
      <c r="C28" s="24">
        <f>IFERROR(INDEX(AsmpVals,IFERROR(MATCH("ExpsMaintSA|"&amp;Product&amp;"|"&amp;PolicyType&amp;"|"&amp;Gen,AsmpKeys,0),IFERROR(MATCH("ExpsMaintSA|"&amp;Product&amp;"|"&amp;PolicyType&amp;"|",AsmpKeys,0),IFERROR(MATCH("ExpsMaintSA|"&amp;Product&amp;"||"&amp;Gen,AsmpKeys,0),IFERROR(MATCH("ExpsMaintSA||"&amp;PolicyType&amp;"|"&amp;Gen,AsmpKeys,0),IFERROR(MATCH("ExpsMaintSA|"&amp;Product&amp;"||",AsmpKeys,0),IFERROR(MATCH("ExpsMaintSA||"&amp;PolicyType&amp;"|",AsmpKeys,0),IFERROR(MATCH("ExpsMaintSA|||"&amp;Gen,AsmpKeys,0),MATCH("ExpsMaintSA|||",AsmpKeys,0))))))))),"NA")</f>
        <v/>
      </c>
      <c r="D28" s="12" t="inlineStr">
        <is>
          <t>asmp.ExpsMaintSA()</t>
        </is>
      </c>
    </row>
    <row r="29">
      <c r="B29" s="5" t="inlineStr">
        <is>
          <t>InflRate</t>
        </is>
      </c>
      <c r="C29" s="22">
        <f>IFERROR(INDEX(AsmpVals,MATCH("InflRate|||",AsmpKeys,0)),"NA")</f>
        <v/>
      </c>
      <c r="D29" s="12" t="inlineStr">
        <is>
          <t>asmp.InflRate() — direct global lookup in lifelib, no cascade</t>
        </is>
      </c>
    </row>
    <row r="30">
      <c r="B30" s="5" t="inlineStr">
        <is>
          <t>IntRatePrem</t>
        </is>
      </c>
      <c r="C30" s="22">
        <f>IFERROR(INDEX(SpecVals,IFERROR(MATCH("IntRatePrem|"&amp;Product&amp;"|"&amp;PolicyType&amp;"|"&amp;Gen,SpecKeys,0),IFERROR(MATCH("IntRatePrem|"&amp;Product&amp;"|"&amp;PolicyType&amp;"|",SpecKeys,0),IFERROR(MATCH("IntRatePrem|"&amp;Product&amp;"||"&amp;Gen,SpecKeys,0),IFERROR(MATCH("IntRatePrem||"&amp;PolicyType&amp;"|"&amp;Gen,SpecKeys,0),IFERROR(MATCH("IntRatePrem|"&amp;Product&amp;"||",SpecKeys,0),IFERROR(MATCH("IntRatePrem||"&amp;PolicyType&amp;"|",SpecKeys,0),IFERROR(MATCH("IntRatePrem|||"&amp;Gen,SpecKeys,0),MATCH("IntRatePrem|||",SpecKeys,0))))))))),"NA")</f>
        <v/>
      </c>
      <c r="D30" s="12" t="inlineStr">
        <is>
          <t>pol.IntRate('PREM')</t>
        </is>
      </c>
    </row>
    <row r="31">
      <c r="B31" s="5" t="inlineStr">
        <is>
          <t>TableIDPrem</t>
        </is>
      </c>
      <c r="C31" s="20">
        <f>IFERROR(INDEX(SpecVals,IFERROR(MATCH("MortTablePrem|"&amp;Product&amp;"|"&amp;PolicyType&amp;"|"&amp;Gen,SpecKeys,0),IFERROR(MATCH("MortTablePrem|"&amp;Product&amp;"|"&amp;PolicyType&amp;"|",SpecKeys,0),IFERROR(MATCH("MortTablePrem|"&amp;Product&amp;"||"&amp;Gen,SpecKeys,0),IFERROR(MATCH("MortTablePrem||"&amp;PolicyType&amp;"|"&amp;Gen,SpecKeys,0),IFERROR(MATCH("MortTablePrem|"&amp;Product&amp;"||",SpecKeys,0),IFERROR(MATCH("MortTablePrem||"&amp;PolicyType&amp;"|",SpecKeys,0),IFERROR(MATCH("MortTablePrem|||"&amp;Gen,SpecKeys,0),MATCH("MortTablePrem|||",SpecKeys,0))))))))),"NA")</f>
        <v/>
      </c>
      <c r="D31" s="12" t="inlineStr">
        <is>
          <t>pol.TableID('PREM')</t>
        </is>
      </c>
    </row>
    <row r="32">
      <c r="B32" s="5" t="inlineStr">
        <is>
          <t>LoadAcqP1</t>
        </is>
      </c>
      <c r="C32" s="24">
        <f>IFERROR(INDEX(SpecVals,MATCH("LoadAcqSAParam1|"&amp;Product&amp;"||",SpecKeys,0)),"NA")</f>
        <v/>
      </c>
      <c r="D32" s="12" t="inlineStr">
        <is>
          <t>pol.LoadAcqSA — param 1; direct (item, product) lookup in lifelib</t>
        </is>
      </c>
    </row>
    <row r="33">
      <c r="B33" s="5" t="inlineStr">
        <is>
          <t>LoadAcqP2</t>
        </is>
      </c>
      <c r="C33" s="24">
        <f>IFERROR(INDEX(SpecVals,MATCH("LoadAcqSAParam2|"&amp;Product&amp;"||",SpecKeys,0)),"NA")</f>
        <v/>
      </c>
      <c r="D33" s="12" t="inlineStr">
        <is>
          <t>pol.LoadAcqSA — param 2; direct (item, product) lookup</t>
        </is>
      </c>
    </row>
    <row r="34">
      <c r="B34" s="5" t="inlineStr">
        <is>
          <t>LoadMaintPremP1</t>
        </is>
      </c>
      <c r="C34" s="24">
        <f>IFERROR(INDEX(SpecVals,MATCH("LoadMaintPremParam1|"&amp;Product&amp;"||",SpecKeys,0)),"NA")</f>
        <v/>
      </c>
      <c r="D34" s="12" t="inlineStr">
        <is>
          <t>pol.LoadMaintPrem — param 1; direct (item, product) lookup</t>
        </is>
      </c>
    </row>
    <row r="35">
      <c r="B35" s="5" t="inlineStr">
        <is>
          <t>LoadMaintPremP2</t>
        </is>
      </c>
      <c r="C35" s="24">
        <f>IFERROR(INDEX(SpecVals,MATCH("LoadMaintPremParam2|"&amp;Product&amp;"||",SpecKeys,0)),"NA")</f>
        <v/>
      </c>
      <c r="D35" s="12" t="inlineStr">
        <is>
          <t>pol.LoadMaintPrem — param 2; direct lookup — NA when absent, as in lifelib</t>
        </is>
      </c>
    </row>
    <row r="36">
      <c r="B36" s="5" t="inlineStr">
        <is>
          <t>LoadMaintSA</t>
        </is>
      </c>
      <c r="C36" s="24">
        <f>IFERROR(INDEX(SpecVals,IFERROR(MATCH("LoadMaintSA|"&amp;Product&amp;"|"&amp;PolicyType&amp;"|"&amp;Gen,SpecKeys,0),IFERROR(MATCH("LoadMaintSA|"&amp;Product&amp;"|"&amp;PolicyType&amp;"|",SpecKeys,0),IFERROR(MATCH("LoadMaintSA|"&amp;Product&amp;"||"&amp;Gen,SpecKeys,0),IFERROR(MATCH("LoadMaintSA||"&amp;PolicyType&amp;"|"&amp;Gen,SpecKeys,0),IFERROR(MATCH("LoadMaintSA|"&amp;Product&amp;"||",SpecKeys,0),IFERROR(MATCH("LoadMaintSA||"&amp;PolicyType&amp;"|",SpecKeys,0),IFERROR(MATCH("LoadMaintSA|||"&amp;Gen,SpecKeys,0),MATCH("LoadMaintSA|||",SpecKeys,0))))))))),"NA")</f>
        <v/>
      </c>
      <c r="D36" s="12" t="inlineStr">
        <is>
          <t>pol.LoadMaintSA() — gamma</t>
        </is>
      </c>
    </row>
    <row r="37">
      <c r="B37" s="5" t="inlineStr">
        <is>
          <t>LoadMaintSA2</t>
        </is>
      </c>
      <c r="C37" s="24">
        <f>IFERROR(INDEX(SpecVals,IFERROR(MATCH("LoadMaintSA2|"&amp;Product&amp;"|"&amp;PolicyType&amp;"|"&amp;Gen,SpecKeys,0),IFERROR(MATCH("LoadMaintSA2|"&amp;Product&amp;"|"&amp;PolicyType&amp;"|",SpecKeys,0),IFERROR(MATCH("LoadMaintSA2|"&amp;Product&amp;"||"&amp;Gen,SpecKeys,0),IFERROR(MATCH("LoadMaintSA2||"&amp;PolicyType&amp;"|"&amp;Gen,SpecKeys,0),IFERROR(MATCH("LoadMaintSA2|"&amp;Product&amp;"||",SpecKeys,0),IFERROR(MATCH("LoadMaintSA2||"&amp;PolicyType&amp;"|",SpecKeys,0),IFERROR(MATCH("LoadMaintSA2|||"&amp;Gen,SpecKeys,0),MATCH("LoadMaintSA2|||",SpecKeys,0))))))))),"NA")</f>
        <v/>
      </c>
      <c r="D37" s="12" t="inlineStr">
        <is>
          <t>pol.LoadMaintSA2() — gamma2</t>
        </is>
      </c>
    </row>
    <row r="38">
      <c r="B38" s="5" t="inlineStr">
        <is>
          <t>SurrP1</t>
        </is>
      </c>
      <c r="C38" s="24">
        <f>IFERROR(INDEX(SpecVals,IFERROR(MATCH("SurrChargeParam1|"&amp;Product&amp;"|"&amp;PolicyType&amp;"|"&amp;Gen,SpecKeys,0),IFERROR(MATCH("SurrChargeParam1|"&amp;Product&amp;"|"&amp;PolicyType&amp;"|",SpecKeys,0),IFERROR(MATCH("SurrChargeParam1|"&amp;Product&amp;"||"&amp;Gen,SpecKeys,0),IFERROR(MATCH("SurrChargeParam1||"&amp;PolicyType&amp;"|"&amp;Gen,SpecKeys,0),IFERROR(MATCH("SurrChargeParam1|"&amp;Product&amp;"||",SpecKeys,0),IFERROR(MATCH("SurrChargeParam1||"&amp;PolicyType&amp;"|",SpecKeys,0),IFERROR(MATCH("SurrChargeParam1|||"&amp;Gen,SpecKeys,0),MATCH("SurrChargeParam1|||",SpecKeys,0))))))))),"NA")</f>
        <v/>
      </c>
      <c r="D38" s="12" t="inlineStr">
        <is>
          <t>pol.InitSurrCharge — param 1</t>
        </is>
      </c>
    </row>
    <row r="39">
      <c r="B39" s="5" t="inlineStr">
        <is>
          <t>SurrP2</t>
        </is>
      </c>
      <c r="C39" s="24">
        <f>IFERROR(INDEX(SpecVals,IFERROR(MATCH("SurrChargeParam2|"&amp;Product&amp;"|"&amp;PolicyType&amp;"|"&amp;Gen,SpecKeys,0),IFERROR(MATCH("SurrChargeParam2|"&amp;Product&amp;"|"&amp;PolicyType&amp;"|",SpecKeys,0),IFERROR(MATCH("SurrChargeParam2|"&amp;Product&amp;"||"&amp;Gen,SpecKeys,0),IFERROR(MATCH("SurrChargeParam2||"&amp;PolicyType&amp;"|"&amp;Gen,SpecKeys,0),IFERROR(MATCH("SurrChargeParam2|"&amp;Product&amp;"||",SpecKeys,0),IFERROR(MATCH("SurrChargeParam2||"&amp;PolicyType&amp;"|",SpecKeys,0),IFERROR(MATCH("SurrChargeParam2|||"&amp;Gen,SpecKeys,0),MATCH("SurrChargeParam2|||",SpecKeys,0))))))))),"NA")</f>
        <v/>
      </c>
      <c r="D39" s="12" t="inlineStr">
        <is>
          <t>pol.InitSurrCharge — param 2</t>
        </is>
      </c>
    </row>
    <row r="41">
      <c r="B41" s="3" t="inlineStr">
        <is>
          <t>Derived policy quantities</t>
        </is>
      </c>
    </row>
    <row r="42">
      <c r="B42" s="10" t="inlineStr">
        <is>
          <t>Item</t>
        </is>
      </c>
      <c r="C42" s="10" t="inlineStr">
        <is>
          <t>Value</t>
        </is>
      </c>
      <c r="D42" s="10" t="inlineStr">
        <is>
          <t>Notes / lifelib cell</t>
        </is>
      </c>
    </row>
    <row r="43">
      <c r="B43" s="5" t="inlineStr">
        <is>
          <t>BaseMortCol</t>
        </is>
      </c>
      <c r="C43" s="25">
        <f>(BaseMortTable-1)*2+IF(Sex="M",1,2)</f>
        <v/>
      </c>
      <c r="D43" s="12" t="inlineStr">
        <is>
          <t>column of the base mortality table in the Mortality grid</t>
        </is>
      </c>
    </row>
    <row r="44">
      <c r="B44" s="5" t="inlineStr">
        <is>
          <t>PremMortCol</t>
        </is>
      </c>
      <c r="C44" s="25">
        <f>(TableIDPrem-1)*2+IF(Sex="M",1,2)</f>
        <v/>
      </c>
      <c r="D44" s="12" t="inlineStr">
        <is>
          <t>column of the PREM-basis mortality table</t>
        </is>
      </c>
    </row>
    <row r="45">
      <c r="B45" s="5" t="inlineStr">
        <is>
          <t>MortFactorCol</t>
        </is>
      </c>
      <c r="C45" s="20">
        <f>MATCH(MortFactorTable,AsmpTblNames,0)</f>
        <v/>
      </c>
      <c r="D45" s="12" t="inlineStr"/>
    </row>
    <row r="46">
      <c r="B46" s="5" t="inlineStr">
        <is>
          <t>SurrCol</t>
        </is>
      </c>
      <c r="C46" s="20">
        <f>MATCH(SurrTable,AsmpTblNames,0)</f>
        <v/>
      </c>
      <c r="D46" s="12" t="inlineStr"/>
    </row>
    <row r="47">
      <c r="B47" s="5" t="inlineStr">
        <is>
          <t>LastAge</t>
        </is>
      </c>
      <c r="C47" s="20">
        <f>INDEX(MortAges,MATCH(1,INDEX(MortGrid,0,BaseMortCol),0))</f>
        <v/>
      </c>
      <c r="D47" s="12" t="inlineStr">
        <is>
          <t>asmp.LastAge() — first age with qx = 1 in the base table</t>
        </is>
      </c>
    </row>
    <row r="48">
      <c r="B48" s="5" t="inlineStr">
        <is>
          <t>LastT</t>
        </is>
      </c>
      <c r="C48" s="25">
        <f>MIN(LastAge-IssueAge,PolicyTerm)</f>
        <v/>
      </c>
      <c r="D48" s="12" t="inlineStr">
        <is>
          <t>last_t() = min(LastAge − IssueAge, PolicyTerm)</t>
        </is>
      </c>
    </row>
    <row r="49">
      <c r="B49" s="5" t="inlineStr">
        <is>
          <t>DxX</t>
        </is>
      </c>
      <c r="C49" s="26">
        <f>INDEX(Comm_Dx,IssueAge+1)</f>
        <v/>
      </c>
      <c r="D49" s="12" t="inlineStr">
        <is>
          <t>Dx(x)</t>
        </is>
      </c>
    </row>
    <row r="50">
      <c r="B50" s="5" t="inlineStr">
        <is>
          <t>MxX</t>
        </is>
      </c>
      <c r="C50" s="26">
        <f>INDEX(Comm_Mx,IssueAge+1)</f>
        <v/>
      </c>
      <c r="D50" s="12" t="inlineStr">
        <is>
          <t>Mx(x)</t>
        </is>
      </c>
    </row>
    <row r="51">
      <c r="B51" s="5" t="inlineStr">
        <is>
          <t>NxX</t>
        </is>
      </c>
      <c r="C51" s="26">
        <f>INDEX(Comm_Nx,IssueAge+1)</f>
        <v/>
      </c>
      <c r="D51" s="12" t="inlineStr">
        <is>
          <t>Nx(x)</t>
        </is>
      </c>
    </row>
    <row r="52">
      <c r="B52" s="5" t="inlineStr">
        <is>
          <t>Dx_xn</t>
        </is>
      </c>
      <c r="C52" s="26">
        <f>INDEX(Comm_Dx,IssueAge+PolicyTerm+1)</f>
        <v/>
      </c>
      <c r="D52" s="12" t="inlineStr">
        <is>
          <t>Dx(x+n)</t>
        </is>
      </c>
    </row>
    <row r="53">
      <c r="B53" s="5" t="inlineStr">
        <is>
          <t>Mx_xn</t>
        </is>
      </c>
      <c r="C53" s="26">
        <f>INDEX(Comm_Mx,IssueAge+PolicyTerm+1)</f>
        <v/>
      </c>
      <c r="D53" s="12" t="inlineStr">
        <is>
          <t>Mx(x+n)</t>
        </is>
      </c>
    </row>
    <row r="54">
      <c r="B54" s="5" t="inlineStr">
        <is>
          <t>Nx_xn</t>
        </is>
      </c>
      <c r="C54" s="26">
        <f>INDEX(Comm_Nx,IssueAge+PolicyTerm+1)</f>
        <v/>
      </c>
      <c r="D54" s="12" t="inlineStr">
        <is>
          <t>Nx(x+n) = Nx(x+m), premium term m = n</t>
        </is>
      </c>
    </row>
    <row r="55">
      <c r="B55" s="5" t="inlineStr">
        <is>
          <t>Axn</t>
        </is>
      </c>
      <c r="C55" s="27">
        <f>(MxX-Mx_xn)/DxX</f>
        <v/>
      </c>
      <c r="D55" s="12" t="inlineStr">
        <is>
          <t>lt.Axn(x, n)</t>
        </is>
      </c>
    </row>
    <row r="56">
      <c r="B56" s="5" t="inlineStr">
        <is>
          <t>Exn</t>
        </is>
      </c>
      <c r="C56" s="27">
        <f>Dx_xn/DxX</f>
        <v/>
      </c>
      <c r="D56" s="12" t="inlineStr">
        <is>
          <t>lt.Exn(x, n) — endowment pure survival factor</t>
        </is>
      </c>
    </row>
    <row r="57">
      <c r="B57" s="5" t="inlineStr">
        <is>
          <t>AnnDue_xm_k</t>
        </is>
      </c>
      <c r="C57" s="27">
        <f>(NxX-Nx_xn)/DxX-(PremFreq-1)/(2*PremFreq)*(1-Dx_xn/DxX)</f>
        <v/>
      </c>
      <c r="D57" s="12" t="inlineStr">
        <is>
          <t>lt.AnnDuenx(x, m, PremFreq) = AnnDuenx(x, n, PremFreq) since m = n</t>
        </is>
      </c>
    </row>
    <row r="58">
      <c r="B58" s="5" t="inlineStr">
        <is>
          <t>AnnDue_xn_1</t>
        </is>
      </c>
      <c r="C58" s="27">
        <f>(NxX-Nx_xn)/DxX</f>
        <v/>
      </c>
      <c r="D58" s="12" t="inlineStr">
        <is>
          <t>lt.AnnDuenx(x, n)</t>
        </is>
      </c>
    </row>
    <row r="59">
      <c r="B59" s="5" t="inlineStr">
        <is>
          <t>AnnDue_gamma2</t>
        </is>
      </c>
      <c r="C59" s="27">
        <f>(Nx_xn-Nx_xn)/DxX</f>
        <v/>
      </c>
      <c r="D59" s="12" t="inlineStr">
        <is>
          <t>lt.AnnDuenx(x, n−m, 1, m) — identically 0 while m = n</t>
        </is>
      </c>
    </row>
    <row r="60">
      <c r="B60" s="5" t="inlineStr">
        <is>
          <t>LoadAcqSA</t>
        </is>
      </c>
      <c r="C60" s="28">
        <f>LoadAcqP1+LoadAcqP2*MIN(PolicyTerm/10,1)</f>
        <v/>
      </c>
      <c r="D60" s="12" t="inlineStr">
        <is>
          <t>pol.LoadAcqSA() — alpha</t>
        </is>
      </c>
    </row>
    <row r="61">
      <c r="B61" s="5" t="inlineStr">
        <is>
          <t>LoadMaintPrem</t>
        </is>
      </c>
      <c r="C61" s="28">
        <f>IF(ISNUMBER(LoadMaintPremP1),LoadMaintPremP1,(LoadMaintPremP2+MIN(10,PolicyTerm))/100)</f>
        <v/>
      </c>
      <c r="D61" s="12" t="inlineStr">
        <is>
          <t>pol.LoadMaintPrem() — beta; param 1 takes priority, as in lifelib</t>
        </is>
      </c>
    </row>
    <row r="62">
      <c r="B62" s="5" t="inlineStr">
        <is>
          <t>LoadWaiver</t>
        </is>
      </c>
      <c r="C62" s="28">
        <f>IF(PolicyTerm&lt;5,0.0005,IF(PolicyTerm&lt;10,0.001,0.002))</f>
        <v/>
      </c>
      <c r="D62" s="12" t="inlineStr">
        <is>
          <t>pol.LoadMaintPremWaiverPrem() — delta</t>
        </is>
      </c>
    </row>
    <row r="63">
      <c r="B63" s="5" t="inlineStr">
        <is>
          <t>InitSurrCharge</t>
        </is>
      </c>
      <c r="C63" s="28">
        <f>SurrP1+SurrP2*MIN(PolicyTerm/10,1)</f>
        <v/>
      </c>
      <c r="D63" s="12" t="inlineStr">
        <is>
          <t>pol.InitSurrCharge()</t>
        </is>
      </c>
    </row>
    <row r="64">
      <c r="B64" s="5" t="inlineStr">
        <is>
          <t>GrossPremRate</t>
        </is>
      </c>
      <c r="C64" s="27">
        <f>(IF(Product="ENDW",Exn,0)+Axn+LoadAcqSA+LoadMaintSA*AnnDue_xm_k+LoadMaintSA2*AnnDue_gamma2)/(1-LoadMaintPrem-LoadWaiver)/PremFreq/AnnDue_xm_k</f>
        <v/>
      </c>
      <c r="D64" s="12" t="inlineStr">
        <is>
          <t>pol.GrossPremRate() — per sum assured per payment</t>
        </is>
      </c>
    </row>
    <row r="65">
      <c r="B65" s="5" t="inlineStr">
        <is>
          <t>NetPremRatePrem</t>
        </is>
      </c>
      <c r="C65" s="27">
        <f>(Axn+LoadMaintSA2*AnnDue_gamma2)/AnnDue_xn_1</f>
        <v/>
      </c>
      <c r="D65" s="12" t="inlineStr">
        <is>
          <t>pol.NetPremRate('PREM')</t>
        </is>
      </c>
    </row>
    <row r="66">
      <c r="B66" s="5" t="inlineStr">
        <is>
          <t>AnnPremRate</t>
        </is>
      </c>
      <c r="C66" s="27">
        <f>GrossPremRate*IF(PremFreq=0,0.1,PremFreq)</f>
        <v/>
      </c>
      <c r="D66" s="12" t="inlineStr">
        <is>
          <t>pol.AnnPremRate()</t>
        </is>
      </c>
    </row>
    <row r="67">
      <c r="B67" s="5" t="inlineStr">
        <is>
          <t>SizePremium</t>
        </is>
      </c>
      <c r="C67" s="29">
        <f>SumAssured*GrossPremRate*PremFreq</f>
        <v/>
      </c>
      <c r="D67" s="12" t="inlineStr">
        <is>
          <t>SizePremium(t) — constant over t</t>
        </is>
      </c>
    </row>
    <row r="68">
      <c r="B68" s="5" t="inlineStr">
        <is>
          <t>SizeAnnPrem</t>
        </is>
      </c>
      <c r="C68" s="29">
        <f>SumAssured*AnnPremRate</f>
        <v/>
      </c>
      <c r="D68" s="12" t="inlineStr">
        <is>
          <t>SizeAnnPrem(t)</t>
        </is>
      </c>
    </row>
    <row r="69">
      <c r="B69" s="5" t="inlineStr">
        <is>
          <t>SizeExpsAcq0</t>
        </is>
      </c>
      <c r="C69" s="29">
        <f>SizeAnnPrem*ExpsAcqAnnPrem+SumAssured*ExpsAcqSA+ExpsAcqPol</f>
        <v/>
      </c>
      <c r="D69" s="12" t="inlineStr">
        <is>
          <t>SizeExpsAcq(0) — InflFactor(0)/InflFactor(0) = 1</t>
        </is>
      </c>
    </row>
    <row r="70">
      <c r="B70" s="5" t="inlineStr">
        <is>
          <t>SizeExpsCommInit0</t>
        </is>
      </c>
      <c r="C70" s="29">
        <f>SizePremium*CommInitPrem*(1+CnsmpTax)</f>
        <v/>
      </c>
      <c r="D70" s="12" t="inlineStr">
        <is>
          <t>SizeExpsCommInit(0)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>
      <c r="A1" s="3" t="inlineStr">
        <is>
          <t>Commutation functions, PREM basis (the only basis in the SCR subgraph): qx from the PREM mortality table, i = IntRatePrem. Nx/Mx recursion floors at age 110, as in lifelib (LifeTable.Nx/Mx).</t>
        </is>
      </c>
    </row>
    <row r="2">
      <c r="A2" s="10" t="inlineStr">
        <is>
          <t>x</t>
        </is>
      </c>
      <c r="B2" s="10" t="inlineStr">
        <is>
          <t>qx</t>
        </is>
      </c>
      <c r="C2" s="10" t="inlineStr">
        <is>
          <t>lx</t>
        </is>
      </c>
      <c r="D2" s="10" t="inlineStr">
        <is>
          <t>dx</t>
        </is>
      </c>
      <c r="E2" s="10" t="inlineStr">
        <is>
          <t>Dx</t>
        </is>
      </c>
      <c r="F2" s="10" t="inlineStr">
        <is>
          <t>Cx</t>
        </is>
      </c>
      <c r="G2" s="10" t="inlineStr">
        <is>
          <t>Nx</t>
        </is>
      </c>
      <c r="H2" s="10" t="inlineStr">
        <is>
          <t>Mx</t>
        </is>
      </c>
    </row>
    <row r="3">
      <c r="A3" s="14" t="inlineStr">
        <is>
          <t>x</t>
        </is>
      </c>
      <c r="B3" s="14" t="inlineStr">
        <is>
          <t>qx</t>
        </is>
      </c>
      <c r="C3" s="14" t="inlineStr">
        <is>
          <t>lx</t>
        </is>
      </c>
      <c r="D3" s="14" t="inlineStr">
        <is>
          <t>dx</t>
        </is>
      </c>
      <c r="E3" s="14" t="inlineStr">
        <is>
          <t>Dx</t>
        </is>
      </c>
      <c r="F3" s="14" t="inlineStr">
        <is>
          <t>Cx</t>
        </is>
      </c>
      <c r="G3" s="14" t="inlineStr">
        <is>
          <t>Nx</t>
        </is>
      </c>
      <c r="H3" s="14" t="inlineStr">
        <is>
          <t>Mx</t>
        </is>
      </c>
    </row>
    <row r="4">
      <c r="A4" s="30" t="n">
        <v>0</v>
      </c>
      <c r="B4" s="31">
        <f>INDEX(MortGrid,A4+1,PremMortCol)</f>
        <v/>
      </c>
      <c r="C4" s="32" t="n">
        <v>100000</v>
      </c>
      <c r="D4" s="32">
        <f>C4*B4</f>
        <v/>
      </c>
      <c r="E4" s="33">
        <f>C4*(1/(1+IntRatePrem))^A4</f>
        <v/>
      </c>
      <c r="F4" s="34">
        <f>D4*(1/(1+IntRatePrem))^(A4+0.5)</f>
        <v/>
      </c>
      <c r="G4" s="32">
        <f>IF(A4&gt;=110,E4,G5+E4)</f>
        <v/>
      </c>
      <c r="H4" s="35">
        <f>IF(A4&gt;=110,E4,H5+F4)</f>
        <v/>
      </c>
    </row>
    <row r="5">
      <c r="A5" s="30">
        <f>A4+1</f>
        <v/>
      </c>
      <c r="B5" s="31">
        <f>INDEX(MortGrid,A5+1,PremMortCol)</f>
        <v/>
      </c>
      <c r="C5" s="32">
        <f>C4-D4</f>
        <v/>
      </c>
      <c r="D5" s="32">
        <f>C5*B5</f>
        <v/>
      </c>
      <c r="E5" s="33">
        <f>C5*(1/(1+IntRatePrem))^A5</f>
        <v/>
      </c>
      <c r="F5" s="34">
        <f>D5*(1/(1+IntRatePrem))^(A5+0.5)</f>
        <v/>
      </c>
      <c r="G5" s="32">
        <f>IF(A5&gt;=110,E5,G6+E5)</f>
        <v/>
      </c>
      <c r="H5" s="35">
        <f>IF(A5&gt;=110,E5,H6+F5)</f>
        <v/>
      </c>
    </row>
    <row r="6">
      <c r="A6" s="30">
        <f>A5+1</f>
        <v/>
      </c>
      <c r="B6" s="31">
        <f>INDEX(MortGrid,A6+1,PremMortCol)</f>
        <v/>
      </c>
      <c r="C6" s="32">
        <f>C5-D5</f>
        <v/>
      </c>
      <c r="D6" s="32">
        <f>C6*B6</f>
        <v/>
      </c>
      <c r="E6" s="33">
        <f>C6*(1/(1+IntRatePrem))^A6</f>
        <v/>
      </c>
      <c r="F6" s="34">
        <f>D6*(1/(1+IntRatePrem))^(A6+0.5)</f>
        <v/>
      </c>
      <c r="G6" s="32">
        <f>IF(A6&gt;=110,E6,G7+E6)</f>
        <v/>
      </c>
      <c r="H6" s="35">
        <f>IF(A6&gt;=110,E6,H7+F6)</f>
        <v/>
      </c>
    </row>
    <row r="7">
      <c r="A7" s="30">
        <f>A6+1</f>
        <v/>
      </c>
      <c r="B7" s="31">
        <f>INDEX(MortGrid,A7+1,PremMortCol)</f>
        <v/>
      </c>
      <c r="C7" s="32">
        <f>C6-D6</f>
        <v/>
      </c>
      <c r="D7" s="32">
        <f>C7*B7</f>
        <v/>
      </c>
      <c r="E7" s="33">
        <f>C7*(1/(1+IntRatePrem))^A7</f>
        <v/>
      </c>
      <c r="F7" s="34">
        <f>D7*(1/(1+IntRatePrem))^(A7+0.5)</f>
        <v/>
      </c>
      <c r="G7" s="32">
        <f>IF(A7&gt;=110,E7,G8+E7)</f>
        <v/>
      </c>
      <c r="H7" s="35">
        <f>IF(A7&gt;=110,E7,H8+F7)</f>
        <v/>
      </c>
    </row>
    <row r="8">
      <c r="A8" s="30">
        <f>A7+1</f>
        <v/>
      </c>
      <c r="B8" s="31">
        <f>INDEX(MortGrid,A8+1,PremMortCol)</f>
        <v/>
      </c>
      <c r="C8" s="32">
        <f>C7-D7</f>
        <v/>
      </c>
      <c r="D8" s="32">
        <f>C8*B8</f>
        <v/>
      </c>
      <c r="E8" s="33">
        <f>C8*(1/(1+IntRatePrem))^A8</f>
        <v/>
      </c>
      <c r="F8" s="34">
        <f>D8*(1/(1+IntRatePrem))^(A8+0.5)</f>
        <v/>
      </c>
      <c r="G8" s="32">
        <f>IF(A8&gt;=110,E8,G9+E8)</f>
        <v/>
      </c>
      <c r="H8" s="35">
        <f>IF(A8&gt;=110,E8,H9+F8)</f>
        <v/>
      </c>
    </row>
    <row r="9">
      <c r="A9" s="30">
        <f>A8+1</f>
        <v/>
      </c>
      <c r="B9" s="31">
        <f>INDEX(MortGrid,A9+1,PremMortCol)</f>
        <v/>
      </c>
      <c r="C9" s="32">
        <f>C8-D8</f>
        <v/>
      </c>
      <c r="D9" s="32">
        <f>C9*B9</f>
        <v/>
      </c>
      <c r="E9" s="33">
        <f>C9*(1/(1+IntRatePrem))^A9</f>
        <v/>
      </c>
      <c r="F9" s="34">
        <f>D9*(1/(1+IntRatePrem))^(A9+0.5)</f>
        <v/>
      </c>
      <c r="G9" s="32">
        <f>IF(A9&gt;=110,E9,G10+E9)</f>
        <v/>
      </c>
      <c r="H9" s="35">
        <f>IF(A9&gt;=110,E9,H10+F9)</f>
        <v/>
      </c>
    </row>
    <row r="10">
      <c r="A10" s="30">
        <f>A9+1</f>
        <v/>
      </c>
      <c r="B10" s="31">
        <f>INDEX(MortGrid,A10+1,PremMortCol)</f>
        <v/>
      </c>
      <c r="C10" s="32">
        <f>C9-D9</f>
        <v/>
      </c>
      <c r="D10" s="32">
        <f>C10*B10</f>
        <v/>
      </c>
      <c r="E10" s="33">
        <f>C10*(1/(1+IntRatePrem))^A10</f>
        <v/>
      </c>
      <c r="F10" s="34">
        <f>D10*(1/(1+IntRatePrem))^(A10+0.5)</f>
        <v/>
      </c>
      <c r="G10" s="32">
        <f>IF(A10&gt;=110,E10,G11+E10)</f>
        <v/>
      </c>
      <c r="H10" s="35">
        <f>IF(A10&gt;=110,E10,H11+F10)</f>
        <v/>
      </c>
    </row>
    <row r="11">
      <c r="A11" s="30">
        <f>A10+1</f>
        <v/>
      </c>
      <c r="B11" s="31">
        <f>INDEX(MortGrid,A11+1,PremMortCol)</f>
        <v/>
      </c>
      <c r="C11" s="32">
        <f>C10-D10</f>
        <v/>
      </c>
      <c r="D11" s="32">
        <f>C11*B11</f>
        <v/>
      </c>
      <c r="E11" s="33">
        <f>C11*(1/(1+IntRatePrem))^A11</f>
        <v/>
      </c>
      <c r="F11" s="34">
        <f>D11*(1/(1+IntRatePrem))^(A11+0.5)</f>
        <v/>
      </c>
      <c r="G11" s="32">
        <f>IF(A11&gt;=110,E11,G12+E11)</f>
        <v/>
      </c>
      <c r="H11" s="35">
        <f>IF(A11&gt;=110,E11,H12+F11)</f>
        <v/>
      </c>
    </row>
    <row r="12">
      <c r="A12" s="30">
        <f>A11+1</f>
        <v/>
      </c>
      <c r="B12" s="31">
        <f>INDEX(MortGrid,A12+1,PremMortCol)</f>
        <v/>
      </c>
      <c r="C12" s="32">
        <f>C11-D11</f>
        <v/>
      </c>
      <c r="D12" s="32">
        <f>C12*B12</f>
        <v/>
      </c>
      <c r="E12" s="33">
        <f>C12*(1/(1+IntRatePrem))^A12</f>
        <v/>
      </c>
      <c r="F12" s="34">
        <f>D12*(1/(1+IntRatePrem))^(A12+0.5)</f>
        <v/>
      </c>
      <c r="G12" s="32">
        <f>IF(A12&gt;=110,E12,G13+E12)</f>
        <v/>
      </c>
      <c r="H12" s="35">
        <f>IF(A12&gt;=110,E12,H13+F12)</f>
        <v/>
      </c>
    </row>
    <row r="13">
      <c r="A13" s="30">
        <f>A12+1</f>
        <v/>
      </c>
      <c r="B13" s="31">
        <f>INDEX(MortGrid,A13+1,PremMortCol)</f>
        <v/>
      </c>
      <c r="C13" s="32">
        <f>C12-D12</f>
        <v/>
      </c>
      <c r="D13" s="32">
        <f>C13*B13</f>
        <v/>
      </c>
      <c r="E13" s="33">
        <f>C13*(1/(1+IntRatePrem))^A13</f>
        <v/>
      </c>
      <c r="F13" s="34">
        <f>D13*(1/(1+IntRatePrem))^(A13+0.5)</f>
        <v/>
      </c>
      <c r="G13" s="32">
        <f>IF(A13&gt;=110,E13,G14+E13)</f>
        <v/>
      </c>
      <c r="H13" s="35">
        <f>IF(A13&gt;=110,E13,H14+F13)</f>
        <v/>
      </c>
    </row>
    <row r="14">
      <c r="A14" s="30">
        <f>A13+1</f>
        <v/>
      </c>
      <c r="B14" s="31">
        <f>INDEX(MortGrid,A14+1,PremMortCol)</f>
        <v/>
      </c>
      <c r="C14" s="32">
        <f>C13-D13</f>
        <v/>
      </c>
      <c r="D14" s="32">
        <f>C14*B14</f>
        <v/>
      </c>
      <c r="E14" s="33">
        <f>C14*(1/(1+IntRatePrem))^A14</f>
        <v/>
      </c>
      <c r="F14" s="34">
        <f>D14*(1/(1+IntRatePrem))^(A14+0.5)</f>
        <v/>
      </c>
      <c r="G14" s="32">
        <f>IF(A14&gt;=110,E14,G15+E14)</f>
        <v/>
      </c>
      <c r="H14" s="35">
        <f>IF(A14&gt;=110,E14,H15+F14)</f>
        <v/>
      </c>
    </row>
    <row r="15">
      <c r="A15" s="30">
        <f>A14+1</f>
        <v/>
      </c>
      <c r="B15" s="31">
        <f>INDEX(MortGrid,A15+1,PremMortCol)</f>
        <v/>
      </c>
      <c r="C15" s="32">
        <f>C14-D14</f>
        <v/>
      </c>
      <c r="D15" s="32">
        <f>C15*B15</f>
        <v/>
      </c>
      <c r="E15" s="33">
        <f>C15*(1/(1+IntRatePrem))^A15</f>
        <v/>
      </c>
      <c r="F15" s="34">
        <f>D15*(1/(1+IntRatePrem))^(A15+0.5)</f>
        <v/>
      </c>
      <c r="G15" s="32">
        <f>IF(A15&gt;=110,E15,G16+E15)</f>
        <v/>
      </c>
      <c r="H15" s="35">
        <f>IF(A15&gt;=110,E15,H16+F15)</f>
        <v/>
      </c>
    </row>
    <row r="16">
      <c r="A16" s="30">
        <f>A15+1</f>
        <v/>
      </c>
      <c r="B16" s="31">
        <f>INDEX(MortGrid,A16+1,PremMortCol)</f>
        <v/>
      </c>
      <c r="C16" s="32">
        <f>C15-D15</f>
        <v/>
      </c>
      <c r="D16" s="32">
        <f>C16*B16</f>
        <v/>
      </c>
      <c r="E16" s="33">
        <f>C16*(1/(1+IntRatePrem))^A16</f>
        <v/>
      </c>
      <c r="F16" s="34">
        <f>D16*(1/(1+IntRatePrem))^(A16+0.5)</f>
        <v/>
      </c>
      <c r="G16" s="32">
        <f>IF(A16&gt;=110,E16,G17+E16)</f>
        <v/>
      </c>
      <c r="H16" s="35">
        <f>IF(A16&gt;=110,E16,H17+F16)</f>
        <v/>
      </c>
    </row>
    <row r="17">
      <c r="A17" s="30">
        <f>A16+1</f>
        <v/>
      </c>
      <c r="B17" s="31">
        <f>INDEX(MortGrid,A17+1,PremMortCol)</f>
        <v/>
      </c>
      <c r="C17" s="32">
        <f>C16-D16</f>
        <v/>
      </c>
      <c r="D17" s="32">
        <f>C17*B17</f>
        <v/>
      </c>
      <c r="E17" s="33">
        <f>C17*(1/(1+IntRatePrem))^A17</f>
        <v/>
      </c>
      <c r="F17" s="34">
        <f>D17*(1/(1+IntRatePrem))^(A17+0.5)</f>
        <v/>
      </c>
      <c r="G17" s="32">
        <f>IF(A17&gt;=110,E17,G18+E17)</f>
        <v/>
      </c>
      <c r="H17" s="35">
        <f>IF(A17&gt;=110,E17,H18+F17)</f>
        <v/>
      </c>
    </row>
    <row r="18">
      <c r="A18" s="30">
        <f>A17+1</f>
        <v/>
      </c>
      <c r="B18" s="31">
        <f>INDEX(MortGrid,A18+1,PremMortCol)</f>
        <v/>
      </c>
      <c r="C18" s="32">
        <f>C17-D17</f>
        <v/>
      </c>
      <c r="D18" s="32">
        <f>C18*B18</f>
        <v/>
      </c>
      <c r="E18" s="33">
        <f>C18*(1/(1+IntRatePrem))^A18</f>
        <v/>
      </c>
      <c r="F18" s="34">
        <f>D18*(1/(1+IntRatePrem))^(A18+0.5)</f>
        <v/>
      </c>
      <c r="G18" s="32">
        <f>IF(A18&gt;=110,E18,G19+E18)</f>
        <v/>
      </c>
      <c r="H18" s="35">
        <f>IF(A18&gt;=110,E18,H19+F18)</f>
        <v/>
      </c>
    </row>
    <row r="19">
      <c r="A19" s="30">
        <f>A18+1</f>
        <v/>
      </c>
      <c r="B19" s="31">
        <f>INDEX(MortGrid,A19+1,PremMortCol)</f>
        <v/>
      </c>
      <c r="C19" s="32">
        <f>C18-D18</f>
        <v/>
      </c>
      <c r="D19" s="32">
        <f>C19*B19</f>
        <v/>
      </c>
      <c r="E19" s="33">
        <f>C19*(1/(1+IntRatePrem))^A19</f>
        <v/>
      </c>
      <c r="F19" s="34">
        <f>D19*(1/(1+IntRatePrem))^(A19+0.5)</f>
        <v/>
      </c>
      <c r="G19" s="32">
        <f>IF(A19&gt;=110,E19,G20+E19)</f>
        <v/>
      </c>
      <c r="H19" s="35">
        <f>IF(A19&gt;=110,E19,H20+F19)</f>
        <v/>
      </c>
    </row>
    <row r="20">
      <c r="A20" s="30">
        <f>A19+1</f>
        <v/>
      </c>
      <c r="B20" s="31">
        <f>INDEX(MortGrid,A20+1,PremMortCol)</f>
        <v/>
      </c>
      <c r="C20" s="32">
        <f>C19-D19</f>
        <v/>
      </c>
      <c r="D20" s="32">
        <f>C20*B20</f>
        <v/>
      </c>
      <c r="E20" s="33">
        <f>C20*(1/(1+IntRatePrem))^A20</f>
        <v/>
      </c>
      <c r="F20" s="34">
        <f>D20*(1/(1+IntRatePrem))^(A20+0.5)</f>
        <v/>
      </c>
      <c r="G20" s="32">
        <f>IF(A20&gt;=110,E20,G21+E20)</f>
        <v/>
      </c>
      <c r="H20" s="35">
        <f>IF(A20&gt;=110,E20,H21+F20)</f>
        <v/>
      </c>
    </row>
    <row r="21">
      <c r="A21" s="30">
        <f>A20+1</f>
        <v/>
      </c>
      <c r="B21" s="31">
        <f>INDEX(MortGrid,A21+1,PremMortCol)</f>
        <v/>
      </c>
      <c r="C21" s="32">
        <f>C20-D20</f>
        <v/>
      </c>
      <c r="D21" s="32">
        <f>C21*B21</f>
        <v/>
      </c>
      <c r="E21" s="33">
        <f>C21*(1/(1+IntRatePrem))^A21</f>
        <v/>
      </c>
      <c r="F21" s="34">
        <f>D21*(1/(1+IntRatePrem))^(A21+0.5)</f>
        <v/>
      </c>
      <c r="G21" s="32">
        <f>IF(A21&gt;=110,E21,G22+E21)</f>
        <v/>
      </c>
      <c r="H21" s="35">
        <f>IF(A21&gt;=110,E21,H22+F21)</f>
        <v/>
      </c>
    </row>
    <row r="22">
      <c r="A22" s="30">
        <f>A21+1</f>
        <v/>
      </c>
      <c r="B22" s="31">
        <f>INDEX(MortGrid,A22+1,PremMortCol)</f>
        <v/>
      </c>
      <c r="C22" s="32">
        <f>C21-D21</f>
        <v/>
      </c>
      <c r="D22" s="32">
        <f>C22*B22</f>
        <v/>
      </c>
      <c r="E22" s="33">
        <f>C22*(1/(1+IntRatePrem))^A22</f>
        <v/>
      </c>
      <c r="F22" s="34">
        <f>D22*(1/(1+IntRatePrem))^(A22+0.5)</f>
        <v/>
      </c>
      <c r="G22" s="32">
        <f>IF(A22&gt;=110,E22,G23+E22)</f>
        <v/>
      </c>
      <c r="H22" s="35">
        <f>IF(A22&gt;=110,E22,H23+F22)</f>
        <v/>
      </c>
    </row>
    <row r="23">
      <c r="A23" s="30">
        <f>A22+1</f>
        <v/>
      </c>
      <c r="B23" s="31">
        <f>INDEX(MortGrid,A23+1,PremMortCol)</f>
        <v/>
      </c>
      <c r="C23" s="32">
        <f>C22-D22</f>
        <v/>
      </c>
      <c r="D23" s="32">
        <f>C23*B23</f>
        <v/>
      </c>
      <c r="E23" s="33">
        <f>C23*(1/(1+IntRatePrem))^A23</f>
        <v/>
      </c>
      <c r="F23" s="34">
        <f>D23*(1/(1+IntRatePrem))^(A23+0.5)</f>
        <v/>
      </c>
      <c r="G23" s="32">
        <f>IF(A23&gt;=110,E23,G24+E23)</f>
        <v/>
      </c>
      <c r="H23" s="35">
        <f>IF(A23&gt;=110,E23,H24+F23)</f>
        <v/>
      </c>
    </row>
    <row r="24">
      <c r="A24" s="30">
        <f>A23+1</f>
        <v/>
      </c>
      <c r="B24" s="31">
        <f>INDEX(MortGrid,A24+1,PremMortCol)</f>
        <v/>
      </c>
      <c r="C24" s="32">
        <f>C23-D23</f>
        <v/>
      </c>
      <c r="D24" s="32">
        <f>C24*B24</f>
        <v/>
      </c>
      <c r="E24" s="33">
        <f>C24*(1/(1+IntRatePrem))^A24</f>
        <v/>
      </c>
      <c r="F24" s="34">
        <f>D24*(1/(1+IntRatePrem))^(A24+0.5)</f>
        <v/>
      </c>
      <c r="G24" s="32">
        <f>IF(A24&gt;=110,E24,G25+E24)</f>
        <v/>
      </c>
      <c r="H24" s="35">
        <f>IF(A24&gt;=110,E24,H25+F24)</f>
        <v/>
      </c>
    </row>
    <row r="25">
      <c r="A25" s="30">
        <f>A24+1</f>
        <v/>
      </c>
      <c r="B25" s="31">
        <f>INDEX(MortGrid,A25+1,PremMortCol)</f>
        <v/>
      </c>
      <c r="C25" s="32">
        <f>C24-D24</f>
        <v/>
      </c>
      <c r="D25" s="32">
        <f>C25*B25</f>
        <v/>
      </c>
      <c r="E25" s="33">
        <f>C25*(1/(1+IntRatePrem))^A25</f>
        <v/>
      </c>
      <c r="F25" s="34">
        <f>D25*(1/(1+IntRatePrem))^(A25+0.5)</f>
        <v/>
      </c>
      <c r="G25" s="32">
        <f>IF(A25&gt;=110,E25,G26+E25)</f>
        <v/>
      </c>
      <c r="H25" s="35">
        <f>IF(A25&gt;=110,E25,H26+F25)</f>
        <v/>
      </c>
    </row>
    <row r="26">
      <c r="A26" s="30">
        <f>A25+1</f>
        <v/>
      </c>
      <c r="B26" s="31">
        <f>INDEX(MortGrid,A26+1,PremMortCol)</f>
        <v/>
      </c>
      <c r="C26" s="32">
        <f>C25-D25</f>
        <v/>
      </c>
      <c r="D26" s="32">
        <f>C26*B26</f>
        <v/>
      </c>
      <c r="E26" s="33">
        <f>C26*(1/(1+IntRatePrem))^A26</f>
        <v/>
      </c>
      <c r="F26" s="34">
        <f>D26*(1/(1+IntRatePrem))^(A26+0.5)</f>
        <v/>
      </c>
      <c r="G26" s="32">
        <f>IF(A26&gt;=110,E26,G27+E26)</f>
        <v/>
      </c>
      <c r="H26" s="35">
        <f>IF(A26&gt;=110,E26,H27+F26)</f>
        <v/>
      </c>
    </row>
    <row r="27">
      <c r="A27" s="30">
        <f>A26+1</f>
        <v/>
      </c>
      <c r="B27" s="31">
        <f>INDEX(MortGrid,A27+1,PremMortCol)</f>
        <v/>
      </c>
      <c r="C27" s="32">
        <f>C26-D26</f>
        <v/>
      </c>
      <c r="D27" s="32">
        <f>C27*B27</f>
        <v/>
      </c>
      <c r="E27" s="33">
        <f>C27*(1/(1+IntRatePrem))^A27</f>
        <v/>
      </c>
      <c r="F27" s="34">
        <f>D27*(1/(1+IntRatePrem))^(A27+0.5)</f>
        <v/>
      </c>
      <c r="G27" s="32">
        <f>IF(A27&gt;=110,E27,G28+E27)</f>
        <v/>
      </c>
      <c r="H27" s="35">
        <f>IF(A27&gt;=110,E27,H28+F27)</f>
        <v/>
      </c>
    </row>
    <row r="28">
      <c r="A28" s="30">
        <f>A27+1</f>
        <v/>
      </c>
      <c r="B28" s="31">
        <f>INDEX(MortGrid,A28+1,PremMortCol)</f>
        <v/>
      </c>
      <c r="C28" s="32">
        <f>C27-D27</f>
        <v/>
      </c>
      <c r="D28" s="32">
        <f>C28*B28</f>
        <v/>
      </c>
      <c r="E28" s="33">
        <f>C28*(1/(1+IntRatePrem))^A28</f>
        <v/>
      </c>
      <c r="F28" s="34">
        <f>D28*(1/(1+IntRatePrem))^(A28+0.5)</f>
        <v/>
      </c>
      <c r="G28" s="32">
        <f>IF(A28&gt;=110,E28,G29+E28)</f>
        <v/>
      </c>
      <c r="H28" s="35">
        <f>IF(A28&gt;=110,E28,H29+F28)</f>
        <v/>
      </c>
    </row>
    <row r="29">
      <c r="A29" s="30">
        <f>A28+1</f>
        <v/>
      </c>
      <c r="B29" s="31">
        <f>INDEX(MortGrid,A29+1,PremMortCol)</f>
        <v/>
      </c>
      <c r="C29" s="32">
        <f>C28-D28</f>
        <v/>
      </c>
      <c r="D29" s="32">
        <f>C29*B29</f>
        <v/>
      </c>
      <c r="E29" s="33">
        <f>C29*(1/(1+IntRatePrem))^A29</f>
        <v/>
      </c>
      <c r="F29" s="34">
        <f>D29*(1/(1+IntRatePrem))^(A29+0.5)</f>
        <v/>
      </c>
      <c r="G29" s="32">
        <f>IF(A29&gt;=110,E29,G30+E29)</f>
        <v/>
      </c>
      <c r="H29" s="35">
        <f>IF(A29&gt;=110,E29,H30+F29)</f>
        <v/>
      </c>
    </row>
    <row r="30">
      <c r="A30" s="30">
        <f>A29+1</f>
        <v/>
      </c>
      <c r="B30" s="31">
        <f>INDEX(MortGrid,A30+1,PremMortCol)</f>
        <v/>
      </c>
      <c r="C30" s="32">
        <f>C29-D29</f>
        <v/>
      </c>
      <c r="D30" s="32">
        <f>C30*B30</f>
        <v/>
      </c>
      <c r="E30" s="33">
        <f>C30*(1/(1+IntRatePrem))^A30</f>
        <v/>
      </c>
      <c r="F30" s="34">
        <f>D30*(1/(1+IntRatePrem))^(A30+0.5)</f>
        <v/>
      </c>
      <c r="G30" s="32">
        <f>IF(A30&gt;=110,E30,G31+E30)</f>
        <v/>
      </c>
      <c r="H30" s="35">
        <f>IF(A30&gt;=110,E30,H31+F30)</f>
        <v/>
      </c>
    </row>
    <row r="31">
      <c r="A31" s="30">
        <f>A30+1</f>
        <v/>
      </c>
      <c r="B31" s="31">
        <f>INDEX(MortGrid,A31+1,PremMortCol)</f>
        <v/>
      </c>
      <c r="C31" s="32">
        <f>C30-D30</f>
        <v/>
      </c>
      <c r="D31" s="32">
        <f>C31*B31</f>
        <v/>
      </c>
      <c r="E31" s="33">
        <f>C31*(1/(1+IntRatePrem))^A31</f>
        <v/>
      </c>
      <c r="F31" s="34">
        <f>D31*(1/(1+IntRatePrem))^(A31+0.5)</f>
        <v/>
      </c>
      <c r="G31" s="32">
        <f>IF(A31&gt;=110,E31,G32+E31)</f>
        <v/>
      </c>
      <c r="H31" s="35">
        <f>IF(A31&gt;=110,E31,H32+F31)</f>
        <v/>
      </c>
    </row>
    <row r="32">
      <c r="A32" s="30">
        <f>A31+1</f>
        <v/>
      </c>
      <c r="B32" s="31">
        <f>INDEX(MortGrid,A32+1,PremMortCol)</f>
        <v/>
      </c>
      <c r="C32" s="32">
        <f>C31-D31</f>
        <v/>
      </c>
      <c r="D32" s="32">
        <f>C32*B32</f>
        <v/>
      </c>
      <c r="E32" s="33">
        <f>C32*(1/(1+IntRatePrem))^A32</f>
        <v/>
      </c>
      <c r="F32" s="34">
        <f>D32*(1/(1+IntRatePrem))^(A32+0.5)</f>
        <v/>
      </c>
      <c r="G32" s="32">
        <f>IF(A32&gt;=110,E32,G33+E32)</f>
        <v/>
      </c>
      <c r="H32" s="35">
        <f>IF(A32&gt;=110,E32,H33+F32)</f>
        <v/>
      </c>
    </row>
    <row r="33">
      <c r="A33" s="30">
        <f>A32+1</f>
        <v/>
      </c>
      <c r="B33" s="31">
        <f>INDEX(MortGrid,A33+1,PremMortCol)</f>
        <v/>
      </c>
      <c r="C33" s="32">
        <f>C32-D32</f>
        <v/>
      </c>
      <c r="D33" s="32">
        <f>C33*B33</f>
        <v/>
      </c>
      <c r="E33" s="33">
        <f>C33*(1/(1+IntRatePrem))^A33</f>
        <v/>
      </c>
      <c r="F33" s="34">
        <f>D33*(1/(1+IntRatePrem))^(A33+0.5)</f>
        <v/>
      </c>
      <c r="G33" s="32">
        <f>IF(A33&gt;=110,E33,G34+E33)</f>
        <v/>
      </c>
      <c r="H33" s="35">
        <f>IF(A33&gt;=110,E33,H34+F33)</f>
        <v/>
      </c>
    </row>
    <row r="34">
      <c r="A34" s="30">
        <f>A33+1</f>
        <v/>
      </c>
      <c r="B34" s="31">
        <f>INDEX(MortGrid,A34+1,PremMortCol)</f>
        <v/>
      </c>
      <c r="C34" s="32">
        <f>C33-D33</f>
        <v/>
      </c>
      <c r="D34" s="32">
        <f>C34*B34</f>
        <v/>
      </c>
      <c r="E34" s="33">
        <f>C34*(1/(1+IntRatePrem))^A34</f>
        <v/>
      </c>
      <c r="F34" s="34">
        <f>D34*(1/(1+IntRatePrem))^(A34+0.5)</f>
        <v/>
      </c>
      <c r="G34" s="32">
        <f>IF(A34&gt;=110,E34,G35+E34)</f>
        <v/>
      </c>
      <c r="H34" s="35">
        <f>IF(A34&gt;=110,E34,H35+F34)</f>
        <v/>
      </c>
    </row>
    <row r="35">
      <c r="A35" s="30">
        <f>A34+1</f>
        <v/>
      </c>
      <c r="B35" s="31">
        <f>INDEX(MortGrid,A35+1,PremMortCol)</f>
        <v/>
      </c>
      <c r="C35" s="32">
        <f>C34-D34</f>
        <v/>
      </c>
      <c r="D35" s="32">
        <f>C35*B35</f>
        <v/>
      </c>
      <c r="E35" s="33">
        <f>C35*(1/(1+IntRatePrem))^A35</f>
        <v/>
      </c>
      <c r="F35" s="34">
        <f>D35*(1/(1+IntRatePrem))^(A35+0.5)</f>
        <v/>
      </c>
      <c r="G35" s="32">
        <f>IF(A35&gt;=110,E35,G36+E35)</f>
        <v/>
      </c>
      <c r="H35" s="35">
        <f>IF(A35&gt;=110,E35,H36+F35)</f>
        <v/>
      </c>
    </row>
    <row r="36">
      <c r="A36" s="30">
        <f>A35+1</f>
        <v/>
      </c>
      <c r="B36" s="31">
        <f>INDEX(MortGrid,A36+1,PremMortCol)</f>
        <v/>
      </c>
      <c r="C36" s="32">
        <f>C35-D35</f>
        <v/>
      </c>
      <c r="D36" s="32">
        <f>C36*B36</f>
        <v/>
      </c>
      <c r="E36" s="33">
        <f>C36*(1/(1+IntRatePrem))^A36</f>
        <v/>
      </c>
      <c r="F36" s="34">
        <f>D36*(1/(1+IntRatePrem))^(A36+0.5)</f>
        <v/>
      </c>
      <c r="G36" s="32">
        <f>IF(A36&gt;=110,E36,G37+E36)</f>
        <v/>
      </c>
      <c r="H36" s="35">
        <f>IF(A36&gt;=110,E36,H37+F36)</f>
        <v/>
      </c>
    </row>
    <row r="37">
      <c r="A37" s="30">
        <f>A36+1</f>
        <v/>
      </c>
      <c r="B37" s="31">
        <f>INDEX(MortGrid,A37+1,PremMortCol)</f>
        <v/>
      </c>
      <c r="C37" s="32">
        <f>C36-D36</f>
        <v/>
      </c>
      <c r="D37" s="32">
        <f>C37*B37</f>
        <v/>
      </c>
      <c r="E37" s="33">
        <f>C37*(1/(1+IntRatePrem))^A37</f>
        <v/>
      </c>
      <c r="F37" s="34">
        <f>D37*(1/(1+IntRatePrem))^(A37+0.5)</f>
        <v/>
      </c>
      <c r="G37" s="32">
        <f>IF(A37&gt;=110,E37,G38+E37)</f>
        <v/>
      </c>
      <c r="H37" s="35">
        <f>IF(A37&gt;=110,E37,H38+F37)</f>
        <v/>
      </c>
    </row>
    <row r="38">
      <c r="A38" s="30">
        <f>A37+1</f>
        <v/>
      </c>
      <c r="B38" s="31">
        <f>INDEX(MortGrid,A38+1,PremMortCol)</f>
        <v/>
      </c>
      <c r="C38" s="32">
        <f>C37-D37</f>
        <v/>
      </c>
      <c r="D38" s="32">
        <f>C38*B38</f>
        <v/>
      </c>
      <c r="E38" s="33">
        <f>C38*(1/(1+IntRatePrem))^A38</f>
        <v/>
      </c>
      <c r="F38" s="34">
        <f>D38*(1/(1+IntRatePrem))^(A38+0.5)</f>
        <v/>
      </c>
      <c r="G38" s="32">
        <f>IF(A38&gt;=110,E38,G39+E38)</f>
        <v/>
      </c>
      <c r="H38" s="35">
        <f>IF(A38&gt;=110,E38,H39+F38)</f>
        <v/>
      </c>
    </row>
    <row r="39">
      <c r="A39" s="30">
        <f>A38+1</f>
        <v/>
      </c>
      <c r="B39" s="31">
        <f>INDEX(MortGrid,A39+1,PremMortCol)</f>
        <v/>
      </c>
      <c r="C39" s="32">
        <f>C38-D38</f>
        <v/>
      </c>
      <c r="D39" s="32">
        <f>C39*B39</f>
        <v/>
      </c>
      <c r="E39" s="33">
        <f>C39*(1/(1+IntRatePrem))^A39</f>
        <v/>
      </c>
      <c r="F39" s="34">
        <f>D39*(1/(1+IntRatePrem))^(A39+0.5)</f>
        <v/>
      </c>
      <c r="G39" s="32">
        <f>IF(A39&gt;=110,E39,G40+E39)</f>
        <v/>
      </c>
      <c r="H39" s="35">
        <f>IF(A39&gt;=110,E39,H40+F39)</f>
        <v/>
      </c>
    </row>
    <row r="40">
      <c r="A40" s="30">
        <f>A39+1</f>
        <v/>
      </c>
      <c r="B40" s="31">
        <f>INDEX(MortGrid,A40+1,PremMortCol)</f>
        <v/>
      </c>
      <c r="C40" s="32">
        <f>C39-D39</f>
        <v/>
      </c>
      <c r="D40" s="32">
        <f>C40*B40</f>
        <v/>
      </c>
      <c r="E40" s="33">
        <f>C40*(1/(1+IntRatePrem))^A40</f>
        <v/>
      </c>
      <c r="F40" s="34">
        <f>D40*(1/(1+IntRatePrem))^(A40+0.5)</f>
        <v/>
      </c>
      <c r="G40" s="32">
        <f>IF(A40&gt;=110,E40,G41+E40)</f>
        <v/>
      </c>
      <c r="H40" s="35">
        <f>IF(A40&gt;=110,E40,H41+F40)</f>
        <v/>
      </c>
    </row>
    <row r="41">
      <c r="A41" s="30">
        <f>A40+1</f>
        <v/>
      </c>
      <c r="B41" s="31">
        <f>INDEX(MortGrid,A41+1,PremMortCol)</f>
        <v/>
      </c>
      <c r="C41" s="32">
        <f>C40-D40</f>
        <v/>
      </c>
      <c r="D41" s="32">
        <f>C41*B41</f>
        <v/>
      </c>
      <c r="E41" s="33">
        <f>C41*(1/(1+IntRatePrem))^A41</f>
        <v/>
      </c>
      <c r="F41" s="34">
        <f>D41*(1/(1+IntRatePrem))^(A41+0.5)</f>
        <v/>
      </c>
      <c r="G41" s="32">
        <f>IF(A41&gt;=110,E41,G42+E41)</f>
        <v/>
      </c>
      <c r="H41" s="35">
        <f>IF(A41&gt;=110,E41,H42+F41)</f>
        <v/>
      </c>
    </row>
    <row r="42">
      <c r="A42" s="30">
        <f>A41+1</f>
        <v/>
      </c>
      <c r="B42" s="31">
        <f>INDEX(MortGrid,A42+1,PremMortCol)</f>
        <v/>
      </c>
      <c r="C42" s="32">
        <f>C41-D41</f>
        <v/>
      </c>
      <c r="D42" s="32">
        <f>C42*B42</f>
        <v/>
      </c>
      <c r="E42" s="33">
        <f>C42*(1/(1+IntRatePrem))^A42</f>
        <v/>
      </c>
      <c r="F42" s="34">
        <f>D42*(1/(1+IntRatePrem))^(A42+0.5)</f>
        <v/>
      </c>
      <c r="G42" s="32">
        <f>IF(A42&gt;=110,E42,G43+E42)</f>
        <v/>
      </c>
      <c r="H42" s="35">
        <f>IF(A42&gt;=110,E42,H43+F42)</f>
        <v/>
      </c>
    </row>
    <row r="43">
      <c r="A43" s="30">
        <f>A42+1</f>
        <v/>
      </c>
      <c r="B43" s="31">
        <f>INDEX(MortGrid,A43+1,PremMortCol)</f>
        <v/>
      </c>
      <c r="C43" s="32">
        <f>C42-D42</f>
        <v/>
      </c>
      <c r="D43" s="32">
        <f>C43*B43</f>
        <v/>
      </c>
      <c r="E43" s="33">
        <f>C43*(1/(1+IntRatePrem))^A43</f>
        <v/>
      </c>
      <c r="F43" s="34">
        <f>D43*(1/(1+IntRatePrem))^(A43+0.5)</f>
        <v/>
      </c>
      <c r="G43" s="32">
        <f>IF(A43&gt;=110,E43,G44+E43)</f>
        <v/>
      </c>
      <c r="H43" s="35">
        <f>IF(A43&gt;=110,E43,H44+F43)</f>
        <v/>
      </c>
    </row>
    <row r="44">
      <c r="A44" s="30">
        <f>A43+1</f>
        <v/>
      </c>
      <c r="B44" s="31">
        <f>INDEX(MortGrid,A44+1,PremMortCol)</f>
        <v/>
      </c>
      <c r="C44" s="32">
        <f>C43-D43</f>
        <v/>
      </c>
      <c r="D44" s="32">
        <f>C44*B44</f>
        <v/>
      </c>
      <c r="E44" s="33">
        <f>C44*(1/(1+IntRatePrem))^A44</f>
        <v/>
      </c>
      <c r="F44" s="34">
        <f>D44*(1/(1+IntRatePrem))^(A44+0.5)</f>
        <v/>
      </c>
      <c r="G44" s="32">
        <f>IF(A44&gt;=110,E44,G45+E44)</f>
        <v/>
      </c>
      <c r="H44" s="35">
        <f>IF(A44&gt;=110,E44,H45+F44)</f>
        <v/>
      </c>
    </row>
    <row r="45">
      <c r="A45" s="30">
        <f>A44+1</f>
        <v/>
      </c>
      <c r="B45" s="31">
        <f>INDEX(MortGrid,A45+1,PremMortCol)</f>
        <v/>
      </c>
      <c r="C45" s="32">
        <f>C44-D44</f>
        <v/>
      </c>
      <c r="D45" s="32">
        <f>C45*B45</f>
        <v/>
      </c>
      <c r="E45" s="33">
        <f>C45*(1/(1+IntRatePrem))^A45</f>
        <v/>
      </c>
      <c r="F45" s="34">
        <f>D45*(1/(1+IntRatePrem))^(A45+0.5)</f>
        <v/>
      </c>
      <c r="G45" s="32">
        <f>IF(A45&gt;=110,E45,G46+E45)</f>
        <v/>
      </c>
      <c r="H45" s="35">
        <f>IF(A45&gt;=110,E45,H46+F45)</f>
        <v/>
      </c>
    </row>
    <row r="46">
      <c r="A46" s="30">
        <f>A45+1</f>
        <v/>
      </c>
      <c r="B46" s="31">
        <f>INDEX(MortGrid,A46+1,PremMortCol)</f>
        <v/>
      </c>
      <c r="C46" s="32">
        <f>C45-D45</f>
        <v/>
      </c>
      <c r="D46" s="32">
        <f>C46*B46</f>
        <v/>
      </c>
      <c r="E46" s="33">
        <f>C46*(1/(1+IntRatePrem))^A46</f>
        <v/>
      </c>
      <c r="F46" s="34">
        <f>D46*(1/(1+IntRatePrem))^(A46+0.5)</f>
        <v/>
      </c>
      <c r="G46" s="32">
        <f>IF(A46&gt;=110,E46,G47+E46)</f>
        <v/>
      </c>
      <c r="H46" s="35">
        <f>IF(A46&gt;=110,E46,H47+F46)</f>
        <v/>
      </c>
    </row>
    <row r="47">
      <c r="A47" s="30">
        <f>A46+1</f>
        <v/>
      </c>
      <c r="B47" s="31">
        <f>INDEX(MortGrid,A47+1,PremMortCol)</f>
        <v/>
      </c>
      <c r="C47" s="32">
        <f>C46-D46</f>
        <v/>
      </c>
      <c r="D47" s="32">
        <f>C47*B47</f>
        <v/>
      </c>
      <c r="E47" s="33">
        <f>C47*(1/(1+IntRatePrem))^A47</f>
        <v/>
      </c>
      <c r="F47" s="34">
        <f>D47*(1/(1+IntRatePrem))^(A47+0.5)</f>
        <v/>
      </c>
      <c r="G47" s="32">
        <f>IF(A47&gt;=110,E47,G48+E47)</f>
        <v/>
      </c>
      <c r="H47" s="35">
        <f>IF(A47&gt;=110,E47,H48+F47)</f>
        <v/>
      </c>
    </row>
    <row r="48">
      <c r="A48" s="30">
        <f>A47+1</f>
        <v/>
      </c>
      <c r="B48" s="31">
        <f>INDEX(MortGrid,A48+1,PremMortCol)</f>
        <v/>
      </c>
      <c r="C48" s="32">
        <f>C47-D47</f>
        <v/>
      </c>
      <c r="D48" s="32">
        <f>C48*B48</f>
        <v/>
      </c>
      <c r="E48" s="33">
        <f>C48*(1/(1+IntRatePrem))^A48</f>
        <v/>
      </c>
      <c r="F48" s="34">
        <f>D48*(1/(1+IntRatePrem))^(A48+0.5)</f>
        <v/>
      </c>
      <c r="G48" s="32">
        <f>IF(A48&gt;=110,E48,G49+E48)</f>
        <v/>
      </c>
      <c r="H48" s="35">
        <f>IF(A48&gt;=110,E48,H49+F48)</f>
        <v/>
      </c>
    </row>
    <row r="49">
      <c r="A49" s="30">
        <f>A48+1</f>
        <v/>
      </c>
      <c r="B49" s="31">
        <f>INDEX(MortGrid,A49+1,PremMortCol)</f>
        <v/>
      </c>
      <c r="C49" s="32">
        <f>C48-D48</f>
        <v/>
      </c>
      <c r="D49" s="32">
        <f>C49*B49</f>
        <v/>
      </c>
      <c r="E49" s="33">
        <f>C49*(1/(1+IntRatePrem))^A49</f>
        <v/>
      </c>
      <c r="F49" s="34">
        <f>D49*(1/(1+IntRatePrem))^(A49+0.5)</f>
        <v/>
      </c>
      <c r="G49" s="32">
        <f>IF(A49&gt;=110,E49,G50+E49)</f>
        <v/>
      </c>
      <c r="H49" s="35">
        <f>IF(A49&gt;=110,E49,H50+F49)</f>
        <v/>
      </c>
    </row>
    <row r="50">
      <c r="A50" s="30">
        <f>A49+1</f>
        <v/>
      </c>
      <c r="B50" s="31">
        <f>INDEX(MortGrid,A50+1,PremMortCol)</f>
        <v/>
      </c>
      <c r="C50" s="32">
        <f>C49-D49</f>
        <v/>
      </c>
      <c r="D50" s="32">
        <f>C50*B50</f>
        <v/>
      </c>
      <c r="E50" s="33">
        <f>C50*(1/(1+IntRatePrem))^A50</f>
        <v/>
      </c>
      <c r="F50" s="34">
        <f>D50*(1/(1+IntRatePrem))^(A50+0.5)</f>
        <v/>
      </c>
      <c r="G50" s="32">
        <f>IF(A50&gt;=110,E50,G51+E50)</f>
        <v/>
      </c>
      <c r="H50" s="35">
        <f>IF(A50&gt;=110,E50,H51+F50)</f>
        <v/>
      </c>
    </row>
    <row r="51">
      <c r="A51" s="30">
        <f>A50+1</f>
        <v/>
      </c>
      <c r="B51" s="31">
        <f>INDEX(MortGrid,A51+1,PremMortCol)</f>
        <v/>
      </c>
      <c r="C51" s="32">
        <f>C50-D50</f>
        <v/>
      </c>
      <c r="D51" s="32">
        <f>C51*B51</f>
        <v/>
      </c>
      <c r="E51" s="33">
        <f>C51*(1/(1+IntRatePrem))^A51</f>
        <v/>
      </c>
      <c r="F51" s="34">
        <f>D51*(1/(1+IntRatePrem))^(A51+0.5)</f>
        <v/>
      </c>
      <c r="G51" s="32">
        <f>IF(A51&gt;=110,E51,G52+E51)</f>
        <v/>
      </c>
      <c r="H51" s="35">
        <f>IF(A51&gt;=110,E51,H52+F51)</f>
        <v/>
      </c>
    </row>
    <row r="52">
      <c r="A52" s="30">
        <f>A51+1</f>
        <v/>
      </c>
      <c r="B52" s="31">
        <f>INDEX(MortGrid,A52+1,PremMortCol)</f>
        <v/>
      </c>
      <c r="C52" s="32">
        <f>C51-D51</f>
        <v/>
      </c>
      <c r="D52" s="32">
        <f>C52*B52</f>
        <v/>
      </c>
      <c r="E52" s="33">
        <f>C52*(1/(1+IntRatePrem))^A52</f>
        <v/>
      </c>
      <c r="F52" s="34">
        <f>D52*(1/(1+IntRatePrem))^(A52+0.5)</f>
        <v/>
      </c>
      <c r="G52" s="32">
        <f>IF(A52&gt;=110,E52,G53+E52)</f>
        <v/>
      </c>
      <c r="H52" s="35">
        <f>IF(A52&gt;=110,E52,H53+F52)</f>
        <v/>
      </c>
    </row>
    <row r="53">
      <c r="A53" s="30">
        <f>A52+1</f>
        <v/>
      </c>
      <c r="B53" s="31">
        <f>INDEX(MortGrid,A53+1,PremMortCol)</f>
        <v/>
      </c>
      <c r="C53" s="32">
        <f>C52-D52</f>
        <v/>
      </c>
      <c r="D53" s="32">
        <f>C53*B53</f>
        <v/>
      </c>
      <c r="E53" s="33">
        <f>C53*(1/(1+IntRatePrem))^A53</f>
        <v/>
      </c>
      <c r="F53" s="34">
        <f>D53*(1/(1+IntRatePrem))^(A53+0.5)</f>
        <v/>
      </c>
      <c r="G53" s="32">
        <f>IF(A53&gt;=110,E53,G54+E53)</f>
        <v/>
      </c>
      <c r="H53" s="35">
        <f>IF(A53&gt;=110,E53,H54+F53)</f>
        <v/>
      </c>
    </row>
    <row r="54">
      <c r="A54" s="30">
        <f>A53+1</f>
        <v/>
      </c>
      <c r="B54" s="31">
        <f>INDEX(MortGrid,A54+1,PremMortCol)</f>
        <v/>
      </c>
      <c r="C54" s="32">
        <f>C53-D53</f>
        <v/>
      </c>
      <c r="D54" s="32">
        <f>C54*B54</f>
        <v/>
      </c>
      <c r="E54" s="33">
        <f>C54*(1/(1+IntRatePrem))^A54</f>
        <v/>
      </c>
      <c r="F54" s="34">
        <f>D54*(1/(1+IntRatePrem))^(A54+0.5)</f>
        <v/>
      </c>
      <c r="G54" s="32">
        <f>IF(A54&gt;=110,E54,G55+E54)</f>
        <v/>
      </c>
      <c r="H54" s="35">
        <f>IF(A54&gt;=110,E54,H55+F54)</f>
        <v/>
      </c>
    </row>
    <row r="55">
      <c r="A55" s="30">
        <f>A54+1</f>
        <v/>
      </c>
      <c r="B55" s="31">
        <f>INDEX(MortGrid,A55+1,PremMortCol)</f>
        <v/>
      </c>
      <c r="C55" s="32">
        <f>C54-D54</f>
        <v/>
      </c>
      <c r="D55" s="32">
        <f>C55*B55</f>
        <v/>
      </c>
      <c r="E55" s="33">
        <f>C55*(1/(1+IntRatePrem))^A55</f>
        <v/>
      </c>
      <c r="F55" s="34">
        <f>D55*(1/(1+IntRatePrem))^(A55+0.5)</f>
        <v/>
      </c>
      <c r="G55" s="32">
        <f>IF(A55&gt;=110,E55,G56+E55)</f>
        <v/>
      </c>
      <c r="H55" s="35">
        <f>IF(A55&gt;=110,E55,H56+F55)</f>
        <v/>
      </c>
    </row>
    <row r="56">
      <c r="A56" s="30">
        <f>A55+1</f>
        <v/>
      </c>
      <c r="B56" s="31">
        <f>INDEX(MortGrid,A56+1,PremMortCol)</f>
        <v/>
      </c>
      <c r="C56" s="32">
        <f>C55-D55</f>
        <v/>
      </c>
      <c r="D56" s="32">
        <f>C56*B56</f>
        <v/>
      </c>
      <c r="E56" s="33">
        <f>C56*(1/(1+IntRatePrem))^A56</f>
        <v/>
      </c>
      <c r="F56" s="34">
        <f>D56*(1/(1+IntRatePrem))^(A56+0.5)</f>
        <v/>
      </c>
      <c r="G56" s="32">
        <f>IF(A56&gt;=110,E56,G57+E56)</f>
        <v/>
      </c>
      <c r="H56" s="35">
        <f>IF(A56&gt;=110,E56,H57+F56)</f>
        <v/>
      </c>
    </row>
    <row r="57">
      <c r="A57" s="30">
        <f>A56+1</f>
        <v/>
      </c>
      <c r="B57" s="31">
        <f>INDEX(MortGrid,A57+1,PremMortCol)</f>
        <v/>
      </c>
      <c r="C57" s="32">
        <f>C56-D56</f>
        <v/>
      </c>
      <c r="D57" s="32">
        <f>C57*B57</f>
        <v/>
      </c>
      <c r="E57" s="33">
        <f>C57*(1/(1+IntRatePrem))^A57</f>
        <v/>
      </c>
      <c r="F57" s="34">
        <f>D57*(1/(1+IntRatePrem))^(A57+0.5)</f>
        <v/>
      </c>
      <c r="G57" s="32">
        <f>IF(A57&gt;=110,E57,G58+E57)</f>
        <v/>
      </c>
      <c r="H57" s="35">
        <f>IF(A57&gt;=110,E57,H58+F57)</f>
        <v/>
      </c>
    </row>
    <row r="58">
      <c r="A58" s="30">
        <f>A57+1</f>
        <v/>
      </c>
      <c r="B58" s="31">
        <f>INDEX(MortGrid,A58+1,PremMortCol)</f>
        <v/>
      </c>
      <c r="C58" s="32">
        <f>C57-D57</f>
        <v/>
      </c>
      <c r="D58" s="32">
        <f>C58*B58</f>
        <v/>
      </c>
      <c r="E58" s="33">
        <f>C58*(1/(1+IntRatePrem))^A58</f>
        <v/>
      </c>
      <c r="F58" s="34">
        <f>D58*(1/(1+IntRatePrem))^(A58+0.5)</f>
        <v/>
      </c>
      <c r="G58" s="32">
        <f>IF(A58&gt;=110,E58,G59+E58)</f>
        <v/>
      </c>
      <c r="H58" s="35">
        <f>IF(A58&gt;=110,E58,H59+F58)</f>
        <v/>
      </c>
    </row>
    <row r="59">
      <c r="A59" s="30">
        <f>A58+1</f>
        <v/>
      </c>
      <c r="B59" s="31">
        <f>INDEX(MortGrid,A59+1,PremMortCol)</f>
        <v/>
      </c>
      <c r="C59" s="32">
        <f>C58-D58</f>
        <v/>
      </c>
      <c r="D59" s="32">
        <f>C59*B59</f>
        <v/>
      </c>
      <c r="E59" s="33">
        <f>C59*(1/(1+IntRatePrem))^A59</f>
        <v/>
      </c>
      <c r="F59" s="34">
        <f>D59*(1/(1+IntRatePrem))^(A59+0.5)</f>
        <v/>
      </c>
      <c r="G59" s="32">
        <f>IF(A59&gt;=110,E59,G60+E59)</f>
        <v/>
      </c>
      <c r="H59" s="35">
        <f>IF(A59&gt;=110,E59,H60+F59)</f>
        <v/>
      </c>
    </row>
    <row r="60">
      <c r="A60" s="30">
        <f>A59+1</f>
        <v/>
      </c>
      <c r="B60" s="31">
        <f>INDEX(MortGrid,A60+1,PremMortCol)</f>
        <v/>
      </c>
      <c r="C60" s="32">
        <f>C59-D59</f>
        <v/>
      </c>
      <c r="D60" s="32">
        <f>C60*B60</f>
        <v/>
      </c>
      <c r="E60" s="33">
        <f>C60*(1/(1+IntRatePrem))^A60</f>
        <v/>
      </c>
      <c r="F60" s="34">
        <f>D60*(1/(1+IntRatePrem))^(A60+0.5)</f>
        <v/>
      </c>
      <c r="G60" s="32">
        <f>IF(A60&gt;=110,E60,G61+E60)</f>
        <v/>
      </c>
      <c r="H60" s="35">
        <f>IF(A60&gt;=110,E60,H61+F60)</f>
        <v/>
      </c>
    </row>
    <row r="61">
      <c r="A61" s="30">
        <f>A60+1</f>
        <v/>
      </c>
      <c r="B61" s="31">
        <f>INDEX(MortGrid,A61+1,PremMortCol)</f>
        <v/>
      </c>
      <c r="C61" s="32">
        <f>C60-D60</f>
        <v/>
      </c>
      <c r="D61" s="32">
        <f>C61*B61</f>
        <v/>
      </c>
      <c r="E61" s="33">
        <f>C61*(1/(1+IntRatePrem))^A61</f>
        <v/>
      </c>
      <c r="F61" s="34">
        <f>D61*(1/(1+IntRatePrem))^(A61+0.5)</f>
        <v/>
      </c>
      <c r="G61" s="32">
        <f>IF(A61&gt;=110,E61,G62+E61)</f>
        <v/>
      </c>
      <c r="H61" s="35">
        <f>IF(A61&gt;=110,E61,H62+F61)</f>
        <v/>
      </c>
    </row>
    <row r="62">
      <c r="A62" s="30">
        <f>A61+1</f>
        <v/>
      </c>
      <c r="B62" s="31">
        <f>INDEX(MortGrid,A62+1,PremMortCol)</f>
        <v/>
      </c>
      <c r="C62" s="32">
        <f>C61-D61</f>
        <v/>
      </c>
      <c r="D62" s="32">
        <f>C62*B62</f>
        <v/>
      </c>
      <c r="E62" s="33">
        <f>C62*(1/(1+IntRatePrem))^A62</f>
        <v/>
      </c>
      <c r="F62" s="34">
        <f>D62*(1/(1+IntRatePrem))^(A62+0.5)</f>
        <v/>
      </c>
      <c r="G62" s="32">
        <f>IF(A62&gt;=110,E62,G63+E62)</f>
        <v/>
      </c>
      <c r="H62" s="35">
        <f>IF(A62&gt;=110,E62,H63+F62)</f>
        <v/>
      </c>
    </row>
    <row r="63">
      <c r="A63" s="30">
        <f>A62+1</f>
        <v/>
      </c>
      <c r="B63" s="31">
        <f>INDEX(MortGrid,A63+1,PremMortCol)</f>
        <v/>
      </c>
      <c r="C63" s="32">
        <f>C62-D62</f>
        <v/>
      </c>
      <c r="D63" s="32">
        <f>C63*B63</f>
        <v/>
      </c>
      <c r="E63" s="33">
        <f>C63*(1/(1+IntRatePrem))^A63</f>
        <v/>
      </c>
      <c r="F63" s="34">
        <f>D63*(1/(1+IntRatePrem))^(A63+0.5)</f>
        <v/>
      </c>
      <c r="G63" s="32">
        <f>IF(A63&gt;=110,E63,G64+E63)</f>
        <v/>
      </c>
      <c r="H63" s="35">
        <f>IF(A63&gt;=110,E63,H64+F63)</f>
        <v/>
      </c>
    </row>
    <row r="64">
      <c r="A64" s="30">
        <f>A63+1</f>
        <v/>
      </c>
      <c r="B64" s="31">
        <f>INDEX(MortGrid,A64+1,PremMortCol)</f>
        <v/>
      </c>
      <c r="C64" s="32">
        <f>C63-D63</f>
        <v/>
      </c>
      <c r="D64" s="32">
        <f>C64*B64</f>
        <v/>
      </c>
      <c r="E64" s="33">
        <f>C64*(1/(1+IntRatePrem))^A64</f>
        <v/>
      </c>
      <c r="F64" s="34">
        <f>D64*(1/(1+IntRatePrem))^(A64+0.5)</f>
        <v/>
      </c>
      <c r="G64" s="32">
        <f>IF(A64&gt;=110,E64,G65+E64)</f>
        <v/>
      </c>
      <c r="H64" s="35">
        <f>IF(A64&gt;=110,E64,H65+F64)</f>
        <v/>
      </c>
    </row>
    <row r="65">
      <c r="A65" s="30">
        <f>A64+1</f>
        <v/>
      </c>
      <c r="B65" s="31">
        <f>INDEX(MortGrid,A65+1,PremMortCol)</f>
        <v/>
      </c>
      <c r="C65" s="32">
        <f>C64-D64</f>
        <v/>
      </c>
      <c r="D65" s="32">
        <f>C65*B65</f>
        <v/>
      </c>
      <c r="E65" s="33">
        <f>C65*(1/(1+IntRatePrem))^A65</f>
        <v/>
      </c>
      <c r="F65" s="34">
        <f>D65*(1/(1+IntRatePrem))^(A65+0.5)</f>
        <v/>
      </c>
      <c r="G65" s="32">
        <f>IF(A65&gt;=110,E65,G66+E65)</f>
        <v/>
      </c>
      <c r="H65" s="35">
        <f>IF(A65&gt;=110,E65,H66+F65)</f>
        <v/>
      </c>
    </row>
    <row r="66">
      <c r="A66" s="30">
        <f>A65+1</f>
        <v/>
      </c>
      <c r="B66" s="31">
        <f>INDEX(MortGrid,A66+1,PremMortCol)</f>
        <v/>
      </c>
      <c r="C66" s="32">
        <f>C65-D65</f>
        <v/>
      </c>
      <c r="D66" s="32">
        <f>C66*B66</f>
        <v/>
      </c>
      <c r="E66" s="33">
        <f>C66*(1/(1+IntRatePrem))^A66</f>
        <v/>
      </c>
      <c r="F66" s="34">
        <f>D66*(1/(1+IntRatePrem))^(A66+0.5)</f>
        <v/>
      </c>
      <c r="G66" s="32">
        <f>IF(A66&gt;=110,E66,G67+E66)</f>
        <v/>
      </c>
      <c r="H66" s="35">
        <f>IF(A66&gt;=110,E66,H67+F66)</f>
        <v/>
      </c>
    </row>
    <row r="67">
      <c r="A67" s="30">
        <f>A66+1</f>
        <v/>
      </c>
      <c r="B67" s="31">
        <f>INDEX(MortGrid,A67+1,PremMortCol)</f>
        <v/>
      </c>
      <c r="C67" s="32">
        <f>C66-D66</f>
        <v/>
      </c>
      <c r="D67" s="32">
        <f>C67*B67</f>
        <v/>
      </c>
      <c r="E67" s="33">
        <f>C67*(1/(1+IntRatePrem))^A67</f>
        <v/>
      </c>
      <c r="F67" s="34">
        <f>D67*(1/(1+IntRatePrem))^(A67+0.5)</f>
        <v/>
      </c>
      <c r="G67" s="32">
        <f>IF(A67&gt;=110,E67,G68+E67)</f>
        <v/>
      </c>
      <c r="H67" s="35">
        <f>IF(A67&gt;=110,E67,H68+F67)</f>
        <v/>
      </c>
    </row>
    <row r="68">
      <c r="A68" s="30">
        <f>A67+1</f>
        <v/>
      </c>
      <c r="B68" s="31">
        <f>INDEX(MortGrid,A68+1,PremMortCol)</f>
        <v/>
      </c>
      <c r="C68" s="32">
        <f>C67-D67</f>
        <v/>
      </c>
      <c r="D68" s="32">
        <f>C68*B68</f>
        <v/>
      </c>
      <c r="E68" s="33">
        <f>C68*(1/(1+IntRatePrem))^A68</f>
        <v/>
      </c>
      <c r="F68" s="34">
        <f>D68*(1/(1+IntRatePrem))^(A68+0.5)</f>
        <v/>
      </c>
      <c r="G68" s="32">
        <f>IF(A68&gt;=110,E68,G69+E68)</f>
        <v/>
      </c>
      <c r="H68" s="35">
        <f>IF(A68&gt;=110,E68,H69+F68)</f>
        <v/>
      </c>
    </row>
    <row r="69">
      <c r="A69" s="30">
        <f>A68+1</f>
        <v/>
      </c>
      <c r="B69" s="31">
        <f>INDEX(MortGrid,A69+1,PremMortCol)</f>
        <v/>
      </c>
      <c r="C69" s="32">
        <f>C68-D68</f>
        <v/>
      </c>
      <c r="D69" s="32">
        <f>C69*B69</f>
        <v/>
      </c>
      <c r="E69" s="33">
        <f>C69*(1/(1+IntRatePrem))^A69</f>
        <v/>
      </c>
      <c r="F69" s="34">
        <f>D69*(1/(1+IntRatePrem))^(A69+0.5)</f>
        <v/>
      </c>
      <c r="G69" s="32">
        <f>IF(A69&gt;=110,E69,G70+E69)</f>
        <v/>
      </c>
      <c r="H69" s="35">
        <f>IF(A69&gt;=110,E69,H70+F69)</f>
        <v/>
      </c>
    </row>
    <row r="70">
      <c r="A70" s="30">
        <f>A69+1</f>
        <v/>
      </c>
      <c r="B70" s="31">
        <f>INDEX(MortGrid,A70+1,PremMortCol)</f>
        <v/>
      </c>
      <c r="C70" s="32">
        <f>C69-D69</f>
        <v/>
      </c>
      <c r="D70" s="32">
        <f>C70*B70</f>
        <v/>
      </c>
      <c r="E70" s="33">
        <f>C70*(1/(1+IntRatePrem))^A70</f>
        <v/>
      </c>
      <c r="F70" s="34">
        <f>D70*(1/(1+IntRatePrem))^(A70+0.5)</f>
        <v/>
      </c>
      <c r="G70" s="32">
        <f>IF(A70&gt;=110,E70,G71+E70)</f>
        <v/>
      </c>
      <c r="H70" s="35">
        <f>IF(A70&gt;=110,E70,H71+F70)</f>
        <v/>
      </c>
    </row>
    <row r="71">
      <c r="A71" s="30">
        <f>A70+1</f>
        <v/>
      </c>
      <c r="B71" s="31">
        <f>INDEX(MortGrid,A71+1,PremMortCol)</f>
        <v/>
      </c>
      <c r="C71" s="32">
        <f>C70-D70</f>
        <v/>
      </c>
      <c r="D71" s="32">
        <f>C71*B71</f>
        <v/>
      </c>
      <c r="E71" s="33">
        <f>C71*(1/(1+IntRatePrem))^A71</f>
        <v/>
      </c>
      <c r="F71" s="34">
        <f>D71*(1/(1+IntRatePrem))^(A71+0.5)</f>
        <v/>
      </c>
      <c r="G71" s="32">
        <f>IF(A71&gt;=110,E71,G72+E71)</f>
        <v/>
      </c>
      <c r="H71" s="35">
        <f>IF(A71&gt;=110,E71,H72+F71)</f>
        <v/>
      </c>
    </row>
    <row r="72">
      <c r="A72" s="30">
        <f>A71+1</f>
        <v/>
      </c>
      <c r="B72" s="31">
        <f>INDEX(MortGrid,A72+1,PremMortCol)</f>
        <v/>
      </c>
      <c r="C72" s="32">
        <f>C71-D71</f>
        <v/>
      </c>
      <c r="D72" s="32">
        <f>C72*B72</f>
        <v/>
      </c>
      <c r="E72" s="33">
        <f>C72*(1/(1+IntRatePrem))^A72</f>
        <v/>
      </c>
      <c r="F72" s="34">
        <f>D72*(1/(1+IntRatePrem))^(A72+0.5)</f>
        <v/>
      </c>
      <c r="G72" s="32">
        <f>IF(A72&gt;=110,E72,G73+E72)</f>
        <v/>
      </c>
      <c r="H72" s="35">
        <f>IF(A72&gt;=110,E72,H73+F72)</f>
        <v/>
      </c>
    </row>
    <row r="73">
      <c r="A73" s="30">
        <f>A72+1</f>
        <v/>
      </c>
      <c r="B73" s="31">
        <f>INDEX(MortGrid,A73+1,PremMortCol)</f>
        <v/>
      </c>
      <c r="C73" s="32">
        <f>C72-D72</f>
        <v/>
      </c>
      <c r="D73" s="32">
        <f>C73*B73</f>
        <v/>
      </c>
      <c r="E73" s="33">
        <f>C73*(1/(1+IntRatePrem))^A73</f>
        <v/>
      </c>
      <c r="F73" s="34">
        <f>D73*(1/(1+IntRatePrem))^(A73+0.5)</f>
        <v/>
      </c>
      <c r="G73" s="32">
        <f>IF(A73&gt;=110,E73,G74+E73)</f>
        <v/>
      </c>
      <c r="H73" s="35">
        <f>IF(A73&gt;=110,E73,H74+F73)</f>
        <v/>
      </c>
    </row>
    <row r="74">
      <c r="A74" s="30">
        <f>A73+1</f>
        <v/>
      </c>
      <c r="B74" s="31">
        <f>INDEX(MortGrid,A74+1,PremMortCol)</f>
        <v/>
      </c>
      <c r="C74" s="32">
        <f>C73-D73</f>
        <v/>
      </c>
      <c r="D74" s="32">
        <f>C74*B74</f>
        <v/>
      </c>
      <c r="E74" s="33">
        <f>C74*(1/(1+IntRatePrem))^A74</f>
        <v/>
      </c>
      <c r="F74" s="34">
        <f>D74*(1/(1+IntRatePrem))^(A74+0.5)</f>
        <v/>
      </c>
      <c r="G74" s="32">
        <f>IF(A74&gt;=110,E74,G75+E74)</f>
        <v/>
      </c>
      <c r="H74" s="35">
        <f>IF(A74&gt;=110,E74,H75+F74)</f>
        <v/>
      </c>
    </row>
    <row r="75">
      <c r="A75" s="30">
        <f>A74+1</f>
        <v/>
      </c>
      <c r="B75" s="31">
        <f>INDEX(MortGrid,A75+1,PremMortCol)</f>
        <v/>
      </c>
      <c r="C75" s="32">
        <f>C74-D74</f>
        <v/>
      </c>
      <c r="D75" s="32">
        <f>C75*B75</f>
        <v/>
      </c>
      <c r="E75" s="33">
        <f>C75*(1/(1+IntRatePrem))^A75</f>
        <v/>
      </c>
      <c r="F75" s="34">
        <f>D75*(1/(1+IntRatePrem))^(A75+0.5)</f>
        <v/>
      </c>
      <c r="G75" s="32">
        <f>IF(A75&gt;=110,E75,G76+E75)</f>
        <v/>
      </c>
      <c r="H75" s="35">
        <f>IF(A75&gt;=110,E75,H76+F75)</f>
        <v/>
      </c>
    </row>
    <row r="76">
      <c r="A76" s="30">
        <f>A75+1</f>
        <v/>
      </c>
      <c r="B76" s="31">
        <f>INDEX(MortGrid,A76+1,PremMortCol)</f>
        <v/>
      </c>
      <c r="C76" s="32">
        <f>C75-D75</f>
        <v/>
      </c>
      <c r="D76" s="32">
        <f>C76*B76</f>
        <v/>
      </c>
      <c r="E76" s="33">
        <f>C76*(1/(1+IntRatePrem))^A76</f>
        <v/>
      </c>
      <c r="F76" s="34">
        <f>D76*(1/(1+IntRatePrem))^(A76+0.5)</f>
        <v/>
      </c>
      <c r="G76" s="32">
        <f>IF(A76&gt;=110,E76,G77+E76)</f>
        <v/>
      </c>
      <c r="H76" s="35">
        <f>IF(A76&gt;=110,E76,H77+F76)</f>
        <v/>
      </c>
    </row>
    <row r="77">
      <c r="A77" s="30">
        <f>A76+1</f>
        <v/>
      </c>
      <c r="B77" s="31">
        <f>INDEX(MortGrid,A77+1,PremMortCol)</f>
        <v/>
      </c>
      <c r="C77" s="32">
        <f>C76-D76</f>
        <v/>
      </c>
      <c r="D77" s="32">
        <f>C77*B77</f>
        <v/>
      </c>
      <c r="E77" s="33">
        <f>C77*(1/(1+IntRatePrem))^A77</f>
        <v/>
      </c>
      <c r="F77" s="34">
        <f>D77*(1/(1+IntRatePrem))^(A77+0.5)</f>
        <v/>
      </c>
      <c r="G77" s="32">
        <f>IF(A77&gt;=110,E77,G78+E77)</f>
        <v/>
      </c>
      <c r="H77" s="35">
        <f>IF(A77&gt;=110,E77,H78+F77)</f>
        <v/>
      </c>
    </row>
    <row r="78">
      <c r="A78" s="30">
        <f>A77+1</f>
        <v/>
      </c>
      <c r="B78" s="31">
        <f>INDEX(MortGrid,A78+1,PremMortCol)</f>
        <v/>
      </c>
      <c r="C78" s="32">
        <f>C77-D77</f>
        <v/>
      </c>
      <c r="D78" s="32">
        <f>C78*B78</f>
        <v/>
      </c>
      <c r="E78" s="33">
        <f>C78*(1/(1+IntRatePrem))^A78</f>
        <v/>
      </c>
      <c r="F78" s="34">
        <f>D78*(1/(1+IntRatePrem))^(A78+0.5)</f>
        <v/>
      </c>
      <c r="G78" s="32">
        <f>IF(A78&gt;=110,E78,G79+E78)</f>
        <v/>
      </c>
      <c r="H78" s="35">
        <f>IF(A78&gt;=110,E78,H79+F78)</f>
        <v/>
      </c>
    </row>
    <row r="79">
      <c r="A79" s="30">
        <f>A78+1</f>
        <v/>
      </c>
      <c r="B79" s="31">
        <f>INDEX(MortGrid,A79+1,PremMortCol)</f>
        <v/>
      </c>
      <c r="C79" s="32">
        <f>C78-D78</f>
        <v/>
      </c>
      <c r="D79" s="32">
        <f>C79*B79</f>
        <v/>
      </c>
      <c r="E79" s="33">
        <f>C79*(1/(1+IntRatePrem))^A79</f>
        <v/>
      </c>
      <c r="F79" s="34">
        <f>D79*(1/(1+IntRatePrem))^(A79+0.5)</f>
        <v/>
      </c>
      <c r="G79" s="32">
        <f>IF(A79&gt;=110,E79,G80+E79)</f>
        <v/>
      </c>
      <c r="H79" s="35">
        <f>IF(A79&gt;=110,E79,H80+F79)</f>
        <v/>
      </c>
    </row>
    <row r="80">
      <c r="A80" s="30">
        <f>A79+1</f>
        <v/>
      </c>
      <c r="B80" s="31">
        <f>INDEX(MortGrid,A80+1,PremMortCol)</f>
        <v/>
      </c>
      <c r="C80" s="32">
        <f>C79-D79</f>
        <v/>
      </c>
      <c r="D80" s="32">
        <f>C80*B80</f>
        <v/>
      </c>
      <c r="E80" s="33">
        <f>C80*(1/(1+IntRatePrem))^A80</f>
        <v/>
      </c>
      <c r="F80" s="34">
        <f>D80*(1/(1+IntRatePrem))^(A80+0.5)</f>
        <v/>
      </c>
      <c r="G80" s="32">
        <f>IF(A80&gt;=110,E80,G81+E80)</f>
        <v/>
      </c>
      <c r="H80" s="35">
        <f>IF(A80&gt;=110,E80,H81+F80)</f>
        <v/>
      </c>
    </row>
    <row r="81">
      <c r="A81" s="30">
        <f>A80+1</f>
        <v/>
      </c>
      <c r="B81" s="31">
        <f>INDEX(MortGrid,A81+1,PremMortCol)</f>
        <v/>
      </c>
      <c r="C81" s="32">
        <f>C80-D80</f>
        <v/>
      </c>
      <c r="D81" s="32">
        <f>C81*B81</f>
        <v/>
      </c>
      <c r="E81" s="33">
        <f>C81*(1/(1+IntRatePrem))^A81</f>
        <v/>
      </c>
      <c r="F81" s="34">
        <f>D81*(1/(1+IntRatePrem))^(A81+0.5)</f>
        <v/>
      </c>
      <c r="G81" s="32">
        <f>IF(A81&gt;=110,E81,G82+E81)</f>
        <v/>
      </c>
      <c r="H81" s="35">
        <f>IF(A81&gt;=110,E81,H82+F81)</f>
        <v/>
      </c>
    </row>
    <row r="82">
      <c r="A82" s="30">
        <f>A81+1</f>
        <v/>
      </c>
      <c r="B82" s="31">
        <f>INDEX(MortGrid,A82+1,PremMortCol)</f>
        <v/>
      </c>
      <c r="C82" s="32">
        <f>C81-D81</f>
        <v/>
      </c>
      <c r="D82" s="32">
        <f>C82*B82</f>
        <v/>
      </c>
      <c r="E82" s="33">
        <f>C82*(1/(1+IntRatePrem))^A82</f>
        <v/>
      </c>
      <c r="F82" s="34">
        <f>D82*(1/(1+IntRatePrem))^(A82+0.5)</f>
        <v/>
      </c>
      <c r="G82" s="32">
        <f>IF(A82&gt;=110,E82,G83+E82)</f>
        <v/>
      </c>
      <c r="H82" s="35">
        <f>IF(A82&gt;=110,E82,H83+F82)</f>
        <v/>
      </c>
    </row>
    <row r="83">
      <c r="A83" s="30">
        <f>A82+1</f>
        <v/>
      </c>
      <c r="B83" s="31">
        <f>INDEX(MortGrid,A83+1,PremMortCol)</f>
        <v/>
      </c>
      <c r="C83" s="32">
        <f>C82-D82</f>
        <v/>
      </c>
      <c r="D83" s="32">
        <f>C83*B83</f>
        <v/>
      </c>
      <c r="E83" s="33">
        <f>C83*(1/(1+IntRatePrem))^A83</f>
        <v/>
      </c>
      <c r="F83" s="34">
        <f>D83*(1/(1+IntRatePrem))^(A83+0.5)</f>
        <v/>
      </c>
      <c r="G83" s="32">
        <f>IF(A83&gt;=110,E83,G84+E83)</f>
        <v/>
      </c>
      <c r="H83" s="35">
        <f>IF(A83&gt;=110,E83,H84+F83)</f>
        <v/>
      </c>
    </row>
    <row r="84">
      <c r="A84" s="30">
        <f>A83+1</f>
        <v/>
      </c>
      <c r="B84" s="31">
        <f>INDEX(MortGrid,A84+1,PremMortCol)</f>
        <v/>
      </c>
      <c r="C84" s="32">
        <f>C83-D83</f>
        <v/>
      </c>
      <c r="D84" s="32">
        <f>C84*B84</f>
        <v/>
      </c>
      <c r="E84" s="33">
        <f>C84*(1/(1+IntRatePrem))^A84</f>
        <v/>
      </c>
      <c r="F84" s="34">
        <f>D84*(1/(1+IntRatePrem))^(A84+0.5)</f>
        <v/>
      </c>
      <c r="G84" s="32">
        <f>IF(A84&gt;=110,E84,G85+E84)</f>
        <v/>
      </c>
      <c r="H84" s="35">
        <f>IF(A84&gt;=110,E84,H85+F84)</f>
        <v/>
      </c>
    </row>
    <row r="85">
      <c r="A85" s="30">
        <f>A84+1</f>
        <v/>
      </c>
      <c r="B85" s="31">
        <f>INDEX(MortGrid,A85+1,PremMortCol)</f>
        <v/>
      </c>
      <c r="C85" s="32">
        <f>C84-D84</f>
        <v/>
      </c>
      <c r="D85" s="32">
        <f>C85*B85</f>
        <v/>
      </c>
      <c r="E85" s="33">
        <f>C85*(1/(1+IntRatePrem))^A85</f>
        <v/>
      </c>
      <c r="F85" s="34">
        <f>D85*(1/(1+IntRatePrem))^(A85+0.5)</f>
        <v/>
      </c>
      <c r="G85" s="32">
        <f>IF(A85&gt;=110,E85,G86+E85)</f>
        <v/>
      </c>
      <c r="H85" s="35">
        <f>IF(A85&gt;=110,E85,H86+F85)</f>
        <v/>
      </c>
    </row>
    <row r="86">
      <c r="A86" s="30">
        <f>A85+1</f>
        <v/>
      </c>
      <c r="B86" s="31">
        <f>INDEX(MortGrid,A86+1,PremMortCol)</f>
        <v/>
      </c>
      <c r="C86" s="32">
        <f>C85-D85</f>
        <v/>
      </c>
      <c r="D86" s="32">
        <f>C86*B86</f>
        <v/>
      </c>
      <c r="E86" s="33">
        <f>C86*(1/(1+IntRatePrem))^A86</f>
        <v/>
      </c>
      <c r="F86" s="34">
        <f>D86*(1/(1+IntRatePrem))^(A86+0.5)</f>
        <v/>
      </c>
      <c r="G86" s="32">
        <f>IF(A86&gt;=110,E86,G87+E86)</f>
        <v/>
      </c>
      <c r="H86" s="35">
        <f>IF(A86&gt;=110,E86,H87+F86)</f>
        <v/>
      </c>
    </row>
    <row r="87">
      <c r="A87" s="30">
        <f>A86+1</f>
        <v/>
      </c>
      <c r="B87" s="31">
        <f>INDEX(MortGrid,A87+1,PremMortCol)</f>
        <v/>
      </c>
      <c r="C87" s="32">
        <f>C86-D86</f>
        <v/>
      </c>
      <c r="D87" s="32">
        <f>C87*B87</f>
        <v/>
      </c>
      <c r="E87" s="33">
        <f>C87*(1/(1+IntRatePrem))^A87</f>
        <v/>
      </c>
      <c r="F87" s="34">
        <f>D87*(1/(1+IntRatePrem))^(A87+0.5)</f>
        <v/>
      </c>
      <c r="G87" s="32">
        <f>IF(A87&gt;=110,E87,G88+E87)</f>
        <v/>
      </c>
      <c r="H87" s="35">
        <f>IF(A87&gt;=110,E87,H88+F87)</f>
        <v/>
      </c>
    </row>
    <row r="88">
      <c r="A88" s="30">
        <f>A87+1</f>
        <v/>
      </c>
      <c r="B88" s="31">
        <f>INDEX(MortGrid,A88+1,PremMortCol)</f>
        <v/>
      </c>
      <c r="C88" s="32">
        <f>C87-D87</f>
        <v/>
      </c>
      <c r="D88" s="32">
        <f>C88*B88</f>
        <v/>
      </c>
      <c r="E88" s="33">
        <f>C88*(1/(1+IntRatePrem))^A88</f>
        <v/>
      </c>
      <c r="F88" s="34">
        <f>D88*(1/(1+IntRatePrem))^(A88+0.5)</f>
        <v/>
      </c>
      <c r="G88" s="32">
        <f>IF(A88&gt;=110,E88,G89+E88)</f>
        <v/>
      </c>
      <c r="H88" s="35">
        <f>IF(A88&gt;=110,E88,H89+F88)</f>
        <v/>
      </c>
    </row>
    <row r="89">
      <c r="A89" s="30">
        <f>A88+1</f>
        <v/>
      </c>
      <c r="B89" s="31">
        <f>INDEX(MortGrid,A89+1,PremMortCol)</f>
        <v/>
      </c>
      <c r="C89" s="32">
        <f>C88-D88</f>
        <v/>
      </c>
      <c r="D89" s="32">
        <f>C89*B89</f>
        <v/>
      </c>
      <c r="E89" s="33">
        <f>C89*(1/(1+IntRatePrem))^A89</f>
        <v/>
      </c>
      <c r="F89" s="34">
        <f>D89*(1/(1+IntRatePrem))^(A89+0.5)</f>
        <v/>
      </c>
      <c r="G89" s="32">
        <f>IF(A89&gt;=110,E89,G90+E89)</f>
        <v/>
      </c>
      <c r="H89" s="35">
        <f>IF(A89&gt;=110,E89,H90+F89)</f>
        <v/>
      </c>
    </row>
    <row r="90">
      <c r="A90" s="30">
        <f>A89+1</f>
        <v/>
      </c>
      <c r="B90" s="31">
        <f>INDEX(MortGrid,A90+1,PremMortCol)</f>
        <v/>
      </c>
      <c r="C90" s="32">
        <f>C89-D89</f>
        <v/>
      </c>
      <c r="D90" s="32">
        <f>C90*B90</f>
        <v/>
      </c>
      <c r="E90" s="33">
        <f>C90*(1/(1+IntRatePrem))^A90</f>
        <v/>
      </c>
      <c r="F90" s="34">
        <f>D90*(1/(1+IntRatePrem))^(A90+0.5)</f>
        <v/>
      </c>
      <c r="G90" s="32">
        <f>IF(A90&gt;=110,E90,G91+E90)</f>
        <v/>
      </c>
      <c r="H90" s="35">
        <f>IF(A90&gt;=110,E90,H91+F90)</f>
        <v/>
      </c>
    </row>
    <row r="91">
      <c r="A91" s="30">
        <f>A90+1</f>
        <v/>
      </c>
      <c r="B91" s="31">
        <f>INDEX(MortGrid,A91+1,PremMortCol)</f>
        <v/>
      </c>
      <c r="C91" s="32">
        <f>C90-D90</f>
        <v/>
      </c>
      <c r="D91" s="32">
        <f>C91*B91</f>
        <v/>
      </c>
      <c r="E91" s="33">
        <f>C91*(1/(1+IntRatePrem))^A91</f>
        <v/>
      </c>
      <c r="F91" s="34">
        <f>D91*(1/(1+IntRatePrem))^(A91+0.5)</f>
        <v/>
      </c>
      <c r="G91" s="32">
        <f>IF(A91&gt;=110,E91,G92+E91)</f>
        <v/>
      </c>
      <c r="H91" s="35">
        <f>IF(A91&gt;=110,E91,H92+F91)</f>
        <v/>
      </c>
    </row>
    <row r="92">
      <c r="A92" s="30">
        <f>A91+1</f>
        <v/>
      </c>
      <c r="B92" s="31">
        <f>INDEX(MortGrid,A92+1,PremMortCol)</f>
        <v/>
      </c>
      <c r="C92" s="32">
        <f>C91-D91</f>
        <v/>
      </c>
      <c r="D92" s="32">
        <f>C92*B92</f>
        <v/>
      </c>
      <c r="E92" s="33">
        <f>C92*(1/(1+IntRatePrem))^A92</f>
        <v/>
      </c>
      <c r="F92" s="34">
        <f>D92*(1/(1+IntRatePrem))^(A92+0.5)</f>
        <v/>
      </c>
      <c r="G92" s="32">
        <f>IF(A92&gt;=110,E92,G93+E92)</f>
        <v/>
      </c>
      <c r="H92" s="35">
        <f>IF(A92&gt;=110,E92,H93+F92)</f>
        <v/>
      </c>
    </row>
    <row r="93">
      <c r="A93" s="30">
        <f>A92+1</f>
        <v/>
      </c>
      <c r="B93" s="31">
        <f>INDEX(MortGrid,A93+1,PremMortCol)</f>
        <v/>
      </c>
      <c r="C93" s="32">
        <f>C92-D92</f>
        <v/>
      </c>
      <c r="D93" s="32">
        <f>C93*B93</f>
        <v/>
      </c>
      <c r="E93" s="33">
        <f>C93*(1/(1+IntRatePrem))^A93</f>
        <v/>
      </c>
      <c r="F93" s="34">
        <f>D93*(1/(1+IntRatePrem))^(A93+0.5)</f>
        <v/>
      </c>
      <c r="G93" s="32">
        <f>IF(A93&gt;=110,E93,G94+E93)</f>
        <v/>
      </c>
      <c r="H93" s="35">
        <f>IF(A93&gt;=110,E93,H94+F93)</f>
        <v/>
      </c>
    </row>
    <row r="94">
      <c r="A94" s="30">
        <f>A93+1</f>
        <v/>
      </c>
      <c r="B94" s="31">
        <f>INDEX(MortGrid,A94+1,PremMortCol)</f>
        <v/>
      </c>
      <c r="C94" s="32">
        <f>C93-D93</f>
        <v/>
      </c>
      <c r="D94" s="32">
        <f>C94*B94</f>
        <v/>
      </c>
      <c r="E94" s="33">
        <f>C94*(1/(1+IntRatePrem))^A94</f>
        <v/>
      </c>
      <c r="F94" s="34">
        <f>D94*(1/(1+IntRatePrem))^(A94+0.5)</f>
        <v/>
      </c>
      <c r="G94" s="32">
        <f>IF(A94&gt;=110,E94,G95+E94)</f>
        <v/>
      </c>
      <c r="H94" s="35">
        <f>IF(A94&gt;=110,E94,H95+F94)</f>
        <v/>
      </c>
    </row>
    <row r="95">
      <c r="A95" s="30">
        <f>A94+1</f>
        <v/>
      </c>
      <c r="B95" s="31">
        <f>INDEX(MortGrid,A95+1,PremMortCol)</f>
        <v/>
      </c>
      <c r="C95" s="32">
        <f>C94-D94</f>
        <v/>
      </c>
      <c r="D95" s="32">
        <f>C95*B95</f>
        <v/>
      </c>
      <c r="E95" s="33">
        <f>C95*(1/(1+IntRatePrem))^A95</f>
        <v/>
      </c>
      <c r="F95" s="34">
        <f>D95*(1/(1+IntRatePrem))^(A95+0.5)</f>
        <v/>
      </c>
      <c r="G95" s="32">
        <f>IF(A95&gt;=110,E95,G96+E95)</f>
        <v/>
      </c>
      <c r="H95" s="35">
        <f>IF(A95&gt;=110,E95,H96+F95)</f>
        <v/>
      </c>
    </row>
    <row r="96">
      <c r="A96" s="30">
        <f>A95+1</f>
        <v/>
      </c>
      <c r="B96" s="31">
        <f>INDEX(MortGrid,A96+1,PremMortCol)</f>
        <v/>
      </c>
      <c r="C96" s="32">
        <f>C95-D95</f>
        <v/>
      </c>
      <c r="D96" s="32">
        <f>C96*B96</f>
        <v/>
      </c>
      <c r="E96" s="33">
        <f>C96*(1/(1+IntRatePrem))^A96</f>
        <v/>
      </c>
      <c r="F96" s="34">
        <f>D96*(1/(1+IntRatePrem))^(A96+0.5)</f>
        <v/>
      </c>
      <c r="G96" s="32">
        <f>IF(A96&gt;=110,E96,G97+E96)</f>
        <v/>
      </c>
      <c r="H96" s="35">
        <f>IF(A96&gt;=110,E96,H97+F96)</f>
        <v/>
      </c>
    </row>
    <row r="97">
      <c r="A97" s="30">
        <f>A96+1</f>
        <v/>
      </c>
      <c r="B97" s="31">
        <f>INDEX(MortGrid,A97+1,PremMortCol)</f>
        <v/>
      </c>
      <c r="C97" s="32">
        <f>C96-D96</f>
        <v/>
      </c>
      <c r="D97" s="32">
        <f>C97*B97</f>
        <v/>
      </c>
      <c r="E97" s="33">
        <f>C97*(1/(1+IntRatePrem))^A97</f>
        <v/>
      </c>
      <c r="F97" s="34">
        <f>D97*(1/(1+IntRatePrem))^(A97+0.5)</f>
        <v/>
      </c>
      <c r="G97" s="32">
        <f>IF(A97&gt;=110,E97,G98+E97)</f>
        <v/>
      </c>
      <c r="H97" s="35">
        <f>IF(A97&gt;=110,E97,H98+F97)</f>
        <v/>
      </c>
    </row>
    <row r="98">
      <c r="A98" s="30">
        <f>A97+1</f>
        <v/>
      </c>
      <c r="B98" s="31">
        <f>INDEX(MortGrid,A98+1,PremMortCol)</f>
        <v/>
      </c>
      <c r="C98" s="32">
        <f>C97-D97</f>
        <v/>
      </c>
      <c r="D98" s="32">
        <f>C98*B98</f>
        <v/>
      </c>
      <c r="E98" s="33">
        <f>C98*(1/(1+IntRatePrem))^A98</f>
        <v/>
      </c>
      <c r="F98" s="34">
        <f>D98*(1/(1+IntRatePrem))^(A98+0.5)</f>
        <v/>
      </c>
      <c r="G98" s="32">
        <f>IF(A98&gt;=110,E98,G99+E98)</f>
        <v/>
      </c>
      <c r="H98" s="35">
        <f>IF(A98&gt;=110,E98,H99+F98)</f>
        <v/>
      </c>
    </row>
    <row r="99">
      <c r="A99" s="30">
        <f>A98+1</f>
        <v/>
      </c>
      <c r="B99" s="31">
        <f>INDEX(MortGrid,A99+1,PremMortCol)</f>
        <v/>
      </c>
      <c r="C99" s="32">
        <f>C98-D98</f>
        <v/>
      </c>
      <c r="D99" s="32">
        <f>C99*B99</f>
        <v/>
      </c>
      <c r="E99" s="33">
        <f>C99*(1/(1+IntRatePrem))^A99</f>
        <v/>
      </c>
      <c r="F99" s="34">
        <f>D99*(1/(1+IntRatePrem))^(A99+0.5)</f>
        <v/>
      </c>
      <c r="G99" s="32">
        <f>IF(A99&gt;=110,E99,G100+E99)</f>
        <v/>
      </c>
      <c r="H99" s="35">
        <f>IF(A99&gt;=110,E99,H100+F99)</f>
        <v/>
      </c>
    </row>
    <row r="100">
      <c r="A100" s="30">
        <f>A99+1</f>
        <v/>
      </c>
      <c r="B100" s="31">
        <f>INDEX(MortGrid,A100+1,PremMortCol)</f>
        <v/>
      </c>
      <c r="C100" s="32">
        <f>C99-D99</f>
        <v/>
      </c>
      <c r="D100" s="32">
        <f>C100*B100</f>
        <v/>
      </c>
      <c r="E100" s="33">
        <f>C100*(1/(1+IntRatePrem))^A100</f>
        <v/>
      </c>
      <c r="F100" s="34">
        <f>D100*(1/(1+IntRatePrem))^(A100+0.5)</f>
        <v/>
      </c>
      <c r="G100" s="32">
        <f>IF(A100&gt;=110,E100,G101+E100)</f>
        <v/>
      </c>
      <c r="H100" s="35">
        <f>IF(A100&gt;=110,E100,H101+F100)</f>
        <v/>
      </c>
    </row>
    <row r="101">
      <c r="A101" s="30">
        <f>A100+1</f>
        <v/>
      </c>
      <c r="B101" s="31">
        <f>INDEX(MortGrid,A101+1,PremMortCol)</f>
        <v/>
      </c>
      <c r="C101" s="32">
        <f>C100-D100</f>
        <v/>
      </c>
      <c r="D101" s="32">
        <f>C101*B101</f>
        <v/>
      </c>
      <c r="E101" s="33">
        <f>C101*(1/(1+IntRatePrem))^A101</f>
        <v/>
      </c>
      <c r="F101" s="34">
        <f>D101*(1/(1+IntRatePrem))^(A101+0.5)</f>
        <v/>
      </c>
      <c r="G101" s="32">
        <f>IF(A101&gt;=110,E101,G102+E101)</f>
        <v/>
      </c>
      <c r="H101" s="35">
        <f>IF(A101&gt;=110,E101,H102+F101)</f>
        <v/>
      </c>
    </row>
    <row r="102">
      <c r="A102" s="30">
        <f>A101+1</f>
        <v/>
      </c>
      <c r="B102" s="31">
        <f>INDEX(MortGrid,A102+1,PremMortCol)</f>
        <v/>
      </c>
      <c r="C102" s="32">
        <f>C101-D101</f>
        <v/>
      </c>
      <c r="D102" s="32">
        <f>C102*B102</f>
        <v/>
      </c>
      <c r="E102" s="33">
        <f>C102*(1/(1+IntRatePrem))^A102</f>
        <v/>
      </c>
      <c r="F102" s="34">
        <f>D102*(1/(1+IntRatePrem))^(A102+0.5)</f>
        <v/>
      </c>
      <c r="G102" s="32">
        <f>IF(A102&gt;=110,E102,G103+E102)</f>
        <v/>
      </c>
      <c r="H102" s="35">
        <f>IF(A102&gt;=110,E102,H103+F102)</f>
        <v/>
      </c>
    </row>
    <row r="103">
      <c r="A103" s="30">
        <f>A102+1</f>
        <v/>
      </c>
      <c r="B103" s="31">
        <f>INDEX(MortGrid,A103+1,PremMortCol)</f>
        <v/>
      </c>
      <c r="C103" s="32">
        <f>C102-D102</f>
        <v/>
      </c>
      <c r="D103" s="32">
        <f>C103*B103</f>
        <v/>
      </c>
      <c r="E103" s="33">
        <f>C103*(1/(1+IntRatePrem))^A103</f>
        <v/>
      </c>
      <c r="F103" s="34">
        <f>D103*(1/(1+IntRatePrem))^(A103+0.5)</f>
        <v/>
      </c>
      <c r="G103" s="32">
        <f>IF(A103&gt;=110,E103,G104+E103)</f>
        <v/>
      </c>
      <c r="H103" s="35">
        <f>IF(A103&gt;=110,E103,H104+F103)</f>
        <v/>
      </c>
    </row>
    <row r="104">
      <c r="A104" s="30">
        <f>A103+1</f>
        <v/>
      </c>
      <c r="B104" s="31">
        <f>INDEX(MortGrid,A104+1,PremMortCol)</f>
        <v/>
      </c>
      <c r="C104" s="32">
        <f>C103-D103</f>
        <v/>
      </c>
      <c r="D104" s="32">
        <f>C104*B104</f>
        <v/>
      </c>
      <c r="E104" s="33">
        <f>C104*(1/(1+IntRatePrem))^A104</f>
        <v/>
      </c>
      <c r="F104" s="34">
        <f>D104*(1/(1+IntRatePrem))^(A104+0.5)</f>
        <v/>
      </c>
      <c r="G104" s="32">
        <f>IF(A104&gt;=110,E104,G105+E104)</f>
        <v/>
      </c>
      <c r="H104" s="35">
        <f>IF(A104&gt;=110,E104,H105+F104)</f>
        <v/>
      </c>
    </row>
    <row r="105">
      <c r="A105" s="30">
        <f>A104+1</f>
        <v/>
      </c>
      <c r="B105" s="31">
        <f>INDEX(MortGrid,A105+1,PremMortCol)</f>
        <v/>
      </c>
      <c r="C105" s="32">
        <f>C104-D104</f>
        <v/>
      </c>
      <c r="D105" s="32">
        <f>C105*B105</f>
        <v/>
      </c>
      <c r="E105" s="33">
        <f>C105*(1/(1+IntRatePrem))^A105</f>
        <v/>
      </c>
      <c r="F105" s="34">
        <f>D105*(1/(1+IntRatePrem))^(A105+0.5)</f>
        <v/>
      </c>
      <c r="G105" s="32">
        <f>IF(A105&gt;=110,E105,G106+E105)</f>
        <v/>
      </c>
      <c r="H105" s="35">
        <f>IF(A105&gt;=110,E105,H106+F105)</f>
        <v/>
      </c>
    </row>
    <row r="106">
      <c r="A106" s="30">
        <f>A105+1</f>
        <v/>
      </c>
      <c r="B106" s="31">
        <f>INDEX(MortGrid,A106+1,PremMortCol)</f>
        <v/>
      </c>
      <c r="C106" s="32">
        <f>C105-D105</f>
        <v/>
      </c>
      <c r="D106" s="32">
        <f>C106*B106</f>
        <v/>
      </c>
      <c r="E106" s="33">
        <f>C106*(1/(1+IntRatePrem))^A106</f>
        <v/>
      </c>
      <c r="F106" s="34">
        <f>D106*(1/(1+IntRatePrem))^(A106+0.5)</f>
        <v/>
      </c>
      <c r="G106" s="32">
        <f>IF(A106&gt;=110,E106,G107+E106)</f>
        <v/>
      </c>
      <c r="H106" s="35">
        <f>IF(A106&gt;=110,E106,H107+F106)</f>
        <v/>
      </c>
    </row>
    <row r="107">
      <c r="A107" s="30">
        <f>A106+1</f>
        <v/>
      </c>
      <c r="B107" s="31">
        <f>INDEX(MortGrid,A107+1,PremMortCol)</f>
        <v/>
      </c>
      <c r="C107" s="32">
        <f>C106-D106</f>
        <v/>
      </c>
      <c r="D107" s="32">
        <f>C107*B107</f>
        <v/>
      </c>
      <c r="E107" s="33">
        <f>C107*(1/(1+IntRatePrem))^A107</f>
        <v/>
      </c>
      <c r="F107" s="34">
        <f>D107*(1/(1+IntRatePrem))^(A107+0.5)</f>
        <v/>
      </c>
      <c r="G107" s="32">
        <f>IF(A107&gt;=110,E107,G108+E107)</f>
        <v/>
      </c>
      <c r="H107" s="35">
        <f>IF(A107&gt;=110,E107,H108+F107)</f>
        <v/>
      </c>
    </row>
    <row r="108">
      <c r="A108" s="30">
        <f>A107+1</f>
        <v/>
      </c>
      <c r="B108" s="31">
        <f>INDEX(MortGrid,A108+1,PremMortCol)</f>
        <v/>
      </c>
      <c r="C108" s="32">
        <f>C107-D107</f>
        <v/>
      </c>
      <c r="D108" s="32">
        <f>C108*B108</f>
        <v/>
      </c>
      <c r="E108" s="33">
        <f>C108*(1/(1+IntRatePrem))^A108</f>
        <v/>
      </c>
      <c r="F108" s="34">
        <f>D108*(1/(1+IntRatePrem))^(A108+0.5)</f>
        <v/>
      </c>
      <c r="G108" s="32">
        <f>IF(A108&gt;=110,E108,G109+E108)</f>
        <v/>
      </c>
      <c r="H108" s="35">
        <f>IF(A108&gt;=110,E108,H109+F108)</f>
        <v/>
      </c>
    </row>
    <row r="109">
      <c r="A109" s="30">
        <f>A108+1</f>
        <v/>
      </c>
      <c r="B109" s="31">
        <f>INDEX(MortGrid,A109+1,PremMortCol)</f>
        <v/>
      </c>
      <c r="C109" s="32">
        <f>C108-D108</f>
        <v/>
      </c>
      <c r="D109" s="32">
        <f>C109*B109</f>
        <v/>
      </c>
      <c r="E109" s="33">
        <f>C109*(1/(1+IntRatePrem))^A109</f>
        <v/>
      </c>
      <c r="F109" s="34">
        <f>D109*(1/(1+IntRatePrem))^(A109+0.5)</f>
        <v/>
      </c>
      <c r="G109" s="32">
        <f>IF(A109&gt;=110,E109,G110+E109)</f>
        <v/>
      </c>
      <c r="H109" s="35">
        <f>IF(A109&gt;=110,E109,H110+F109)</f>
        <v/>
      </c>
    </row>
    <row r="110">
      <c r="A110" s="30">
        <f>A109+1</f>
        <v/>
      </c>
      <c r="B110" s="31">
        <f>INDEX(MortGrid,A110+1,PremMortCol)</f>
        <v/>
      </c>
      <c r="C110" s="32">
        <f>C109-D109</f>
        <v/>
      </c>
      <c r="D110" s="32">
        <f>C110*B110</f>
        <v/>
      </c>
      <c r="E110" s="33">
        <f>C110*(1/(1+IntRatePrem))^A110</f>
        <v/>
      </c>
      <c r="F110" s="34">
        <f>D110*(1/(1+IntRatePrem))^(A110+0.5)</f>
        <v/>
      </c>
      <c r="G110" s="32">
        <f>IF(A110&gt;=110,E110,G111+E110)</f>
        <v/>
      </c>
      <c r="H110" s="35">
        <f>IF(A110&gt;=110,E110,H111+F110)</f>
        <v/>
      </c>
    </row>
    <row r="111">
      <c r="A111" s="30">
        <f>A110+1</f>
        <v/>
      </c>
      <c r="B111" s="31">
        <f>INDEX(MortGrid,A111+1,PremMortCol)</f>
        <v/>
      </c>
      <c r="C111" s="32">
        <f>C110-D110</f>
        <v/>
      </c>
      <c r="D111" s="32">
        <f>C111*B111</f>
        <v/>
      </c>
      <c r="E111" s="33">
        <f>C111*(1/(1+IntRatePrem))^A111</f>
        <v/>
      </c>
      <c r="F111" s="34">
        <f>D111*(1/(1+IntRatePrem))^(A111+0.5)</f>
        <v/>
      </c>
      <c r="G111" s="32">
        <f>IF(A111&gt;=110,E111,G112+E111)</f>
        <v/>
      </c>
      <c r="H111" s="35">
        <f>IF(A111&gt;=110,E111,H112+F111)</f>
        <v/>
      </c>
    </row>
    <row r="112">
      <c r="A112" s="30">
        <f>A111+1</f>
        <v/>
      </c>
      <c r="B112" s="31">
        <f>INDEX(MortGrid,A112+1,PremMortCol)</f>
        <v/>
      </c>
      <c r="C112" s="32">
        <f>C111-D111</f>
        <v/>
      </c>
      <c r="D112" s="32">
        <f>C112*B112</f>
        <v/>
      </c>
      <c r="E112" s="33">
        <f>C112*(1/(1+IntRatePrem))^A112</f>
        <v/>
      </c>
      <c r="F112" s="34">
        <f>D112*(1/(1+IntRatePrem))^(A112+0.5)</f>
        <v/>
      </c>
      <c r="G112" s="32">
        <f>IF(A112&gt;=110,E112,G113+E112)</f>
        <v/>
      </c>
      <c r="H112" s="35">
        <f>IF(A112&gt;=110,E112,H113+F112)</f>
        <v/>
      </c>
    </row>
    <row r="113">
      <c r="A113" s="30">
        <f>A112+1</f>
        <v/>
      </c>
      <c r="B113" s="31">
        <f>INDEX(MortGrid,A113+1,PremMortCol)</f>
        <v/>
      </c>
      <c r="C113" s="32">
        <f>C112-D112</f>
        <v/>
      </c>
      <c r="D113" s="32">
        <f>C113*B113</f>
        <v/>
      </c>
      <c r="E113" s="33">
        <f>C113*(1/(1+IntRatePrem))^A113</f>
        <v/>
      </c>
      <c r="F113" s="34">
        <f>D113*(1/(1+IntRatePrem))^(A113+0.5)</f>
        <v/>
      </c>
      <c r="G113" s="32">
        <f>IF(A113&gt;=110,E113,G114+E113)</f>
        <v/>
      </c>
      <c r="H113" s="35">
        <f>IF(A113&gt;=110,E113,H114+F113)</f>
        <v/>
      </c>
    </row>
    <row r="114">
      <c r="A114" s="30">
        <f>A113+1</f>
        <v/>
      </c>
      <c r="B114" s="31">
        <f>INDEX(MortGrid,A114+1,PremMortCol)</f>
        <v/>
      </c>
      <c r="C114" s="32">
        <f>C113-D113</f>
        <v/>
      </c>
      <c r="D114" s="32">
        <f>C114*B114</f>
        <v/>
      </c>
      <c r="E114" s="33">
        <f>C114*(1/(1+IntRatePrem))^A114</f>
        <v/>
      </c>
      <c r="F114" s="34">
        <f>D114*(1/(1+IntRatePrem))^(A114+0.5)</f>
        <v/>
      </c>
      <c r="G114" s="32">
        <f>IF(A114&gt;=110,E114,G115+E114)</f>
        <v/>
      </c>
      <c r="H114" s="35">
        <f>IF(A114&gt;=110,E114,H115+F114)</f>
        <v/>
      </c>
    </row>
    <row r="115">
      <c r="A115" s="30">
        <f>A114+1</f>
        <v/>
      </c>
      <c r="B115" s="31">
        <f>INDEX(MortGrid,A115+1,PremMortCol)</f>
        <v/>
      </c>
      <c r="C115" s="32">
        <f>C114-D114</f>
        <v/>
      </c>
      <c r="D115" s="32">
        <f>C115*B115</f>
        <v/>
      </c>
      <c r="E115" s="33">
        <f>C115*(1/(1+IntRatePrem))^A115</f>
        <v/>
      </c>
      <c r="F115" s="34">
        <f>D115*(1/(1+IntRatePrem))^(A115+0.5)</f>
        <v/>
      </c>
      <c r="G115" s="32">
        <f>IF(A115&gt;=110,E115,G116+E115)</f>
        <v/>
      </c>
      <c r="H115" s="35">
        <f>IF(A115&gt;=110,E115,H116+F115)</f>
        <v/>
      </c>
    </row>
    <row r="116">
      <c r="A116" s="30">
        <f>A115+1</f>
        <v/>
      </c>
      <c r="B116" s="31">
        <f>INDEX(MortGrid,A116+1,PremMortCol)</f>
        <v/>
      </c>
      <c r="C116" s="32">
        <f>C115-D115</f>
        <v/>
      </c>
      <c r="D116" s="32">
        <f>C116*B116</f>
        <v/>
      </c>
      <c r="E116" s="33">
        <f>C116*(1/(1+IntRatePrem))^A116</f>
        <v/>
      </c>
      <c r="F116" s="34">
        <f>D116*(1/(1+IntRatePrem))^(A116+0.5)</f>
        <v/>
      </c>
      <c r="G116" s="32">
        <f>IF(A116&gt;=110,E116,G117+E116)</f>
        <v/>
      </c>
      <c r="H116" s="35">
        <f>IF(A116&gt;=110,E116,H117+F116)</f>
        <v/>
      </c>
    </row>
    <row r="117">
      <c r="A117" s="30">
        <f>A116+1</f>
        <v/>
      </c>
      <c r="B117" s="31">
        <f>INDEX(MortGrid,A117+1,PremMortCol)</f>
        <v/>
      </c>
      <c r="C117" s="32">
        <f>C116-D116</f>
        <v/>
      </c>
      <c r="D117" s="32">
        <f>C117*B117</f>
        <v/>
      </c>
      <c r="E117" s="33">
        <f>C117*(1/(1+IntRatePrem))^A117</f>
        <v/>
      </c>
      <c r="F117" s="34">
        <f>D117*(1/(1+IntRatePrem))^(A117+0.5)</f>
        <v/>
      </c>
      <c r="G117" s="32">
        <f>IF(A117&gt;=110,E117,G118+E117)</f>
        <v/>
      </c>
      <c r="H117" s="35">
        <f>IF(A117&gt;=110,E117,H118+F117)</f>
        <v/>
      </c>
    </row>
    <row r="118">
      <c r="A118" s="30">
        <f>A117+1</f>
        <v/>
      </c>
      <c r="B118" s="31">
        <f>INDEX(MortGrid,A118+1,PremMortCol)</f>
        <v/>
      </c>
      <c r="C118" s="32">
        <f>C117-D117</f>
        <v/>
      </c>
      <c r="D118" s="32">
        <f>C118*B118</f>
        <v/>
      </c>
      <c r="E118" s="33">
        <f>C118*(1/(1+IntRatePrem))^A118</f>
        <v/>
      </c>
      <c r="F118" s="34">
        <f>D118*(1/(1+IntRatePrem))^(A118+0.5)</f>
        <v/>
      </c>
      <c r="G118" s="32">
        <f>IF(A118&gt;=110,E118,G119+E118)</f>
        <v/>
      </c>
      <c r="H118" s="35">
        <f>IF(A118&gt;=110,E118,H119+F118)</f>
        <v/>
      </c>
    </row>
    <row r="119">
      <c r="A119" s="30">
        <f>A118+1</f>
        <v/>
      </c>
      <c r="B119" s="31">
        <f>INDEX(MortGrid,A119+1,PremMortCol)</f>
        <v/>
      </c>
      <c r="C119" s="32">
        <f>C118-D118</f>
        <v/>
      </c>
      <c r="D119" s="32">
        <f>C119*B119</f>
        <v/>
      </c>
      <c r="E119" s="33">
        <f>C119*(1/(1+IntRatePrem))^A119</f>
        <v/>
      </c>
      <c r="F119" s="34">
        <f>D119*(1/(1+IntRatePrem))^(A119+0.5)</f>
        <v/>
      </c>
      <c r="G119" s="32">
        <f>IF(A119&gt;=110,E119,G120+E119)</f>
        <v/>
      </c>
      <c r="H119" s="35">
        <f>IF(A119&gt;=110,E119,H120+F119)</f>
        <v/>
      </c>
    </row>
    <row r="120">
      <c r="A120" s="30">
        <f>A119+1</f>
        <v/>
      </c>
      <c r="B120" s="31">
        <f>INDEX(MortGrid,A120+1,PremMortCol)</f>
        <v/>
      </c>
      <c r="C120" s="32">
        <f>C119-D119</f>
        <v/>
      </c>
      <c r="D120" s="32">
        <f>C120*B120</f>
        <v/>
      </c>
      <c r="E120" s="33">
        <f>C120*(1/(1+IntRatePrem))^A120</f>
        <v/>
      </c>
      <c r="F120" s="34">
        <f>D120*(1/(1+IntRatePrem))^(A120+0.5)</f>
        <v/>
      </c>
      <c r="G120" s="32">
        <f>IF(A120&gt;=110,E120,G121+E120)</f>
        <v/>
      </c>
      <c r="H120" s="35">
        <f>IF(A120&gt;=110,E120,H121+F120)</f>
        <v/>
      </c>
    </row>
    <row r="121">
      <c r="A121" s="30">
        <f>A120+1</f>
        <v/>
      </c>
      <c r="B121" s="31">
        <f>INDEX(MortGrid,A121+1,PremMortCol)</f>
        <v/>
      </c>
      <c r="C121" s="32">
        <f>C120-D120</f>
        <v/>
      </c>
      <c r="D121" s="32">
        <f>C121*B121</f>
        <v/>
      </c>
      <c r="E121" s="33">
        <f>C121*(1/(1+IntRatePrem))^A121</f>
        <v/>
      </c>
      <c r="F121" s="34">
        <f>D121*(1/(1+IntRatePrem))^(A121+0.5)</f>
        <v/>
      </c>
      <c r="G121" s="32">
        <f>IF(A121&gt;=110,E121,G122+E121)</f>
        <v/>
      </c>
      <c r="H121" s="35">
        <f>IF(A121&gt;=110,E121,H122+F121)</f>
        <v/>
      </c>
    </row>
    <row r="122">
      <c r="A122" s="30">
        <f>A121+1</f>
        <v/>
      </c>
      <c r="B122" s="31">
        <f>INDEX(MortGrid,A122+1,PremMortCol)</f>
        <v/>
      </c>
      <c r="C122" s="32">
        <f>C121-D121</f>
        <v/>
      </c>
      <c r="D122" s="32">
        <f>C122*B122</f>
        <v/>
      </c>
      <c r="E122" s="33">
        <f>C122*(1/(1+IntRatePrem))^A122</f>
        <v/>
      </c>
      <c r="F122" s="34">
        <f>D122*(1/(1+IntRatePrem))^(A122+0.5)</f>
        <v/>
      </c>
      <c r="G122" s="32">
        <f>IF(A122&gt;=110,E122,G123+E122)</f>
        <v/>
      </c>
      <c r="H122" s="35">
        <f>IF(A122&gt;=110,E122,H123+F122)</f>
        <v/>
      </c>
    </row>
    <row r="123">
      <c r="A123" s="30">
        <f>A122+1</f>
        <v/>
      </c>
      <c r="B123" s="31">
        <f>INDEX(MortGrid,A123+1,PremMortCol)</f>
        <v/>
      </c>
      <c r="C123" s="32">
        <f>C122-D122</f>
        <v/>
      </c>
      <c r="D123" s="32">
        <f>C123*B123</f>
        <v/>
      </c>
      <c r="E123" s="33">
        <f>C123*(1/(1+IntRatePrem))^A123</f>
        <v/>
      </c>
      <c r="F123" s="34">
        <f>D123*(1/(1+IntRatePrem))^(A123+0.5)</f>
        <v/>
      </c>
      <c r="G123" s="32">
        <f>IF(A123&gt;=110,E123,G124+E123)</f>
        <v/>
      </c>
      <c r="H123" s="35">
        <f>IF(A123&gt;=110,E123,H124+F123)</f>
        <v/>
      </c>
    </row>
    <row r="124">
      <c r="A124" s="30">
        <f>A123+1</f>
        <v/>
      </c>
      <c r="B124" s="31">
        <f>INDEX(MortGrid,A124+1,PremMortCol)</f>
        <v/>
      </c>
      <c r="C124" s="32">
        <f>C123-D123</f>
        <v/>
      </c>
      <c r="D124" s="32">
        <f>C124*B124</f>
        <v/>
      </c>
      <c r="E124" s="33">
        <f>C124*(1/(1+IntRatePrem))^A124</f>
        <v/>
      </c>
      <c r="F124" s="34">
        <f>D124*(1/(1+IntRatePrem))^(A124+0.5)</f>
        <v/>
      </c>
      <c r="G124" s="32">
        <f>IF(A124&gt;=110,E124,G125+E124)</f>
        <v/>
      </c>
      <c r="H124" s="35">
        <f>IF(A124&gt;=110,E124,H125+F124)</f>
        <v/>
      </c>
    </row>
    <row r="125">
      <c r="A125" s="30">
        <f>A124+1</f>
        <v/>
      </c>
      <c r="B125" s="31">
        <f>INDEX(MortGrid,A125+1,PremMortCol)</f>
        <v/>
      </c>
      <c r="C125" s="32">
        <f>C124-D124</f>
        <v/>
      </c>
      <c r="D125" s="32">
        <f>C125*B125</f>
        <v/>
      </c>
      <c r="E125" s="33">
        <f>C125*(1/(1+IntRatePrem))^A125</f>
        <v/>
      </c>
      <c r="F125" s="34">
        <f>D125*(1/(1+IntRatePrem))^(A125+0.5)</f>
        <v/>
      </c>
      <c r="G125" s="32">
        <f>IF(A125&gt;=110,E125,G126+E125)</f>
        <v/>
      </c>
      <c r="H125" s="35">
        <f>IF(A125&gt;=110,E125,H126+F125)</f>
        <v/>
      </c>
    </row>
    <row r="126">
      <c r="A126" s="30">
        <f>A125+1</f>
        <v/>
      </c>
      <c r="B126" s="31">
        <f>INDEX(MortGrid,A126+1,PremMortCol)</f>
        <v/>
      </c>
      <c r="C126" s="32">
        <f>C125-D125</f>
        <v/>
      </c>
      <c r="D126" s="32">
        <f>C126*B126</f>
        <v/>
      </c>
      <c r="E126" s="33">
        <f>C126*(1/(1+IntRatePrem))^A126</f>
        <v/>
      </c>
      <c r="F126" s="34">
        <f>D126*(1/(1+IntRatePrem))^(A126+0.5)</f>
        <v/>
      </c>
      <c r="G126" s="32">
        <f>IF(A126&gt;=110,E126,G127+E126)</f>
        <v/>
      </c>
      <c r="H126" s="35">
        <f>IF(A126&gt;=110,E126,H127+F126)</f>
        <v/>
      </c>
    </row>
    <row r="127">
      <c r="A127" s="30">
        <f>A126+1</f>
        <v/>
      </c>
      <c r="B127" s="31">
        <f>INDEX(MortGrid,A127+1,PremMortCol)</f>
        <v/>
      </c>
      <c r="C127" s="32">
        <f>C126-D126</f>
        <v/>
      </c>
      <c r="D127" s="32">
        <f>C127*B127</f>
        <v/>
      </c>
      <c r="E127" s="33">
        <f>C127*(1/(1+IntRatePrem))^A127</f>
        <v/>
      </c>
      <c r="F127" s="34">
        <f>D127*(1/(1+IntRatePrem))^(A127+0.5)</f>
        <v/>
      </c>
      <c r="G127" s="32">
        <f>IF(A127&gt;=110,E127,G128+E127)</f>
        <v/>
      </c>
      <c r="H127" s="35">
        <f>IF(A127&gt;=110,E127,H128+F127)</f>
        <v/>
      </c>
    </row>
    <row r="128">
      <c r="A128" s="30">
        <f>A127+1</f>
        <v/>
      </c>
      <c r="B128" s="31">
        <f>INDEX(MortGrid,A128+1,PremMortCol)</f>
        <v/>
      </c>
      <c r="C128" s="32">
        <f>C127-D127</f>
        <v/>
      </c>
      <c r="D128" s="32">
        <f>C128*B128</f>
        <v/>
      </c>
      <c r="E128" s="33">
        <f>C128*(1/(1+IntRatePrem))^A128</f>
        <v/>
      </c>
      <c r="F128" s="34">
        <f>D128*(1/(1+IntRatePrem))^(A128+0.5)</f>
        <v/>
      </c>
      <c r="G128" s="32">
        <f>IF(A128&gt;=110,E128,G129+E128)</f>
        <v/>
      </c>
      <c r="H128" s="35">
        <f>IF(A128&gt;=110,E128,H129+F128)</f>
        <v/>
      </c>
    </row>
    <row r="129">
      <c r="A129" s="30">
        <f>A128+1</f>
        <v/>
      </c>
      <c r="B129" s="31">
        <f>INDEX(MortGrid,A129+1,PremMortCol)</f>
        <v/>
      </c>
      <c r="C129" s="32">
        <f>C128-D128</f>
        <v/>
      </c>
      <c r="D129" s="32">
        <f>C129*B129</f>
        <v/>
      </c>
      <c r="E129" s="33">
        <f>C129*(1/(1+IntRatePrem))^A129</f>
        <v/>
      </c>
      <c r="F129" s="34">
        <f>D129*(1/(1+IntRatePrem))^(A129+0.5)</f>
        <v/>
      </c>
      <c r="G129" s="32">
        <f>IF(A129&gt;=110,E129,G130+E129)</f>
        <v/>
      </c>
      <c r="H129" s="35">
        <f>IF(A129&gt;=110,E129,H130+F129)</f>
        <v/>
      </c>
    </row>
    <row r="130">
      <c r="A130" s="30">
        <f>A129+1</f>
        <v/>
      </c>
      <c r="B130" s="31">
        <f>INDEX(MortGrid,A130+1,PremMortCol)</f>
        <v/>
      </c>
      <c r="C130" s="32">
        <f>C129-D129</f>
        <v/>
      </c>
      <c r="D130" s="32">
        <f>C130*B130</f>
        <v/>
      </c>
      <c r="E130" s="33">
        <f>C130*(1/(1+IntRatePrem))^A130</f>
        <v/>
      </c>
      <c r="F130" s="34">
        <f>D130*(1/(1+IntRatePrem))^(A130+0.5)</f>
        <v/>
      </c>
      <c r="G130" s="32">
        <f>IF(A130&gt;=110,E130,G131+E130)</f>
        <v/>
      </c>
      <c r="H130" s="35">
        <f>IF(A130&gt;=110,E130,H131+F130)</f>
        <v/>
      </c>
    </row>
    <row r="131">
      <c r="A131" s="30">
        <f>A130+1</f>
        <v/>
      </c>
      <c r="B131" s="31">
        <f>INDEX(MortGrid,A131+1,PremMortCol)</f>
        <v/>
      </c>
      <c r="C131" s="32">
        <f>C130-D130</f>
        <v/>
      </c>
      <c r="D131" s="32">
        <f>C131*B131</f>
        <v/>
      </c>
      <c r="E131" s="33">
        <f>C131*(1/(1+IntRatePrem))^A131</f>
        <v/>
      </c>
      <c r="F131" s="34">
        <f>D131*(1/(1+IntRatePrem))^(A131+0.5)</f>
        <v/>
      </c>
      <c r="G131" s="32">
        <f>IF(A131&gt;=110,E131,G132+E131)</f>
        <v/>
      </c>
      <c r="H131" s="35">
        <f>IF(A131&gt;=110,E131,H132+F131)</f>
        <v/>
      </c>
    </row>
    <row r="132">
      <c r="A132" s="30">
        <f>A131+1</f>
        <v/>
      </c>
      <c r="B132" s="31">
        <f>INDEX(MortGrid,A132+1,PremMortCol)</f>
        <v/>
      </c>
      <c r="C132" s="32">
        <f>C131-D131</f>
        <v/>
      </c>
      <c r="D132" s="32">
        <f>C132*B132</f>
        <v/>
      </c>
      <c r="E132" s="33">
        <f>C132*(1/(1+IntRatePrem))^A132</f>
        <v/>
      </c>
      <c r="F132" s="34">
        <f>D132*(1/(1+IntRatePrem))^(A132+0.5)</f>
        <v/>
      </c>
      <c r="G132" s="32">
        <f>IF(A132&gt;=110,E132,G133+E132)</f>
        <v/>
      </c>
      <c r="H132" s="35">
        <f>IF(A132&gt;=110,E132,H133+F132)</f>
        <v/>
      </c>
    </row>
    <row r="133">
      <c r="A133" s="30">
        <f>A132+1</f>
        <v/>
      </c>
      <c r="B133" s="31">
        <f>INDEX(MortGrid,A133+1,PremMortCol)</f>
        <v/>
      </c>
      <c r="C133" s="32">
        <f>C132-D132</f>
        <v/>
      </c>
      <c r="D133" s="32">
        <f>C133*B133</f>
        <v/>
      </c>
      <c r="E133" s="33">
        <f>C133*(1/(1+IntRatePrem))^A133</f>
        <v/>
      </c>
      <c r="F133" s="34">
        <f>D133*(1/(1+IntRatePrem))^(A133+0.5)</f>
        <v/>
      </c>
      <c r="G133" s="32">
        <f>IF(A133&gt;=110,E133,G134+E133)</f>
        <v/>
      </c>
      <c r="H133" s="35">
        <f>IF(A133&gt;=110,E133,H134+F133)</f>
        <v/>
      </c>
    </row>
    <row r="134">
      <c r="A134" s="30">
        <f>A133+1</f>
        <v/>
      </c>
      <c r="B134" s="31">
        <f>INDEX(MortGrid,A134+1,PremMortCol)</f>
        <v/>
      </c>
      <c r="C134" s="32">
        <f>C133-D133</f>
        <v/>
      </c>
      <c r="D134" s="32">
        <f>C134*B134</f>
        <v/>
      </c>
      <c r="E134" s="33">
        <f>C134*(1/(1+IntRatePrem))^A134</f>
        <v/>
      </c>
      <c r="F134" s="34">
        <f>D134*(1/(1+IntRatePrem))^(A134+0.5)</f>
        <v/>
      </c>
      <c r="G134" s="32">
        <f>IF(A134&gt;=110,E134,G135+E134)</f>
        <v/>
      </c>
      <c r="H134" s="35">
        <f>IF(A134&gt;=110,E134,H135+F134)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11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1" customWidth="1" min="4" max="4"/>
    <col width="12" customWidth="1" min="5" max="5"/>
    <col width="14" customWidth="1" min="6" max="6"/>
    <col width="12" customWidth="1" min="7" max="7"/>
    <col width="12" customWidth="1" min="8" max="8"/>
    <col width="13" customWidth="1" min="9" max="9"/>
    <col width="13" customWidth="1" min="10" max="10"/>
    <col width="10" customWidth="1" min="11" max="11"/>
  </cols>
  <sheetData>
    <row r="1">
      <c r="A1" s="3" t="inlineStr">
        <is>
          <t>Per-policy schedule shared by all stress projections (lifelib pol/asmp/scen cells are policy-level and common to every Projection[risk, shock])</t>
        </is>
      </c>
    </row>
    <row r="5">
      <c r="A5" s="10" t="inlineStr">
        <is>
          <t>t</t>
        </is>
      </c>
      <c r="B5" s="10" t="inlineStr">
        <is>
          <t>Attained age</t>
        </is>
      </c>
      <c r="C5" s="10" t="inlineStr">
        <is>
          <t>Base mortality qx</t>
        </is>
      </c>
      <c r="D5" s="10" t="inlineStr">
        <is>
          <t>Mortality factor</t>
        </is>
      </c>
      <c r="E5" s="10" t="inlineStr">
        <is>
          <t>Surrender rate (base)</t>
        </is>
      </c>
      <c r="F5" s="10" t="inlineStr">
        <is>
          <t>NLP reserve rate (PREM)</t>
        </is>
      </c>
      <c r="G5" s="10" t="inlineStr">
        <is>
          <t>Surrender charge rate</t>
        </is>
      </c>
      <c r="H5" s="10" t="inlineStr">
        <is>
          <t>Cash value rate</t>
        </is>
      </c>
      <c r="I5" s="10" t="inlineStr">
        <is>
          <t>Surrender benefit pp</t>
        </is>
      </c>
      <c r="J5" s="10" t="inlineStr">
        <is>
          <t>Renewal commission pp</t>
        </is>
      </c>
      <c r="K5" s="10" t="inlineStr">
        <is>
          <t>Discount rate</t>
        </is>
      </c>
    </row>
    <row r="6">
      <c r="A6" s="14" t="inlineStr">
        <is>
          <t>t</t>
        </is>
      </c>
      <c r="B6" s="14" t="inlineStr">
        <is>
          <t>AttAge</t>
        </is>
      </c>
      <c r="C6" s="14" t="inlineStr">
        <is>
          <t>BaseMortRate</t>
        </is>
      </c>
      <c r="D6" s="14" t="inlineStr">
        <is>
          <t>MortFactor</t>
        </is>
      </c>
      <c r="E6" s="14" t="inlineStr">
        <is>
          <t>SurrRate</t>
        </is>
      </c>
      <c r="F6" s="14" t="inlineStr">
        <is>
          <t>ReserveNLP_Rate</t>
        </is>
      </c>
      <c r="G6" s="14" t="inlineStr">
        <is>
          <t>SurrCharge</t>
        </is>
      </c>
      <c r="H6" s="14" t="inlineStr">
        <is>
          <t>CashValueRate</t>
        </is>
      </c>
      <c r="I6" s="14" t="inlineStr">
        <is>
          <t>SizeBenefitSurr</t>
        </is>
      </c>
      <c r="J6" s="14" t="inlineStr">
        <is>
          <t>SizeExpsCommRen</t>
        </is>
      </c>
      <c r="K6" s="14" t="inlineStr">
        <is>
          <t>DiscRate</t>
        </is>
      </c>
    </row>
    <row r="7">
      <c r="A7" s="30" t="n">
        <v>0</v>
      </c>
      <c r="B7" s="30">
        <f>IssueAge+A7</f>
        <v/>
      </c>
      <c r="C7" s="31">
        <f>IF($A7&gt;LastT,0,INDEX(MortGrid,B7+1,BaseMortCol))</f>
        <v/>
      </c>
      <c r="D7" s="31">
        <f>IF($A7&gt;LastT,0,INDEX(AsmpTblGrid,MIN(A7,19)+1,MortFactorCol))</f>
        <v/>
      </c>
      <c r="E7" s="36">
        <f>IF($A7&gt;LastT,0,INDEX(AsmpTblGrid,MIN(A7,19)+1,SurrCol))</f>
        <v/>
      </c>
      <c r="F7" s="37">
        <f>IF($A7&gt;LastT+1,0,IF(INDEX(Comm_Dx,B7+1)=0,0,(INDEX(Comm_Mx,B7+1)-Mx_xn+LoadMaintSA2*(Nx_xn-Nx_xn)-IF(A7&lt;=PolicyTerm,NetPremRatePrem*(INDEX(Comm_Nx,B7+1)-Nx_xn),0))/INDEX(Comm_Dx,B7+1)))</f>
        <v/>
      </c>
      <c r="G7" s="37">
        <f>IF($A7&gt;LastT+1,0,InitSurrCharge*MAX((MIN(PolicyTerm,10)-A7)/MIN(PolicyTerm,10),0))</f>
        <v/>
      </c>
      <c r="H7" s="37">
        <f>IF($A7&gt;LastT+1,0,MAX(F7-G7,0))</f>
        <v/>
      </c>
      <c r="I7" s="38">
        <f>IF($A7&gt;LastT,0,SumAssured*(H7+H8)/2)</f>
        <v/>
      </c>
      <c r="J7" s="38">
        <f>IF(OR($A7=0,$A7&gt;LastT),0,IF(A7&lt;CommRenTerm,SizePremium*CommRenPrem*(1+CnsmpTax),0))</f>
        <v/>
      </c>
      <c r="K7" s="36">
        <f>IF($A7&gt;LastT,0,INDEX(ScenGrid,A7+1,ScenID))</f>
        <v/>
      </c>
    </row>
    <row r="8">
      <c r="A8" s="30">
        <f>A7+1</f>
        <v/>
      </c>
      <c r="B8" s="30">
        <f>IssueAge+A8</f>
        <v/>
      </c>
      <c r="C8" s="31">
        <f>IF($A8&gt;LastT,0,INDEX(MortGrid,B8+1,BaseMortCol))</f>
        <v/>
      </c>
      <c r="D8" s="31">
        <f>IF($A8&gt;LastT,0,INDEX(AsmpTblGrid,MIN(A8,19)+1,MortFactorCol))</f>
        <v/>
      </c>
      <c r="E8" s="36">
        <f>IF($A8&gt;LastT,0,INDEX(AsmpTblGrid,MIN(A8,19)+1,SurrCol))</f>
        <v/>
      </c>
      <c r="F8" s="37">
        <f>IF($A8&gt;LastT+1,0,IF(INDEX(Comm_Dx,B8+1)=0,0,(INDEX(Comm_Mx,B8+1)-Mx_xn+LoadMaintSA2*(Nx_xn-Nx_xn)-IF(A8&lt;=PolicyTerm,NetPremRatePrem*(INDEX(Comm_Nx,B8+1)-Nx_xn),0))/INDEX(Comm_Dx,B8+1)))</f>
        <v/>
      </c>
      <c r="G8" s="37">
        <f>IF($A8&gt;LastT+1,0,InitSurrCharge*MAX((MIN(PolicyTerm,10)-A8)/MIN(PolicyTerm,10),0))</f>
        <v/>
      </c>
      <c r="H8" s="37">
        <f>IF($A8&gt;LastT+1,0,MAX(F8-G8,0))</f>
        <v/>
      </c>
      <c r="I8" s="38">
        <f>IF($A8&gt;LastT,0,SumAssured*(H8+H9)/2)</f>
        <v/>
      </c>
      <c r="J8" s="38">
        <f>IF(OR($A8=0,$A8&gt;LastT),0,IF(A8&lt;CommRenTerm,SizePremium*CommRenPrem*(1+CnsmpTax),0))</f>
        <v/>
      </c>
      <c r="K8" s="36">
        <f>IF($A8&gt;LastT,0,INDEX(ScenGrid,A8+1,ScenID))</f>
        <v/>
      </c>
    </row>
    <row r="9">
      <c r="A9" s="30">
        <f>A8+1</f>
        <v/>
      </c>
      <c r="B9" s="30">
        <f>IssueAge+A9</f>
        <v/>
      </c>
      <c r="C9" s="31">
        <f>IF($A9&gt;LastT,0,INDEX(MortGrid,B9+1,BaseMortCol))</f>
        <v/>
      </c>
      <c r="D9" s="31">
        <f>IF($A9&gt;LastT,0,INDEX(AsmpTblGrid,MIN(A9,19)+1,MortFactorCol))</f>
        <v/>
      </c>
      <c r="E9" s="36">
        <f>IF($A9&gt;LastT,0,INDEX(AsmpTblGrid,MIN(A9,19)+1,SurrCol))</f>
        <v/>
      </c>
      <c r="F9" s="37">
        <f>IF($A9&gt;LastT+1,0,IF(INDEX(Comm_Dx,B9+1)=0,0,(INDEX(Comm_Mx,B9+1)-Mx_xn+LoadMaintSA2*(Nx_xn-Nx_xn)-IF(A9&lt;=PolicyTerm,NetPremRatePrem*(INDEX(Comm_Nx,B9+1)-Nx_xn),0))/INDEX(Comm_Dx,B9+1)))</f>
        <v/>
      </c>
      <c r="G9" s="37">
        <f>IF($A9&gt;LastT+1,0,InitSurrCharge*MAX((MIN(PolicyTerm,10)-A9)/MIN(PolicyTerm,10),0))</f>
        <v/>
      </c>
      <c r="H9" s="37">
        <f>IF($A9&gt;LastT+1,0,MAX(F9-G9,0))</f>
        <v/>
      </c>
      <c r="I9" s="38">
        <f>IF($A9&gt;LastT,0,SumAssured*(H9+H10)/2)</f>
        <v/>
      </c>
      <c r="J9" s="38">
        <f>IF(OR($A9=0,$A9&gt;LastT),0,IF(A9&lt;CommRenTerm,SizePremium*CommRenPrem*(1+CnsmpTax),0))</f>
        <v/>
      </c>
      <c r="K9" s="36">
        <f>IF($A9&gt;LastT,0,INDEX(ScenGrid,A9+1,ScenID))</f>
        <v/>
      </c>
    </row>
    <row r="10">
      <c r="A10" s="30">
        <f>A9+1</f>
        <v/>
      </c>
      <c r="B10" s="30">
        <f>IssueAge+A10</f>
        <v/>
      </c>
      <c r="C10" s="31">
        <f>IF($A10&gt;LastT,0,INDEX(MortGrid,B10+1,BaseMortCol))</f>
        <v/>
      </c>
      <c r="D10" s="31">
        <f>IF($A10&gt;LastT,0,INDEX(AsmpTblGrid,MIN(A10,19)+1,MortFactorCol))</f>
        <v/>
      </c>
      <c r="E10" s="36">
        <f>IF($A10&gt;LastT,0,INDEX(AsmpTblGrid,MIN(A10,19)+1,SurrCol))</f>
        <v/>
      </c>
      <c r="F10" s="37">
        <f>IF($A10&gt;LastT+1,0,IF(INDEX(Comm_Dx,B10+1)=0,0,(INDEX(Comm_Mx,B10+1)-Mx_xn+LoadMaintSA2*(Nx_xn-Nx_xn)-IF(A10&lt;=PolicyTerm,NetPremRatePrem*(INDEX(Comm_Nx,B10+1)-Nx_xn),0))/INDEX(Comm_Dx,B10+1)))</f>
        <v/>
      </c>
      <c r="G10" s="37">
        <f>IF($A10&gt;LastT+1,0,InitSurrCharge*MAX((MIN(PolicyTerm,10)-A10)/MIN(PolicyTerm,10),0))</f>
        <v/>
      </c>
      <c r="H10" s="37">
        <f>IF($A10&gt;LastT+1,0,MAX(F10-G10,0))</f>
        <v/>
      </c>
      <c r="I10" s="38">
        <f>IF($A10&gt;LastT,0,SumAssured*(H10+H11)/2)</f>
        <v/>
      </c>
      <c r="J10" s="38">
        <f>IF(OR($A10=0,$A10&gt;LastT),0,IF(A10&lt;CommRenTerm,SizePremium*CommRenPrem*(1+CnsmpTax),0))</f>
        <v/>
      </c>
      <c r="K10" s="36">
        <f>IF($A10&gt;LastT,0,INDEX(ScenGrid,A10+1,ScenID))</f>
        <v/>
      </c>
    </row>
    <row r="11">
      <c r="A11" s="30">
        <f>A10+1</f>
        <v/>
      </c>
      <c r="B11" s="30">
        <f>IssueAge+A11</f>
        <v/>
      </c>
      <c r="C11" s="31">
        <f>IF($A11&gt;LastT,0,INDEX(MortGrid,B11+1,BaseMortCol))</f>
        <v/>
      </c>
      <c r="D11" s="31">
        <f>IF($A11&gt;LastT,0,INDEX(AsmpTblGrid,MIN(A11,19)+1,MortFactorCol))</f>
        <v/>
      </c>
      <c r="E11" s="36">
        <f>IF($A11&gt;LastT,0,INDEX(AsmpTblGrid,MIN(A11,19)+1,SurrCol))</f>
        <v/>
      </c>
      <c r="F11" s="37">
        <f>IF($A11&gt;LastT+1,0,IF(INDEX(Comm_Dx,B11+1)=0,0,(INDEX(Comm_Mx,B11+1)-Mx_xn+LoadMaintSA2*(Nx_xn-Nx_xn)-IF(A11&lt;=PolicyTerm,NetPremRatePrem*(INDEX(Comm_Nx,B11+1)-Nx_xn),0))/INDEX(Comm_Dx,B11+1)))</f>
        <v/>
      </c>
      <c r="G11" s="37">
        <f>IF($A11&gt;LastT+1,0,InitSurrCharge*MAX((MIN(PolicyTerm,10)-A11)/MIN(PolicyTerm,10),0))</f>
        <v/>
      </c>
      <c r="H11" s="37">
        <f>IF($A11&gt;LastT+1,0,MAX(F11-G11,0))</f>
        <v/>
      </c>
      <c r="I11" s="38">
        <f>IF($A11&gt;LastT,0,SumAssured*(H11+H12)/2)</f>
        <v/>
      </c>
      <c r="J11" s="38">
        <f>IF(OR($A11=0,$A11&gt;LastT),0,IF(A11&lt;CommRenTerm,SizePremium*CommRenPrem*(1+CnsmpTax),0))</f>
        <v/>
      </c>
      <c r="K11" s="36">
        <f>IF($A11&gt;LastT,0,INDEX(ScenGrid,A11+1,ScenID))</f>
        <v/>
      </c>
    </row>
    <row r="12">
      <c r="A12" s="30">
        <f>A11+1</f>
        <v/>
      </c>
      <c r="B12" s="30">
        <f>IssueAge+A12</f>
        <v/>
      </c>
      <c r="C12" s="31">
        <f>IF($A12&gt;LastT,0,INDEX(MortGrid,B12+1,BaseMortCol))</f>
        <v/>
      </c>
      <c r="D12" s="31">
        <f>IF($A12&gt;LastT,0,INDEX(AsmpTblGrid,MIN(A12,19)+1,MortFactorCol))</f>
        <v/>
      </c>
      <c r="E12" s="36">
        <f>IF($A12&gt;LastT,0,INDEX(AsmpTblGrid,MIN(A12,19)+1,SurrCol))</f>
        <v/>
      </c>
      <c r="F12" s="37">
        <f>IF($A12&gt;LastT+1,0,IF(INDEX(Comm_Dx,B12+1)=0,0,(INDEX(Comm_Mx,B12+1)-Mx_xn+LoadMaintSA2*(Nx_xn-Nx_xn)-IF(A12&lt;=PolicyTerm,NetPremRatePrem*(INDEX(Comm_Nx,B12+1)-Nx_xn),0))/INDEX(Comm_Dx,B12+1)))</f>
        <v/>
      </c>
      <c r="G12" s="37">
        <f>IF($A12&gt;LastT+1,0,InitSurrCharge*MAX((MIN(PolicyTerm,10)-A12)/MIN(PolicyTerm,10),0))</f>
        <v/>
      </c>
      <c r="H12" s="37">
        <f>IF($A12&gt;LastT+1,0,MAX(F12-G12,0))</f>
        <v/>
      </c>
      <c r="I12" s="38">
        <f>IF($A12&gt;LastT,0,SumAssured*(H12+H13)/2)</f>
        <v/>
      </c>
      <c r="J12" s="38">
        <f>IF(OR($A12=0,$A12&gt;LastT),0,IF(A12&lt;CommRenTerm,SizePremium*CommRenPrem*(1+CnsmpTax),0))</f>
        <v/>
      </c>
      <c r="K12" s="36">
        <f>IF($A12&gt;LastT,0,INDEX(ScenGrid,A12+1,ScenID))</f>
        <v/>
      </c>
    </row>
    <row r="13">
      <c r="A13" s="30">
        <f>A12+1</f>
        <v/>
      </c>
      <c r="B13" s="30">
        <f>IssueAge+A13</f>
        <v/>
      </c>
      <c r="C13" s="31">
        <f>IF($A13&gt;LastT,0,INDEX(MortGrid,B13+1,BaseMortCol))</f>
        <v/>
      </c>
      <c r="D13" s="31">
        <f>IF($A13&gt;LastT,0,INDEX(AsmpTblGrid,MIN(A13,19)+1,MortFactorCol))</f>
        <v/>
      </c>
      <c r="E13" s="36">
        <f>IF($A13&gt;LastT,0,INDEX(AsmpTblGrid,MIN(A13,19)+1,SurrCol))</f>
        <v/>
      </c>
      <c r="F13" s="37">
        <f>IF($A13&gt;LastT+1,0,IF(INDEX(Comm_Dx,B13+1)=0,0,(INDEX(Comm_Mx,B13+1)-Mx_xn+LoadMaintSA2*(Nx_xn-Nx_xn)-IF(A13&lt;=PolicyTerm,NetPremRatePrem*(INDEX(Comm_Nx,B13+1)-Nx_xn),0))/INDEX(Comm_Dx,B13+1)))</f>
        <v/>
      </c>
      <c r="G13" s="37">
        <f>IF($A13&gt;LastT+1,0,InitSurrCharge*MAX((MIN(PolicyTerm,10)-A13)/MIN(PolicyTerm,10),0))</f>
        <v/>
      </c>
      <c r="H13" s="37">
        <f>IF($A13&gt;LastT+1,0,MAX(F13-G13,0))</f>
        <v/>
      </c>
      <c r="I13" s="38">
        <f>IF($A13&gt;LastT,0,SumAssured*(H13+H14)/2)</f>
        <v/>
      </c>
      <c r="J13" s="38">
        <f>IF(OR($A13=0,$A13&gt;LastT),0,IF(A13&lt;CommRenTerm,SizePremium*CommRenPrem*(1+CnsmpTax),0))</f>
        <v/>
      </c>
      <c r="K13" s="36">
        <f>IF($A13&gt;LastT,0,INDEX(ScenGrid,A13+1,ScenID))</f>
        <v/>
      </c>
    </row>
    <row r="14">
      <c r="A14" s="30">
        <f>A13+1</f>
        <v/>
      </c>
      <c r="B14" s="30">
        <f>IssueAge+A14</f>
        <v/>
      </c>
      <c r="C14" s="31">
        <f>IF($A14&gt;LastT,0,INDEX(MortGrid,B14+1,BaseMortCol))</f>
        <v/>
      </c>
      <c r="D14" s="31">
        <f>IF($A14&gt;LastT,0,INDEX(AsmpTblGrid,MIN(A14,19)+1,MortFactorCol))</f>
        <v/>
      </c>
      <c r="E14" s="36">
        <f>IF($A14&gt;LastT,0,INDEX(AsmpTblGrid,MIN(A14,19)+1,SurrCol))</f>
        <v/>
      </c>
      <c r="F14" s="37">
        <f>IF($A14&gt;LastT+1,0,IF(INDEX(Comm_Dx,B14+1)=0,0,(INDEX(Comm_Mx,B14+1)-Mx_xn+LoadMaintSA2*(Nx_xn-Nx_xn)-IF(A14&lt;=PolicyTerm,NetPremRatePrem*(INDEX(Comm_Nx,B14+1)-Nx_xn),0))/INDEX(Comm_Dx,B14+1)))</f>
        <v/>
      </c>
      <c r="G14" s="37">
        <f>IF($A14&gt;LastT+1,0,InitSurrCharge*MAX((MIN(PolicyTerm,10)-A14)/MIN(PolicyTerm,10),0))</f>
        <v/>
      </c>
      <c r="H14" s="37">
        <f>IF($A14&gt;LastT+1,0,MAX(F14-G14,0))</f>
        <v/>
      </c>
      <c r="I14" s="38">
        <f>IF($A14&gt;LastT,0,SumAssured*(H14+H15)/2)</f>
        <v/>
      </c>
      <c r="J14" s="38">
        <f>IF(OR($A14=0,$A14&gt;LastT),0,IF(A14&lt;CommRenTerm,SizePremium*CommRenPrem*(1+CnsmpTax),0))</f>
        <v/>
      </c>
      <c r="K14" s="36">
        <f>IF($A14&gt;LastT,0,INDEX(ScenGrid,A14+1,ScenID))</f>
        <v/>
      </c>
    </row>
    <row r="15">
      <c r="A15" s="30">
        <f>A14+1</f>
        <v/>
      </c>
      <c r="B15" s="30">
        <f>IssueAge+A15</f>
        <v/>
      </c>
      <c r="C15" s="31">
        <f>IF($A15&gt;LastT,0,INDEX(MortGrid,B15+1,BaseMortCol))</f>
        <v/>
      </c>
      <c r="D15" s="31">
        <f>IF($A15&gt;LastT,0,INDEX(AsmpTblGrid,MIN(A15,19)+1,MortFactorCol))</f>
        <v/>
      </c>
      <c r="E15" s="36">
        <f>IF($A15&gt;LastT,0,INDEX(AsmpTblGrid,MIN(A15,19)+1,SurrCol))</f>
        <v/>
      </c>
      <c r="F15" s="37">
        <f>IF($A15&gt;LastT+1,0,IF(INDEX(Comm_Dx,B15+1)=0,0,(INDEX(Comm_Mx,B15+1)-Mx_xn+LoadMaintSA2*(Nx_xn-Nx_xn)-IF(A15&lt;=PolicyTerm,NetPremRatePrem*(INDEX(Comm_Nx,B15+1)-Nx_xn),0))/INDEX(Comm_Dx,B15+1)))</f>
        <v/>
      </c>
      <c r="G15" s="37">
        <f>IF($A15&gt;LastT+1,0,InitSurrCharge*MAX((MIN(PolicyTerm,10)-A15)/MIN(PolicyTerm,10),0))</f>
        <v/>
      </c>
      <c r="H15" s="37">
        <f>IF($A15&gt;LastT+1,0,MAX(F15-G15,0))</f>
        <v/>
      </c>
      <c r="I15" s="38">
        <f>IF($A15&gt;LastT,0,SumAssured*(H15+H16)/2)</f>
        <v/>
      </c>
      <c r="J15" s="38">
        <f>IF(OR($A15=0,$A15&gt;LastT),0,IF(A15&lt;CommRenTerm,SizePremium*CommRenPrem*(1+CnsmpTax),0))</f>
        <v/>
      </c>
      <c r="K15" s="36">
        <f>IF($A15&gt;LastT,0,INDEX(ScenGrid,A15+1,ScenID))</f>
        <v/>
      </c>
    </row>
    <row r="16">
      <c r="A16" s="30">
        <f>A15+1</f>
        <v/>
      </c>
      <c r="B16" s="30">
        <f>IssueAge+A16</f>
        <v/>
      </c>
      <c r="C16" s="31">
        <f>IF($A16&gt;LastT,0,INDEX(MortGrid,B16+1,BaseMortCol))</f>
        <v/>
      </c>
      <c r="D16" s="31">
        <f>IF($A16&gt;LastT,0,INDEX(AsmpTblGrid,MIN(A16,19)+1,MortFactorCol))</f>
        <v/>
      </c>
      <c r="E16" s="36">
        <f>IF($A16&gt;LastT,0,INDEX(AsmpTblGrid,MIN(A16,19)+1,SurrCol))</f>
        <v/>
      </c>
      <c r="F16" s="37">
        <f>IF($A16&gt;LastT+1,0,IF(INDEX(Comm_Dx,B16+1)=0,0,(INDEX(Comm_Mx,B16+1)-Mx_xn+LoadMaintSA2*(Nx_xn-Nx_xn)-IF(A16&lt;=PolicyTerm,NetPremRatePrem*(INDEX(Comm_Nx,B16+1)-Nx_xn),0))/INDEX(Comm_Dx,B16+1)))</f>
        <v/>
      </c>
      <c r="G16" s="37">
        <f>IF($A16&gt;LastT+1,0,InitSurrCharge*MAX((MIN(PolicyTerm,10)-A16)/MIN(PolicyTerm,10),0))</f>
        <v/>
      </c>
      <c r="H16" s="37">
        <f>IF($A16&gt;LastT+1,0,MAX(F16-G16,0))</f>
        <v/>
      </c>
      <c r="I16" s="38">
        <f>IF($A16&gt;LastT,0,SumAssured*(H16+H17)/2)</f>
        <v/>
      </c>
      <c r="J16" s="38">
        <f>IF(OR($A16=0,$A16&gt;LastT),0,IF(A16&lt;CommRenTerm,SizePremium*CommRenPrem*(1+CnsmpTax),0))</f>
        <v/>
      </c>
      <c r="K16" s="36">
        <f>IF($A16&gt;LastT,0,INDEX(ScenGrid,A16+1,ScenID))</f>
        <v/>
      </c>
    </row>
    <row r="17">
      <c r="A17" s="30">
        <f>A16+1</f>
        <v/>
      </c>
      <c r="B17" s="30">
        <f>IssueAge+A17</f>
        <v/>
      </c>
      <c r="C17" s="31">
        <f>IF($A17&gt;LastT,0,INDEX(MortGrid,B17+1,BaseMortCol))</f>
        <v/>
      </c>
      <c r="D17" s="31">
        <f>IF($A17&gt;LastT,0,INDEX(AsmpTblGrid,MIN(A17,19)+1,MortFactorCol))</f>
        <v/>
      </c>
      <c r="E17" s="36">
        <f>IF($A17&gt;LastT,0,INDEX(AsmpTblGrid,MIN(A17,19)+1,SurrCol))</f>
        <v/>
      </c>
      <c r="F17" s="37">
        <f>IF($A17&gt;LastT+1,0,IF(INDEX(Comm_Dx,B17+1)=0,0,(INDEX(Comm_Mx,B17+1)-Mx_xn+LoadMaintSA2*(Nx_xn-Nx_xn)-IF(A17&lt;=PolicyTerm,NetPremRatePrem*(INDEX(Comm_Nx,B17+1)-Nx_xn),0))/INDEX(Comm_Dx,B17+1)))</f>
        <v/>
      </c>
      <c r="G17" s="37">
        <f>IF($A17&gt;LastT+1,0,InitSurrCharge*MAX((MIN(PolicyTerm,10)-A17)/MIN(PolicyTerm,10),0))</f>
        <v/>
      </c>
      <c r="H17" s="37">
        <f>IF($A17&gt;LastT+1,0,MAX(F17-G17,0))</f>
        <v/>
      </c>
      <c r="I17" s="38">
        <f>IF($A17&gt;LastT,0,SumAssured*(H17+H18)/2)</f>
        <v/>
      </c>
      <c r="J17" s="38">
        <f>IF(OR($A17=0,$A17&gt;LastT),0,IF(A17&lt;CommRenTerm,SizePremium*CommRenPrem*(1+CnsmpTax),0))</f>
        <v/>
      </c>
      <c r="K17" s="36">
        <f>IF($A17&gt;LastT,0,INDEX(ScenGrid,A17+1,ScenID))</f>
        <v/>
      </c>
    </row>
    <row r="18">
      <c r="A18" s="30">
        <f>A17+1</f>
        <v/>
      </c>
      <c r="B18" s="30">
        <f>IssueAge+A18</f>
        <v/>
      </c>
      <c r="C18" s="31">
        <f>IF($A18&gt;LastT,0,INDEX(MortGrid,B18+1,BaseMortCol))</f>
        <v/>
      </c>
      <c r="D18" s="31">
        <f>IF($A18&gt;LastT,0,INDEX(AsmpTblGrid,MIN(A18,19)+1,MortFactorCol))</f>
        <v/>
      </c>
      <c r="E18" s="36">
        <f>IF($A18&gt;LastT,0,INDEX(AsmpTblGrid,MIN(A18,19)+1,SurrCol))</f>
        <v/>
      </c>
      <c r="F18" s="37">
        <f>IF($A18&gt;LastT+1,0,IF(INDEX(Comm_Dx,B18+1)=0,0,(INDEX(Comm_Mx,B18+1)-Mx_xn+LoadMaintSA2*(Nx_xn-Nx_xn)-IF(A18&lt;=PolicyTerm,NetPremRatePrem*(INDEX(Comm_Nx,B18+1)-Nx_xn),0))/INDEX(Comm_Dx,B18+1)))</f>
        <v/>
      </c>
      <c r="G18" s="37">
        <f>IF($A18&gt;LastT+1,0,InitSurrCharge*MAX((MIN(PolicyTerm,10)-A18)/MIN(PolicyTerm,10),0))</f>
        <v/>
      </c>
      <c r="H18" s="37">
        <f>IF($A18&gt;LastT+1,0,MAX(F18-G18,0))</f>
        <v/>
      </c>
      <c r="I18" s="38">
        <f>IF($A18&gt;LastT,0,SumAssured*(H18+H19)/2)</f>
        <v/>
      </c>
      <c r="J18" s="38">
        <f>IF(OR($A18=0,$A18&gt;LastT),0,IF(A18&lt;CommRenTerm,SizePremium*CommRenPrem*(1+CnsmpTax),0))</f>
        <v/>
      </c>
      <c r="K18" s="36">
        <f>IF($A18&gt;LastT,0,INDEX(ScenGrid,A18+1,ScenID))</f>
        <v/>
      </c>
    </row>
    <row r="19">
      <c r="A19" s="30">
        <f>A18+1</f>
        <v/>
      </c>
      <c r="B19" s="30">
        <f>IssueAge+A19</f>
        <v/>
      </c>
      <c r="C19" s="31">
        <f>IF($A19&gt;LastT,0,INDEX(MortGrid,B19+1,BaseMortCol))</f>
        <v/>
      </c>
      <c r="D19" s="31">
        <f>IF($A19&gt;LastT,0,INDEX(AsmpTblGrid,MIN(A19,19)+1,MortFactorCol))</f>
        <v/>
      </c>
      <c r="E19" s="36">
        <f>IF($A19&gt;LastT,0,INDEX(AsmpTblGrid,MIN(A19,19)+1,SurrCol))</f>
        <v/>
      </c>
      <c r="F19" s="37">
        <f>IF($A19&gt;LastT+1,0,IF(INDEX(Comm_Dx,B19+1)=0,0,(INDEX(Comm_Mx,B19+1)-Mx_xn+LoadMaintSA2*(Nx_xn-Nx_xn)-IF(A19&lt;=PolicyTerm,NetPremRatePrem*(INDEX(Comm_Nx,B19+1)-Nx_xn),0))/INDEX(Comm_Dx,B19+1)))</f>
        <v/>
      </c>
      <c r="G19" s="37">
        <f>IF($A19&gt;LastT+1,0,InitSurrCharge*MAX((MIN(PolicyTerm,10)-A19)/MIN(PolicyTerm,10),0))</f>
        <v/>
      </c>
      <c r="H19" s="37">
        <f>IF($A19&gt;LastT+1,0,MAX(F19-G19,0))</f>
        <v/>
      </c>
      <c r="I19" s="38">
        <f>IF($A19&gt;LastT,0,SumAssured*(H19+H20)/2)</f>
        <v/>
      </c>
      <c r="J19" s="38">
        <f>IF(OR($A19=0,$A19&gt;LastT),0,IF(A19&lt;CommRenTerm,SizePremium*CommRenPrem*(1+CnsmpTax),0))</f>
        <v/>
      </c>
      <c r="K19" s="36">
        <f>IF($A19&gt;LastT,0,INDEX(ScenGrid,A19+1,ScenID))</f>
        <v/>
      </c>
    </row>
    <row r="20">
      <c r="A20" s="30">
        <f>A19+1</f>
        <v/>
      </c>
      <c r="B20" s="30">
        <f>IssueAge+A20</f>
        <v/>
      </c>
      <c r="C20" s="31">
        <f>IF($A20&gt;LastT,0,INDEX(MortGrid,B20+1,BaseMortCol))</f>
        <v/>
      </c>
      <c r="D20" s="31">
        <f>IF($A20&gt;LastT,0,INDEX(AsmpTblGrid,MIN(A20,19)+1,MortFactorCol))</f>
        <v/>
      </c>
      <c r="E20" s="36">
        <f>IF($A20&gt;LastT,0,INDEX(AsmpTblGrid,MIN(A20,19)+1,SurrCol))</f>
        <v/>
      </c>
      <c r="F20" s="37">
        <f>IF($A20&gt;LastT+1,0,IF(INDEX(Comm_Dx,B20+1)=0,0,(INDEX(Comm_Mx,B20+1)-Mx_xn+LoadMaintSA2*(Nx_xn-Nx_xn)-IF(A20&lt;=PolicyTerm,NetPremRatePrem*(INDEX(Comm_Nx,B20+1)-Nx_xn),0))/INDEX(Comm_Dx,B20+1)))</f>
        <v/>
      </c>
      <c r="G20" s="37">
        <f>IF($A20&gt;LastT+1,0,InitSurrCharge*MAX((MIN(PolicyTerm,10)-A20)/MIN(PolicyTerm,10),0))</f>
        <v/>
      </c>
      <c r="H20" s="37">
        <f>IF($A20&gt;LastT+1,0,MAX(F20-G20,0))</f>
        <v/>
      </c>
      <c r="I20" s="38">
        <f>IF($A20&gt;LastT,0,SumAssured*(H20+H21)/2)</f>
        <v/>
      </c>
      <c r="J20" s="38">
        <f>IF(OR($A20=0,$A20&gt;LastT),0,IF(A20&lt;CommRenTerm,SizePremium*CommRenPrem*(1+CnsmpTax),0))</f>
        <v/>
      </c>
      <c r="K20" s="36">
        <f>IF($A20&gt;LastT,0,INDEX(ScenGrid,A20+1,ScenID))</f>
        <v/>
      </c>
    </row>
    <row r="21">
      <c r="A21" s="30">
        <f>A20+1</f>
        <v/>
      </c>
      <c r="B21" s="30">
        <f>IssueAge+A21</f>
        <v/>
      </c>
      <c r="C21" s="31">
        <f>IF($A21&gt;LastT,0,INDEX(MortGrid,B21+1,BaseMortCol))</f>
        <v/>
      </c>
      <c r="D21" s="31">
        <f>IF($A21&gt;LastT,0,INDEX(AsmpTblGrid,MIN(A21,19)+1,MortFactorCol))</f>
        <v/>
      </c>
      <c r="E21" s="36">
        <f>IF($A21&gt;LastT,0,INDEX(AsmpTblGrid,MIN(A21,19)+1,SurrCol))</f>
        <v/>
      </c>
      <c r="F21" s="37">
        <f>IF($A21&gt;LastT+1,0,IF(INDEX(Comm_Dx,B21+1)=0,0,(INDEX(Comm_Mx,B21+1)-Mx_xn+LoadMaintSA2*(Nx_xn-Nx_xn)-IF(A21&lt;=PolicyTerm,NetPremRatePrem*(INDEX(Comm_Nx,B21+1)-Nx_xn),0))/INDEX(Comm_Dx,B21+1)))</f>
        <v/>
      </c>
      <c r="G21" s="37">
        <f>IF($A21&gt;LastT+1,0,InitSurrCharge*MAX((MIN(PolicyTerm,10)-A21)/MIN(PolicyTerm,10),0))</f>
        <v/>
      </c>
      <c r="H21" s="37">
        <f>IF($A21&gt;LastT+1,0,MAX(F21-G21,0))</f>
        <v/>
      </c>
      <c r="I21" s="38">
        <f>IF($A21&gt;LastT,0,SumAssured*(H21+H22)/2)</f>
        <v/>
      </c>
      <c r="J21" s="38">
        <f>IF(OR($A21=0,$A21&gt;LastT),0,IF(A21&lt;CommRenTerm,SizePremium*CommRenPrem*(1+CnsmpTax),0))</f>
        <v/>
      </c>
      <c r="K21" s="36">
        <f>IF($A21&gt;LastT,0,INDEX(ScenGrid,A21+1,ScenID))</f>
        <v/>
      </c>
    </row>
    <row r="22">
      <c r="A22" s="30">
        <f>A21+1</f>
        <v/>
      </c>
      <c r="B22" s="30">
        <f>IssueAge+A22</f>
        <v/>
      </c>
      <c r="C22" s="31">
        <f>IF($A22&gt;LastT,0,INDEX(MortGrid,B22+1,BaseMortCol))</f>
        <v/>
      </c>
      <c r="D22" s="31">
        <f>IF($A22&gt;LastT,0,INDEX(AsmpTblGrid,MIN(A22,19)+1,MortFactorCol))</f>
        <v/>
      </c>
      <c r="E22" s="36">
        <f>IF($A22&gt;LastT,0,INDEX(AsmpTblGrid,MIN(A22,19)+1,SurrCol))</f>
        <v/>
      </c>
      <c r="F22" s="37">
        <f>IF($A22&gt;LastT+1,0,IF(INDEX(Comm_Dx,B22+1)=0,0,(INDEX(Comm_Mx,B22+1)-Mx_xn+LoadMaintSA2*(Nx_xn-Nx_xn)-IF(A22&lt;=PolicyTerm,NetPremRatePrem*(INDEX(Comm_Nx,B22+1)-Nx_xn),0))/INDEX(Comm_Dx,B22+1)))</f>
        <v/>
      </c>
      <c r="G22" s="37">
        <f>IF($A22&gt;LastT+1,0,InitSurrCharge*MAX((MIN(PolicyTerm,10)-A22)/MIN(PolicyTerm,10),0))</f>
        <v/>
      </c>
      <c r="H22" s="37">
        <f>IF($A22&gt;LastT+1,0,MAX(F22-G22,0))</f>
        <v/>
      </c>
      <c r="I22" s="38">
        <f>IF($A22&gt;LastT,0,SumAssured*(H22+H23)/2)</f>
        <v/>
      </c>
      <c r="J22" s="38">
        <f>IF(OR($A22=0,$A22&gt;LastT),0,IF(A22&lt;CommRenTerm,SizePremium*CommRenPrem*(1+CnsmpTax),0))</f>
        <v/>
      </c>
      <c r="K22" s="36">
        <f>IF($A22&gt;LastT,0,INDEX(ScenGrid,A22+1,ScenID))</f>
        <v/>
      </c>
    </row>
    <row r="23">
      <c r="A23" s="30">
        <f>A22+1</f>
        <v/>
      </c>
      <c r="B23" s="30">
        <f>IssueAge+A23</f>
        <v/>
      </c>
      <c r="C23" s="31">
        <f>IF($A23&gt;LastT,0,INDEX(MortGrid,B23+1,BaseMortCol))</f>
        <v/>
      </c>
      <c r="D23" s="31">
        <f>IF($A23&gt;LastT,0,INDEX(AsmpTblGrid,MIN(A23,19)+1,MortFactorCol))</f>
        <v/>
      </c>
      <c r="E23" s="36">
        <f>IF($A23&gt;LastT,0,INDEX(AsmpTblGrid,MIN(A23,19)+1,SurrCol))</f>
        <v/>
      </c>
      <c r="F23" s="37">
        <f>IF($A23&gt;LastT+1,0,IF(INDEX(Comm_Dx,B23+1)=0,0,(INDEX(Comm_Mx,B23+1)-Mx_xn+LoadMaintSA2*(Nx_xn-Nx_xn)-IF(A23&lt;=PolicyTerm,NetPremRatePrem*(INDEX(Comm_Nx,B23+1)-Nx_xn),0))/INDEX(Comm_Dx,B23+1)))</f>
        <v/>
      </c>
      <c r="G23" s="37">
        <f>IF($A23&gt;LastT+1,0,InitSurrCharge*MAX((MIN(PolicyTerm,10)-A23)/MIN(PolicyTerm,10),0))</f>
        <v/>
      </c>
      <c r="H23" s="37">
        <f>IF($A23&gt;LastT+1,0,MAX(F23-G23,0))</f>
        <v/>
      </c>
      <c r="I23" s="38">
        <f>IF($A23&gt;LastT,0,SumAssured*(H23+H24)/2)</f>
        <v/>
      </c>
      <c r="J23" s="38">
        <f>IF(OR($A23=0,$A23&gt;LastT),0,IF(A23&lt;CommRenTerm,SizePremium*CommRenPrem*(1+CnsmpTax),0))</f>
        <v/>
      </c>
      <c r="K23" s="36">
        <f>IF($A23&gt;LastT,0,INDEX(ScenGrid,A23+1,ScenID))</f>
        <v/>
      </c>
    </row>
    <row r="24">
      <c r="A24" s="30">
        <f>A23+1</f>
        <v/>
      </c>
      <c r="B24" s="30">
        <f>IssueAge+A24</f>
        <v/>
      </c>
      <c r="C24" s="31">
        <f>IF($A24&gt;LastT,0,INDEX(MortGrid,B24+1,BaseMortCol))</f>
        <v/>
      </c>
      <c r="D24" s="31">
        <f>IF($A24&gt;LastT,0,INDEX(AsmpTblGrid,MIN(A24,19)+1,MortFactorCol))</f>
        <v/>
      </c>
      <c r="E24" s="36">
        <f>IF($A24&gt;LastT,0,INDEX(AsmpTblGrid,MIN(A24,19)+1,SurrCol))</f>
        <v/>
      </c>
      <c r="F24" s="37">
        <f>IF($A24&gt;LastT+1,0,IF(INDEX(Comm_Dx,B24+1)=0,0,(INDEX(Comm_Mx,B24+1)-Mx_xn+LoadMaintSA2*(Nx_xn-Nx_xn)-IF(A24&lt;=PolicyTerm,NetPremRatePrem*(INDEX(Comm_Nx,B24+1)-Nx_xn),0))/INDEX(Comm_Dx,B24+1)))</f>
        <v/>
      </c>
      <c r="G24" s="37">
        <f>IF($A24&gt;LastT+1,0,InitSurrCharge*MAX((MIN(PolicyTerm,10)-A24)/MIN(PolicyTerm,10),0))</f>
        <v/>
      </c>
      <c r="H24" s="37">
        <f>IF($A24&gt;LastT+1,0,MAX(F24-G24,0))</f>
        <v/>
      </c>
      <c r="I24" s="38">
        <f>IF($A24&gt;LastT,0,SumAssured*(H24+H25)/2)</f>
        <v/>
      </c>
      <c r="J24" s="38">
        <f>IF(OR($A24=0,$A24&gt;LastT),0,IF(A24&lt;CommRenTerm,SizePremium*CommRenPrem*(1+CnsmpTax),0))</f>
        <v/>
      </c>
      <c r="K24" s="36">
        <f>IF($A24&gt;LastT,0,INDEX(ScenGrid,A24+1,ScenID))</f>
        <v/>
      </c>
    </row>
    <row r="25">
      <c r="A25" s="30">
        <f>A24+1</f>
        <v/>
      </c>
      <c r="B25" s="30">
        <f>IssueAge+A25</f>
        <v/>
      </c>
      <c r="C25" s="31">
        <f>IF($A25&gt;LastT,0,INDEX(MortGrid,B25+1,BaseMortCol))</f>
        <v/>
      </c>
      <c r="D25" s="31">
        <f>IF($A25&gt;LastT,0,INDEX(AsmpTblGrid,MIN(A25,19)+1,MortFactorCol))</f>
        <v/>
      </c>
      <c r="E25" s="36">
        <f>IF($A25&gt;LastT,0,INDEX(AsmpTblGrid,MIN(A25,19)+1,SurrCol))</f>
        <v/>
      </c>
      <c r="F25" s="37">
        <f>IF($A25&gt;LastT+1,0,IF(INDEX(Comm_Dx,B25+1)=0,0,(INDEX(Comm_Mx,B25+1)-Mx_xn+LoadMaintSA2*(Nx_xn-Nx_xn)-IF(A25&lt;=PolicyTerm,NetPremRatePrem*(INDEX(Comm_Nx,B25+1)-Nx_xn),0))/INDEX(Comm_Dx,B25+1)))</f>
        <v/>
      </c>
      <c r="G25" s="37">
        <f>IF($A25&gt;LastT+1,0,InitSurrCharge*MAX((MIN(PolicyTerm,10)-A25)/MIN(PolicyTerm,10),0))</f>
        <v/>
      </c>
      <c r="H25" s="37">
        <f>IF($A25&gt;LastT+1,0,MAX(F25-G25,0))</f>
        <v/>
      </c>
      <c r="I25" s="38">
        <f>IF($A25&gt;LastT,0,SumAssured*(H25+H26)/2)</f>
        <v/>
      </c>
      <c r="J25" s="38">
        <f>IF(OR($A25=0,$A25&gt;LastT),0,IF(A25&lt;CommRenTerm,SizePremium*CommRenPrem*(1+CnsmpTax),0))</f>
        <v/>
      </c>
      <c r="K25" s="36">
        <f>IF($A25&gt;LastT,0,INDEX(ScenGrid,A25+1,ScenID))</f>
        <v/>
      </c>
    </row>
    <row r="26">
      <c r="A26" s="30">
        <f>A25+1</f>
        <v/>
      </c>
      <c r="B26" s="30">
        <f>IssueAge+A26</f>
        <v/>
      </c>
      <c r="C26" s="31">
        <f>IF($A26&gt;LastT,0,INDEX(MortGrid,B26+1,BaseMortCol))</f>
        <v/>
      </c>
      <c r="D26" s="31">
        <f>IF($A26&gt;LastT,0,INDEX(AsmpTblGrid,MIN(A26,19)+1,MortFactorCol))</f>
        <v/>
      </c>
      <c r="E26" s="36">
        <f>IF($A26&gt;LastT,0,INDEX(AsmpTblGrid,MIN(A26,19)+1,SurrCol))</f>
        <v/>
      </c>
      <c r="F26" s="37">
        <f>IF($A26&gt;LastT+1,0,IF(INDEX(Comm_Dx,B26+1)=0,0,(INDEX(Comm_Mx,B26+1)-Mx_xn+LoadMaintSA2*(Nx_xn-Nx_xn)-IF(A26&lt;=PolicyTerm,NetPremRatePrem*(INDEX(Comm_Nx,B26+1)-Nx_xn),0))/INDEX(Comm_Dx,B26+1)))</f>
        <v/>
      </c>
      <c r="G26" s="37">
        <f>IF($A26&gt;LastT+1,0,InitSurrCharge*MAX((MIN(PolicyTerm,10)-A26)/MIN(PolicyTerm,10),0))</f>
        <v/>
      </c>
      <c r="H26" s="37">
        <f>IF($A26&gt;LastT+1,0,MAX(F26-G26,0))</f>
        <v/>
      </c>
      <c r="I26" s="38">
        <f>IF($A26&gt;LastT,0,SumAssured*(H26+H27)/2)</f>
        <v/>
      </c>
      <c r="J26" s="38">
        <f>IF(OR($A26=0,$A26&gt;LastT),0,IF(A26&lt;CommRenTerm,SizePremium*CommRenPrem*(1+CnsmpTax),0))</f>
        <v/>
      </c>
      <c r="K26" s="36">
        <f>IF($A26&gt;LastT,0,INDEX(ScenGrid,A26+1,ScenID))</f>
        <v/>
      </c>
    </row>
    <row r="27">
      <c r="A27" s="30">
        <f>A26+1</f>
        <v/>
      </c>
      <c r="B27" s="30">
        <f>IssueAge+A27</f>
        <v/>
      </c>
      <c r="C27" s="31">
        <f>IF($A27&gt;LastT,0,INDEX(MortGrid,B27+1,BaseMortCol))</f>
        <v/>
      </c>
      <c r="D27" s="31">
        <f>IF($A27&gt;LastT,0,INDEX(AsmpTblGrid,MIN(A27,19)+1,MortFactorCol))</f>
        <v/>
      </c>
      <c r="E27" s="36">
        <f>IF($A27&gt;LastT,0,INDEX(AsmpTblGrid,MIN(A27,19)+1,SurrCol))</f>
        <v/>
      </c>
      <c r="F27" s="37">
        <f>IF($A27&gt;LastT+1,0,IF(INDEX(Comm_Dx,B27+1)=0,0,(INDEX(Comm_Mx,B27+1)-Mx_xn+LoadMaintSA2*(Nx_xn-Nx_xn)-IF(A27&lt;=PolicyTerm,NetPremRatePrem*(INDEX(Comm_Nx,B27+1)-Nx_xn),0))/INDEX(Comm_Dx,B27+1)))</f>
        <v/>
      </c>
      <c r="G27" s="37">
        <f>IF($A27&gt;LastT+1,0,InitSurrCharge*MAX((MIN(PolicyTerm,10)-A27)/MIN(PolicyTerm,10),0))</f>
        <v/>
      </c>
      <c r="H27" s="37">
        <f>IF($A27&gt;LastT+1,0,MAX(F27-G27,0))</f>
        <v/>
      </c>
      <c r="I27" s="38">
        <f>IF($A27&gt;LastT,0,SumAssured*(H27+H28)/2)</f>
        <v/>
      </c>
      <c r="J27" s="38">
        <f>IF(OR($A27=0,$A27&gt;LastT),0,IF(A27&lt;CommRenTerm,SizePremium*CommRenPrem*(1+CnsmpTax),0))</f>
        <v/>
      </c>
      <c r="K27" s="36">
        <f>IF($A27&gt;LastT,0,INDEX(ScenGrid,A27+1,ScenID))</f>
        <v/>
      </c>
    </row>
    <row r="28">
      <c r="A28" s="30">
        <f>A27+1</f>
        <v/>
      </c>
      <c r="B28" s="30">
        <f>IssueAge+A28</f>
        <v/>
      </c>
      <c r="C28" s="31">
        <f>IF($A28&gt;LastT,0,INDEX(MortGrid,B28+1,BaseMortCol))</f>
        <v/>
      </c>
      <c r="D28" s="31">
        <f>IF($A28&gt;LastT,0,INDEX(AsmpTblGrid,MIN(A28,19)+1,MortFactorCol))</f>
        <v/>
      </c>
      <c r="E28" s="36">
        <f>IF($A28&gt;LastT,0,INDEX(AsmpTblGrid,MIN(A28,19)+1,SurrCol))</f>
        <v/>
      </c>
      <c r="F28" s="37">
        <f>IF($A28&gt;LastT+1,0,IF(INDEX(Comm_Dx,B28+1)=0,0,(INDEX(Comm_Mx,B28+1)-Mx_xn+LoadMaintSA2*(Nx_xn-Nx_xn)-IF(A28&lt;=PolicyTerm,NetPremRatePrem*(INDEX(Comm_Nx,B28+1)-Nx_xn),0))/INDEX(Comm_Dx,B28+1)))</f>
        <v/>
      </c>
      <c r="G28" s="37">
        <f>IF($A28&gt;LastT+1,0,InitSurrCharge*MAX((MIN(PolicyTerm,10)-A28)/MIN(PolicyTerm,10),0))</f>
        <v/>
      </c>
      <c r="H28" s="37">
        <f>IF($A28&gt;LastT+1,0,MAX(F28-G28,0))</f>
        <v/>
      </c>
      <c r="I28" s="38">
        <f>IF($A28&gt;LastT,0,SumAssured*(H28+H29)/2)</f>
        <v/>
      </c>
      <c r="J28" s="38">
        <f>IF(OR($A28=0,$A28&gt;LastT),0,IF(A28&lt;CommRenTerm,SizePremium*CommRenPrem*(1+CnsmpTax),0))</f>
        <v/>
      </c>
      <c r="K28" s="36">
        <f>IF($A28&gt;LastT,0,INDEX(ScenGrid,A28+1,ScenID))</f>
        <v/>
      </c>
    </row>
    <row r="29">
      <c r="A29" s="30">
        <f>A28+1</f>
        <v/>
      </c>
      <c r="B29" s="30">
        <f>IssueAge+A29</f>
        <v/>
      </c>
      <c r="C29" s="31">
        <f>IF($A29&gt;LastT,0,INDEX(MortGrid,B29+1,BaseMortCol))</f>
        <v/>
      </c>
      <c r="D29" s="31">
        <f>IF($A29&gt;LastT,0,INDEX(AsmpTblGrid,MIN(A29,19)+1,MortFactorCol))</f>
        <v/>
      </c>
      <c r="E29" s="36">
        <f>IF($A29&gt;LastT,0,INDEX(AsmpTblGrid,MIN(A29,19)+1,SurrCol))</f>
        <v/>
      </c>
      <c r="F29" s="37">
        <f>IF($A29&gt;LastT+1,0,IF(INDEX(Comm_Dx,B29+1)=0,0,(INDEX(Comm_Mx,B29+1)-Mx_xn+LoadMaintSA2*(Nx_xn-Nx_xn)-IF(A29&lt;=PolicyTerm,NetPremRatePrem*(INDEX(Comm_Nx,B29+1)-Nx_xn),0))/INDEX(Comm_Dx,B29+1)))</f>
        <v/>
      </c>
      <c r="G29" s="37">
        <f>IF($A29&gt;LastT+1,0,InitSurrCharge*MAX((MIN(PolicyTerm,10)-A29)/MIN(PolicyTerm,10),0))</f>
        <v/>
      </c>
      <c r="H29" s="37">
        <f>IF($A29&gt;LastT+1,0,MAX(F29-G29,0))</f>
        <v/>
      </c>
      <c r="I29" s="38">
        <f>IF($A29&gt;LastT,0,SumAssured*(H29+H30)/2)</f>
        <v/>
      </c>
      <c r="J29" s="38">
        <f>IF(OR($A29=0,$A29&gt;LastT),0,IF(A29&lt;CommRenTerm,SizePremium*CommRenPrem*(1+CnsmpTax),0))</f>
        <v/>
      </c>
      <c r="K29" s="36">
        <f>IF($A29&gt;LastT,0,INDEX(ScenGrid,A29+1,ScenID))</f>
        <v/>
      </c>
    </row>
    <row r="30">
      <c r="A30" s="30">
        <f>A29+1</f>
        <v/>
      </c>
      <c r="B30" s="30">
        <f>IssueAge+A30</f>
        <v/>
      </c>
      <c r="C30" s="31">
        <f>IF($A30&gt;LastT,0,INDEX(MortGrid,B30+1,BaseMortCol))</f>
        <v/>
      </c>
      <c r="D30" s="31">
        <f>IF($A30&gt;LastT,0,INDEX(AsmpTblGrid,MIN(A30,19)+1,MortFactorCol))</f>
        <v/>
      </c>
      <c r="E30" s="36">
        <f>IF($A30&gt;LastT,0,INDEX(AsmpTblGrid,MIN(A30,19)+1,SurrCol))</f>
        <v/>
      </c>
      <c r="F30" s="37">
        <f>IF($A30&gt;LastT+1,0,IF(INDEX(Comm_Dx,B30+1)=0,0,(INDEX(Comm_Mx,B30+1)-Mx_xn+LoadMaintSA2*(Nx_xn-Nx_xn)-IF(A30&lt;=PolicyTerm,NetPremRatePrem*(INDEX(Comm_Nx,B30+1)-Nx_xn),0))/INDEX(Comm_Dx,B30+1)))</f>
        <v/>
      </c>
      <c r="G30" s="37">
        <f>IF($A30&gt;LastT+1,0,InitSurrCharge*MAX((MIN(PolicyTerm,10)-A30)/MIN(PolicyTerm,10),0))</f>
        <v/>
      </c>
      <c r="H30" s="37">
        <f>IF($A30&gt;LastT+1,0,MAX(F30-G30,0))</f>
        <v/>
      </c>
      <c r="I30" s="38">
        <f>IF($A30&gt;LastT,0,SumAssured*(H30+H31)/2)</f>
        <v/>
      </c>
      <c r="J30" s="38">
        <f>IF(OR($A30=0,$A30&gt;LastT),0,IF(A30&lt;CommRenTerm,SizePremium*CommRenPrem*(1+CnsmpTax),0))</f>
        <v/>
      </c>
      <c r="K30" s="36">
        <f>IF($A30&gt;LastT,0,INDEX(ScenGrid,A30+1,ScenID))</f>
        <v/>
      </c>
    </row>
    <row r="31">
      <c r="A31" s="30">
        <f>A30+1</f>
        <v/>
      </c>
      <c r="B31" s="30">
        <f>IssueAge+A31</f>
        <v/>
      </c>
      <c r="C31" s="31">
        <f>IF($A31&gt;LastT,0,INDEX(MortGrid,B31+1,BaseMortCol))</f>
        <v/>
      </c>
      <c r="D31" s="31">
        <f>IF($A31&gt;LastT,0,INDEX(AsmpTblGrid,MIN(A31,19)+1,MortFactorCol))</f>
        <v/>
      </c>
      <c r="E31" s="36">
        <f>IF($A31&gt;LastT,0,INDEX(AsmpTblGrid,MIN(A31,19)+1,SurrCol))</f>
        <v/>
      </c>
      <c r="F31" s="37">
        <f>IF($A31&gt;LastT+1,0,IF(INDEX(Comm_Dx,B31+1)=0,0,(INDEX(Comm_Mx,B31+1)-Mx_xn+LoadMaintSA2*(Nx_xn-Nx_xn)-IF(A31&lt;=PolicyTerm,NetPremRatePrem*(INDEX(Comm_Nx,B31+1)-Nx_xn),0))/INDEX(Comm_Dx,B31+1)))</f>
        <v/>
      </c>
      <c r="G31" s="37">
        <f>IF($A31&gt;LastT+1,0,InitSurrCharge*MAX((MIN(PolicyTerm,10)-A31)/MIN(PolicyTerm,10),0))</f>
        <v/>
      </c>
      <c r="H31" s="37">
        <f>IF($A31&gt;LastT+1,0,MAX(F31-G31,0))</f>
        <v/>
      </c>
      <c r="I31" s="38">
        <f>IF($A31&gt;LastT,0,SumAssured*(H31+H32)/2)</f>
        <v/>
      </c>
      <c r="J31" s="38">
        <f>IF(OR($A31=0,$A31&gt;LastT),0,IF(A31&lt;CommRenTerm,SizePremium*CommRenPrem*(1+CnsmpTax),0))</f>
        <v/>
      </c>
      <c r="K31" s="36">
        <f>IF($A31&gt;LastT,0,INDEX(ScenGrid,A31+1,ScenID))</f>
        <v/>
      </c>
    </row>
    <row r="32">
      <c r="A32" s="30">
        <f>A31+1</f>
        <v/>
      </c>
      <c r="B32" s="30">
        <f>IssueAge+A32</f>
        <v/>
      </c>
      <c r="C32" s="31">
        <f>IF($A32&gt;LastT,0,INDEX(MortGrid,B32+1,BaseMortCol))</f>
        <v/>
      </c>
      <c r="D32" s="31">
        <f>IF($A32&gt;LastT,0,INDEX(AsmpTblGrid,MIN(A32,19)+1,MortFactorCol))</f>
        <v/>
      </c>
      <c r="E32" s="36">
        <f>IF($A32&gt;LastT,0,INDEX(AsmpTblGrid,MIN(A32,19)+1,SurrCol))</f>
        <v/>
      </c>
      <c r="F32" s="37">
        <f>IF($A32&gt;LastT+1,0,IF(INDEX(Comm_Dx,B32+1)=0,0,(INDEX(Comm_Mx,B32+1)-Mx_xn+LoadMaintSA2*(Nx_xn-Nx_xn)-IF(A32&lt;=PolicyTerm,NetPremRatePrem*(INDEX(Comm_Nx,B32+1)-Nx_xn),0))/INDEX(Comm_Dx,B32+1)))</f>
        <v/>
      </c>
      <c r="G32" s="37">
        <f>IF($A32&gt;LastT+1,0,InitSurrCharge*MAX((MIN(PolicyTerm,10)-A32)/MIN(PolicyTerm,10),0))</f>
        <v/>
      </c>
      <c r="H32" s="37">
        <f>IF($A32&gt;LastT+1,0,MAX(F32-G32,0))</f>
        <v/>
      </c>
      <c r="I32" s="38">
        <f>IF($A32&gt;LastT,0,SumAssured*(H32+H33)/2)</f>
        <v/>
      </c>
      <c r="J32" s="38">
        <f>IF(OR($A32=0,$A32&gt;LastT),0,IF(A32&lt;CommRenTerm,SizePremium*CommRenPrem*(1+CnsmpTax),0))</f>
        <v/>
      </c>
      <c r="K32" s="36">
        <f>IF($A32&gt;LastT,0,INDEX(ScenGrid,A32+1,ScenID))</f>
        <v/>
      </c>
    </row>
    <row r="33">
      <c r="A33" s="30">
        <f>A32+1</f>
        <v/>
      </c>
      <c r="B33" s="30">
        <f>IssueAge+A33</f>
        <v/>
      </c>
      <c r="C33" s="31">
        <f>IF($A33&gt;LastT,0,INDEX(MortGrid,B33+1,BaseMortCol))</f>
        <v/>
      </c>
      <c r="D33" s="31">
        <f>IF($A33&gt;LastT,0,INDEX(AsmpTblGrid,MIN(A33,19)+1,MortFactorCol))</f>
        <v/>
      </c>
      <c r="E33" s="36">
        <f>IF($A33&gt;LastT,0,INDEX(AsmpTblGrid,MIN(A33,19)+1,SurrCol))</f>
        <v/>
      </c>
      <c r="F33" s="37">
        <f>IF($A33&gt;LastT+1,0,IF(INDEX(Comm_Dx,B33+1)=0,0,(INDEX(Comm_Mx,B33+1)-Mx_xn+LoadMaintSA2*(Nx_xn-Nx_xn)-IF(A33&lt;=PolicyTerm,NetPremRatePrem*(INDEX(Comm_Nx,B33+1)-Nx_xn),0))/INDEX(Comm_Dx,B33+1)))</f>
        <v/>
      </c>
      <c r="G33" s="37">
        <f>IF($A33&gt;LastT+1,0,InitSurrCharge*MAX((MIN(PolicyTerm,10)-A33)/MIN(PolicyTerm,10),0))</f>
        <v/>
      </c>
      <c r="H33" s="37">
        <f>IF($A33&gt;LastT+1,0,MAX(F33-G33,0))</f>
        <v/>
      </c>
      <c r="I33" s="38">
        <f>IF($A33&gt;LastT,0,SumAssured*(H33+H34)/2)</f>
        <v/>
      </c>
      <c r="J33" s="38">
        <f>IF(OR($A33=0,$A33&gt;LastT),0,IF(A33&lt;CommRenTerm,SizePremium*CommRenPrem*(1+CnsmpTax),0))</f>
        <v/>
      </c>
      <c r="K33" s="36">
        <f>IF($A33&gt;LastT,0,INDEX(ScenGrid,A33+1,ScenID))</f>
        <v/>
      </c>
    </row>
    <row r="34">
      <c r="A34" s="30">
        <f>A33+1</f>
        <v/>
      </c>
      <c r="B34" s="30">
        <f>IssueAge+A34</f>
        <v/>
      </c>
      <c r="C34" s="31">
        <f>IF($A34&gt;LastT,0,INDEX(MortGrid,B34+1,BaseMortCol))</f>
        <v/>
      </c>
      <c r="D34" s="31">
        <f>IF($A34&gt;LastT,0,INDEX(AsmpTblGrid,MIN(A34,19)+1,MortFactorCol))</f>
        <v/>
      </c>
      <c r="E34" s="36">
        <f>IF($A34&gt;LastT,0,INDEX(AsmpTblGrid,MIN(A34,19)+1,SurrCol))</f>
        <v/>
      </c>
      <c r="F34" s="37">
        <f>IF($A34&gt;LastT+1,0,IF(INDEX(Comm_Dx,B34+1)=0,0,(INDEX(Comm_Mx,B34+1)-Mx_xn+LoadMaintSA2*(Nx_xn-Nx_xn)-IF(A34&lt;=PolicyTerm,NetPremRatePrem*(INDEX(Comm_Nx,B34+1)-Nx_xn),0))/INDEX(Comm_Dx,B34+1)))</f>
        <v/>
      </c>
      <c r="G34" s="37">
        <f>IF($A34&gt;LastT+1,0,InitSurrCharge*MAX((MIN(PolicyTerm,10)-A34)/MIN(PolicyTerm,10),0))</f>
        <v/>
      </c>
      <c r="H34" s="37">
        <f>IF($A34&gt;LastT+1,0,MAX(F34-G34,0))</f>
        <v/>
      </c>
      <c r="I34" s="38">
        <f>IF($A34&gt;LastT,0,SumAssured*(H34+H35)/2)</f>
        <v/>
      </c>
      <c r="J34" s="38">
        <f>IF(OR($A34=0,$A34&gt;LastT),0,IF(A34&lt;CommRenTerm,SizePremium*CommRenPrem*(1+CnsmpTax),0))</f>
        <v/>
      </c>
      <c r="K34" s="36">
        <f>IF($A34&gt;LastT,0,INDEX(ScenGrid,A34+1,ScenID))</f>
        <v/>
      </c>
    </row>
    <row r="35">
      <c r="A35" s="30">
        <f>A34+1</f>
        <v/>
      </c>
      <c r="B35" s="30">
        <f>IssueAge+A35</f>
        <v/>
      </c>
      <c r="C35" s="31">
        <f>IF($A35&gt;LastT,0,INDEX(MortGrid,B35+1,BaseMortCol))</f>
        <v/>
      </c>
      <c r="D35" s="31">
        <f>IF($A35&gt;LastT,0,INDEX(AsmpTblGrid,MIN(A35,19)+1,MortFactorCol))</f>
        <v/>
      </c>
      <c r="E35" s="36">
        <f>IF($A35&gt;LastT,0,INDEX(AsmpTblGrid,MIN(A35,19)+1,SurrCol))</f>
        <v/>
      </c>
      <c r="F35" s="37">
        <f>IF($A35&gt;LastT+1,0,IF(INDEX(Comm_Dx,B35+1)=0,0,(INDEX(Comm_Mx,B35+1)-Mx_xn+LoadMaintSA2*(Nx_xn-Nx_xn)-IF(A35&lt;=PolicyTerm,NetPremRatePrem*(INDEX(Comm_Nx,B35+1)-Nx_xn),0))/INDEX(Comm_Dx,B35+1)))</f>
        <v/>
      </c>
      <c r="G35" s="37">
        <f>IF($A35&gt;LastT+1,0,InitSurrCharge*MAX((MIN(PolicyTerm,10)-A35)/MIN(PolicyTerm,10),0))</f>
        <v/>
      </c>
      <c r="H35" s="37">
        <f>IF($A35&gt;LastT+1,0,MAX(F35-G35,0))</f>
        <v/>
      </c>
      <c r="I35" s="38">
        <f>IF($A35&gt;LastT,0,SumAssured*(H35+H36)/2)</f>
        <v/>
      </c>
      <c r="J35" s="38">
        <f>IF(OR($A35=0,$A35&gt;LastT),0,IF(A35&lt;CommRenTerm,SizePremium*CommRenPrem*(1+CnsmpTax),0))</f>
        <v/>
      </c>
      <c r="K35" s="36">
        <f>IF($A35&gt;LastT,0,INDEX(ScenGrid,A35+1,ScenID))</f>
        <v/>
      </c>
    </row>
    <row r="36">
      <c r="A36" s="30">
        <f>A35+1</f>
        <v/>
      </c>
      <c r="B36" s="30">
        <f>IssueAge+A36</f>
        <v/>
      </c>
      <c r="C36" s="31">
        <f>IF($A36&gt;LastT,0,INDEX(MortGrid,B36+1,BaseMortCol))</f>
        <v/>
      </c>
      <c r="D36" s="31">
        <f>IF($A36&gt;LastT,0,INDEX(AsmpTblGrid,MIN(A36,19)+1,MortFactorCol))</f>
        <v/>
      </c>
      <c r="E36" s="36">
        <f>IF($A36&gt;LastT,0,INDEX(AsmpTblGrid,MIN(A36,19)+1,SurrCol))</f>
        <v/>
      </c>
      <c r="F36" s="37">
        <f>IF($A36&gt;LastT+1,0,IF(INDEX(Comm_Dx,B36+1)=0,0,(INDEX(Comm_Mx,B36+1)-Mx_xn+LoadMaintSA2*(Nx_xn-Nx_xn)-IF(A36&lt;=PolicyTerm,NetPremRatePrem*(INDEX(Comm_Nx,B36+1)-Nx_xn),0))/INDEX(Comm_Dx,B36+1)))</f>
        <v/>
      </c>
      <c r="G36" s="37">
        <f>IF($A36&gt;LastT+1,0,InitSurrCharge*MAX((MIN(PolicyTerm,10)-A36)/MIN(PolicyTerm,10),0))</f>
        <v/>
      </c>
      <c r="H36" s="37">
        <f>IF($A36&gt;LastT+1,0,MAX(F36-G36,0))</f>
        <v/>
      </c>
      <c r="I36" s="38">
        <f>IF($A36&gt;LastT,0,SumAssured*(H36+H37)/2)</f>
        <v/>
      </c>
      <c r="J36" s="38">
        <f>IF(OR($A36=0,$A36&gt;LastT),0,IF(A36&lt;CommRenTerm,SizePremium*CommRenPrem*(1+CnsmpTax),0))</f>
        <v/>
      </c>
      <c r="K36" s="36">
        <f>IF($A36&gt;LastT,0,INDEX(ScenGrid,A36+1,ScenID))</f>
        <v/>
      </c>
    </row>
    <row r="37">
      <c r="A37" s="30">
        <f>A36+1</f>
        <v/>
      </c>
      <c r="B37" s="30">
        <f>IssueAge+A37</f>
        <v/>
      </c>
      <c r="C37" s="31">
        <f>IF($A37&gt;LastT,0,INDEX(MortGrid,B37+1,BaseMortCol))</f>
        <v/>
      </c>
      <c r="D37" s="31">
        <f>IF($A37&gt;LastT,0,INDEX(AsmpTblGrid,MIN(A37,19)+1,MortFactorCol))</f>
        <v/>
      </c>
      <c r="E37" s="36">
        <f>IF($A37&gt;LastT,0,INDEX(AsmpTblGrid,MIN(A37,19)+1,SurrCol))</f>
        <v/>
      </c>
      <c r="F37" s="37">
        <f>IF($A37&gt;LastT+1,0,IF(INDEX(Comm_Dx,B37+1)=0,0,(INDEX(Comm_Mx,B37+1)-Mx_xn+LoadMaintSA2*(Nx_xn-Nx_xn)-IF(A37&lt;=PolicyTerm,NetPremRatePrem*(INDEX(Comm_Nx,B37+1)-Nx_xn),0))/INDEX(Comm_Dx,B37+1)))</f>
        <v/>
      </c>
      <c r="G37" s="37">
        <f>IF($A37&gt;LastT+1,0,InitSurrCharge*MAX((MIN(PolicyTerm,10)-A37)/MIN(PolicyTerm,10),0))</f>
        <v/>
      </c>
      <c r="H37" s="37">
        <f>IF($A37&gt;LastT+1,0,MAX(F37-G37,0))</f>
        <v/>
      </c>
      <c r="I37" s="38">
        <f>IF($A37&gt;LastT,0,SumAssured*(H37+H38)/2)</f>
        <v/>
      </c>
      <c r="J37" s="38">
        <f>IF(OR($A37=0,$A37&gt;LastT),0,IF(A37&lt;CommRenTerm,SizePremium*CommRenPrem*(1+CnsmpTax),0))</f>
        <v/>
      </c>
      <c r="K37" s="36">
        <f>IF($A37&gt;LastT,0,INDEX(ScenGrid,A37+1,ScenID))</f>
        <v/>
      </c>
    </row>
    <row r="38">
      <c r="A38" s="30">
        <f>A37+1</f>
        <v/>
      </c>
      <c r="B38" s="30">
        <f>IssueAge+A38</f>
        <v/>
      </c>
      <c r="C38" s="31">
        <f>IF($A38&gt;LastT,0,INDEX(MortGrid,B38+1,BaseMortCol))</f>
        <v/>
      </c>
      <c r="D38" s="31">
        <f>IF($A38&gt;LastT,0,INDEX(AsmpTblGrid,MIN(A38,19)+1,MortFactorCol))</f>
        <v/>
      </c>
      <c r="E38" s="36">
        <f>IF($A38&gt;LastT,0,INDEX(AsmpTblGrid,MIN(A38,19)+1,SurrCol))</f>
        <v/>
      </c>
      <c r="F38" s="37">
        <f>IF($A38&gt;LastT+1,0,IF(INDEX(Comm_Dx,B38+1)=0,0,(INDEX(Comm_Mx,B38+1)-Mx_xn+LoadMaintSA2*(Nx_xn-Nx_xn)-IF(A38&lt;=PolicyTerm,NetPremRatePrem*(INDEX(Comm_Nx,B38+1)-Nx_xn),0))/INDEX(Comm_Dx,B38+1)))</f>
        <v/>
      </c>
      <c r="G38" s="37">
        <f>IF($A38&gt;LastT+1,0,InitSurrCharge*MAX((MIN(PolicyTerm,10)-A38)/MIN(PolicyTerm,10),0))</f>
        <v/>
      </c>
      <c r="H38" s="37">
        <f>IF($A38&gt;LastT+1,0,MAX(F38-G38,0))</f>
        <v/>
      </c>
      <c r="I38" s="38">
        <f>IF($A38&gt;LastT,0,SumAssured*(H38+H39)/2)</f>
        <v/>
      </c>
      <c r="J38" s="38">
        <f>IF(OR($A38=0,$A38&gt;LastT),0,IF(A38&lt;CommRenTerm,SizePremium*CommRenPrem*(1+CnsmpTax),0))</f>
        <v/>
      </c>
      <c r="K38" s="36">
        <f>IF($A38&gt;LastT,0,INDEX(ScenGrid,A38+1,ScenID))</f>
        <v/>
      </c>
    </row>
    <row r="39">
      <c r="A39" s="30">
        <f>A38+1</f>
        <v/>
      </c>
      <c r="B39" s="30">
        <f>IssueAge+A39</f>
        <v/>
      </c>
      <c r="C39" s="31">
        <f>IF($A39&gt;LastT,0,INDEX(MortGrid,B39+1,BaseMortCol))</f>
        <v/>
      </c>
      <c r="D39" s="31">
        <f>IF($A39&gt;LastT,0,INDEX(AsmpTblGrid,MIN(A39,19)+1,MortFactorCol))</f>
        <v/>
      </c>
      <c r="E39" s="36">
        <f>IF($A39&gt;LastT,0,INDEX(AsmpTblGrid,MIN(A39,19)+1,SurrCol))</f>
        <v/>
      </c>
      <c r="F39" s="37">
        <f>IF($A39&gt;LastT+1,0,IF(INDEX(Comm_Dx,B39+1)=0,0,(INDEX(Comm_Mx,B39+1)-Mx_xn+LoadMaintSA2*(Nx_xn-Nx_xn)-IF(A39&lt;=PolicyTerm,NetPremRatePrem*(INDEX(Comm_Nx,B39+1)-Nx_xn),0))/INDEX(Comm_Dx,B39+1)))</f>
        <v/>
      </c>
      <c r="G39" s="37">
        <f>IF($A39&gt;LastT+1,0,InitSurrCharge*MAX((MIN(PolicyTerm,10)-A39)/MIN(PolicyTerm,10),0))</f>
        <v/>
      </c>
      <c r="H39" s="37">
        <f>IF($A39&gt;LastT+1,0,MAX(F39-G39,0))</f>
        <v/>
      </c>
      <c r="I39" s="38">
        <f>IF($A39&gt;LastT,0,SumAssured*(H39+H40)/2)</f>
        <v/>
      </c>
      <c r="J39" s="38">
        <f>IF(OR($A39=0,$A39&gt;LastT),0,IF(A39&lt;CommRenTerm,SizePremium*CommRenPrem*(1+CnsmpTax),0))</f>
        <v/>
      </c>
      <c r="K39" s="36">
        <f>IF($A39&gt;LastT,0,INDEX(ScenGrid,A39+1,ScenID))</f>
        <v/>
      </c>
    </row>
    <row r="40">
      <c r="A40" s="30">
        <f>A39+1</f>
        <v/>
      </c>
      <c r="B40" s="30">
        <f>IssueAge+A40</f>
        <v/>
      </c>
      <c r="C40" s="31">
        <f>IF($A40&gt;LastT,0,INDEX(MortGrid,B40+1,BaseMortCol))</f>
        <v/>
      </c>
      <c r="D40" s="31">
        <f>IF($A40&gt;LastT,0,INDEX(AsmpTblGrid,MIN(A40,19)+1,MortFactorCol))</f>
        <v/>
      </c>
      <c r="E40" s="36">
        <f>IF($A40&gt;LastT,0,INDEX(AsmpTblGrid,MIN(A40,19)+1,SurrCol))</f>
        <v/>
      </c>
      <c r="F40" s="37">
        <f>IF($A40&gt;LastT+1,0,IF(INDEX(Comm_Dx,B40+1)=0,0,(INDEX(Comm_Mx,B40+1)-Mx_xn+LoadMaintSA2*(Nx_xn-Nx_xn)-IF(A40&lt;=PolicyTerm,NetPremRatePrem*(INDEX(Comm_Nx,B40+1)-Nx_xn),0))/INDEX(Comm_Dx,B40+1)))</f>
        <v/>
      </c>
      <c r="G40" s="37">
        <f>IF($A40&gt;LastT+1,0,InitSurrCharge*MAX((MIN(PolicyTerm,10)-A40)/MIN(PolicyTerm,10),0))</f>
        <v/>
      </c>
      <c r="H40" s="37">
        <f>IF($A40&gt;LastT+1,0,MAX(F40-G40,0))</f>
        <v/>
      </c>
      <c r="I40" s="38">
        <f>IF($A40&gt;LastT,0,SumAssured*(H40+H41)/2)</f>
        <v/>
      </c>
      <c r="J40" s="38">
        <f>IF(OR($A40=0,$A40&gt;LastT),0,IF(A40&lt;CommRenTerm,SizePremium*CommRenPrem*(1+CnsmpTax),0))</f>
        <v/>
      </c>
      <c r="K40" s="36">
        <f>IF($A40&gt;LastT,0,INDEX(ScenGrid,A40+1,ScenID))</f>
        <v/>
      </c>
    </row>
    <row r="41">
      <c r="A41" s="30">
        <f>A40+1</f>
        <v/>
      </c>
      <c r="B41" s="30">
        <f>IssueAge+A41</f>
        <v/>
      </c>
      <c r="C41" s="31">
        <f>IF($A41&gt;LastT,0,INDEX(MortGrid,B41+1,BaseMortCol))</f>
        <v/>
      </c>
      <c r="D41" s="31">
        <f>IF($A41&gt;LastT,0,INDEX(AsmpTblGrid,MIN(A41,19)+1,MortFactorCol))</f>
        <v/>
      </c>
      <c r="E41" s="36">
        <f>IF($A41&gt;LastT,0,INDEX(AsmpTblGrid,MIN(A41,19)+1,SurrCol))</f>
        <v/>
      </c>
      <c r="F41" s="37">
        <f>IF($A41&gt;LastT+1,0,IF(INDEX(Comm_Dx,B41+1)=0,0,(INDEX(Comm_Mx,B41+1)-Mx_xn+LoadMaintSA2*(Nx_xn-Nx_xn)-IF(A41&lt;=PolicyTerm,NetPremRatePrem*(INDEX(Comm_Nx,B41+1)-Nx_xn),0))/INDEX(Comm_Dx,B41+1)))</f>
        <v/>
      </c>
      <c r="G41" s="37">
        <f>IF($A41&gt;LastT+1,0,InitSurrCharge*MAX((MIN(PolicyTerm,10)-A41)/MIN(PolicyTerm,10),0))</f>
        <v/>
      </c>
      <c r="H41" s="37">
        <f>IF($A41&gt;LastT+1,0,MAX(F41-G41,0))</f>
        <v/>
      </c>
      <c r="I41" s="38">
        <f>IF($A41&gt;LastT,0,SumAssured*(H41+H42)/2)</f>
        <v/>
      </c>
      <c r="J41" s="38">
        <f>IF(OR($A41=0,$A41&gt;LastT),0,IF(A41&lt;CommRenTerm,SizePremium*CommRenPrem*(1+CnsmpTax),0))</f>
        <v/>
      </c>
      <c r="K41" s="36">
        <f>IF($A41&gt;LastT,0,INDEX(ScenGrid,A41+1,ScenID))</f>
        <v/>
      </c>
    </row>
    <row r="42">
      <c r="A42" s="30">
        <f>A41+1</f>
        <v/>
      </c>
      <c r="B42" s="30">
        <f>IssueAge+A42</f>
        <v/>
      </c>
      <c r="C42" s="31">
        <f>IF($A42&gt;LastT,0,INDEX(MortGrid,B42+1,BaseMortCol))</f>
        <v/>
      </c>
      <c r="D42" s="31">
        <f>IF($A42&gt;LastT,0,INDEX(AsmpTblGrid,MIN(A42,19)+1,MortFactorCol))</f>
        <v/>
      </c>
      <c r="E42" s="36">
        <f>IF($A42&gt;LastT,0,INDEX(AsmpTblGrid,MIN(A42,19)+1,SurrCol))</f>
        <v/>
      </c>
      <c r="F42" s="37">
        <f>IF($A42&gt;LastT+1,0,IF(INDEX(Comm_Dx,B42+1)=0,0,(INDEX(Comm_Mx,B42+1)-Mx_xn+LoadMaintSA2*(Nx_xn-Nx_xn)-IF(A42&lt;=PolicyTerm,NetPremRatePrem*(INDEX(Comm_Nx,B42+1)-Nx_xn),0))/INDEX(Comm_Dx,B42+1)))</f>
        <v/>
      </c>
      <c r="G42" s="37">
        <f>IF($A42&gt;LastT+1,0,InitSurrCharge*MAX((MIN(PolicyTerm,10)-A42)/MIN(PolicyTerm,10),0))</f>
        <v/>
      </c>
      <c r="H42" s="37">
        <f>IF($A42&gt;LastT+1,0,MAX(F42-G42,0))</f>
        <v/>
      </c>
      <c r="I42" s="38">
        <f>IF($A42&gt;LastT,0,SumAssured*(H42+H43)/2)</f>
        <v/>
      </c>
      <c r="J42" s="38">
        <f>IF(OR($A42=0,$A42&gt;LastT),0,IF(A42&lt;CommRenTerm,SizePremium*CommRenPrem*(1+CnsmpTax),0))</f>
        <v/>
      </c>
      <c r="K42" s="36">
        <f>IF($A42&gt;LastT,0,INDEX(ScenGrid,A42+1,ScenID))</f>
        <v/>
      </c>
    </row>
    <row r="43">
      <c r="A43" s="30">
        <f>A42+1</f>
        <v/>
      </c>
      <c r="B43" s="30">
        <f>IssueAge+A43</f>
        <v/>
      </c>
      <c r="C43" s="31">
        <f>IF($A43&gt;LastT,0,INDEX(MortGrid,B43+1,BaseMortCol))</f>
        <v/>
      </c>
      <c r="D43" s="31">
        <f>IF($A43&gt;LastT,0,INDEX(AsmpTblGrid,MIN(A43,19)+1,MortFactorCol))</f>
        <v/>
      </c>
      <c r="E43" s="36">
        <f>IF($A43&gt;LastT,0,INDEX(AsmpTblGrid,MIN(A43,19)+1,SurrCol))</f>
        <v/>
      </c>
      <c r="F43" s="37">
        <f>IF($A43&gt;LastT+1,0,IF(INDEX(Comm_Dx,B43+1)=0,0,(INDEX(Comm_Mx,B43+1)-Mx_xn+LoadMaintSA2*(Nx_xn-Nx_xn)-IF(A43&lt;=PolicyTerm,NetPremRatePrem*(INDEX(Comm_Nx,B43+1)-Nx_xn),0))/INDEX(Comm_Dx,B43+1)))</f>
        <v/>
      </c>
      <c r="G43" s="37">
        <f>IF($A43&gt;LastT+1,0,InitSurrCharge*MAX((MIN(PolicyTerm,10)-A43)/MIN(PolicyTerm,10),0))</f>
        <v/>
      </c>
      <c r="H43" s="37">
        <f>IF($A43&gt;LastT+1,0,MAX(F43-G43,0))</f>
        <v/>
      </c>
      <c r="I43" s="38">
        <f>IF($A43&gt;LastT,0,SumAssured*(H43+H44)/2)</f>
        <v/>
      </c>
      <c r="J43" s="38">
        <f>IF(OR($A43=0,$A43&gt;LastT),0,IF(A43&lt;CommRenTerm,SizePremium*CommRenPrem*(1+CnsmpTax),0))</f>
        <v/>
      </c>
      <c r="K43" s="36">
        <f>IF($A43&gt;LastT,0,INDEX(ScenGrid,A43+1,ScenID))</f>
        <v/>
      </c>
    </row>
    <row r="44">
      <c r="A44" s="30">
        <f>A43+1</f>
        <v/>
      </c>
      <c r="B44" s="30">
        <f>IssueAge+A44</f>
        <v/>
      </c>
      <c r="C44" s="31">
        <f>IF($A44&gt;LastT,0,INDEX(MortGrid,B44+1,BaseMortCol))</f>
        <v/>
      </c>
      <c r="D44" s="31">
        <f>IF($A44&gt;LastT,0,INDEX(AsmpTblGrid,MIN(A44,19)+1,MortFactorCol))</f>
        <v/>
      </c>
      <c r="E44" s="36">
        <f>IF($A44&gt;LastT,0,INDEX(AsmpTblGrid,MIN(A44,19)+1,SurrCol))</f>
        <v/>
      </c>
      <c r="F44" s="37">
        <f>IF($A44&gt;LastT+1,0,IF(INDEX(Comm_Dx,B44+1)=0,0,(INDEX(Comm_Mx,B44+1)-Mx_xn+LoadMaintSA2*(Nx_xn-Nx_xn)-IF(A44&lt;=PolicyTerm,NetPremRatePrem*(INDEX(Comm_Nx,B44+1)-Nx_xn),0))/INDEX(Comm_Dx,B44+1)))</f>
        <v/>
      </c>
      <c r="G44" s="37">
        <f>IF($A44&gt;LastT+1,0,InitSurrCharge*MAX((MIN(PolicyTerm,10)-A44)/MIN(PolicyTerm,10),0))</f>
        <v/>
      </c>
      <c r="H44" s="37">
        <f>IF($A44&gt;LastT+1,0,MAX(F44-G44,0))</f>
        <v/>
      </c>
      <c r="I44" s="38">
        <f>IF($A44&gt;LastT,0,SumAssured*(H44+H45)/2)</f>
        <v/>
      </c>
      <c r="J44" s="38">
        <f>IF(OR($A44=0,$A44&gt;LastT),0,IF(A44&lt;CommRenTerm,SizePremium*CommRenPrem*(1+CnsmpTax),0))</f>
        <v/>
      </c>
      <c r="K44" s="36">
        <f>IF($A44&gt;LastT,0,INDEX(ScenGrid,A44+1,ScenID))</f>
        <v/>
      </c>
    </row>
    <row r="45">
      <c r="A45" s="30">
        <f>A44+1</f>
        <v/>
      </c>
      <c r="B45" s="30">
        <f>IssueAge+A45</f>
        <v/>
      </c>
      <c r="C45" s="31">
        <f>IF($A45&gt;LastT,0,INDEX(MortGrid,B45+1,BaseMortCol))</f>
        <v/>
      </c>
      <c r="D45" s="31">
        <f>IF($A45&gt;LastT,0,INDEX(AsmpTblGrid,MIN(A45,19)+1,MortFactorCol))</f>
        <v/>
      </c>
      <c r="E45" s="36">
        <f>IF($A45&gt;LastT,0,INDEX(AsmpTblGrid,MIN(A45,19)+1,SurrCol))</f>
        <v/>
      </c>
      <c r="F45" s="37">
        <f>IF($A45&gt;LastT+1,0,IF(INDEX(Comm_Dx,B45+1)=0,0,(INDEX(Comm_Mx,B45+1)-Mx_xn+LoadMaintSA2*(Nx_xn-Nx_xn)-IF(A45&lt;=PolicyTerm,NetPremRatePrem*(INDEX(Comm_Nx,B45+1)-Nx_xn),0))/INDEX(Comm_Dx,B45+1)))</f>
        <v/>
      </c>
      <c r="G45" s="37">
        <f>IF($A45&gt;LastT+1,0,InitSurrCharge*MAX((MIN(PolicyTerm,10)-A45)/MIN(PolicyTerm,10),0))</f>
        <v/>
      </c>
      <c r="H45" s="37">
        <f>IF($A45&gt;LastT+1,0,MAX(F45-G45,0))</f>
        <v/>
      </c>
      <c r="I45" s="38">
        <f>IF($A45&gt;LastT,0,SumAssured*(H45+H46)/2)</f>
        <v/>
      </c>
      <c r="J45" s="38">
        <f>IF(OR($A45=0,$A45&gt;LastT),0,IF(A45&lt;CommRenTerm,SizePremium*CommRenPrem*(1+CnsmpTax),0))</f>
        <v/>
      </c>
      <c r="K45" s="36">
        <f>IF($A45&gt;LastT,0,INDEX(ScenGrid,A45+1,ScenID))</f>
        <v/>
      </c>
    </row>
    <row r="46">
      <c r="A46" s="30">
        <f>A45+1</f>
        <v/>
      </c>
      <c r="B46" s="30">
        <f>IssueAge+A46</f>
        <v/>
      </c>
      <c r="C46" s="31">
        <f>IF($A46&gt;LastT,0,INDEX(MortGrid,B46+1,BaseMortCol))</f>
        <v/>
      </c>
      <c r="D46" s="31">
        <f>IF($A46&gt;LastT,0,INDEX(AsmpTblGrid,MIN(A46,19)+1,MortFactorCol))</f>
        <v/>
      </c>
      <c r="E46" s="36">
        <f>IF($A46&gt;LastT,0,INDEX(AsmpTblGrid,MIN(A46,19)+1,SurrCol))</f>
        <v/>
      </c>
      <c r="F46" s="37">
        <f>IF($A46&gt;LastT+1,0,IF(INDEX(Comm_Dx,B46+1)=0,0,(INDEX(Comm_Mx,B46+1)-Mx_xn+LoadMaintSA2*(Nx_xn-Nx_xn)-IF(A46&lt;=PolicyTerm,NetPremRatePrem*(INDEX(Comm_Nx,B46+1)-Nx_xn),0))/INDEX(Comm_Dx,B46+1)))</f>
        <v/>
      </c>
      <c r="G46" s="37">
        <f>IF($A46&gt;LastT+1,0,InitSurrCharge*MAX((MIN(PolicyTerm,10)-A46)/MIN(PolicyTerm,10),0))</f>
        <v/>
      </c>
      <c r="H46" s="37">
        <f>IF($A46&gt;LastT+1,0,MAX(F46-G46,0))</f>
        <v/>
      </c>
      <c r="I46" s="38">
        <f>IF($A46&gt;LastT,0,SumAssured*(H46+H47)/2)</f>
        <v/>
      </c>
      <c r="J46" s="38">
        <f>IF(OR($A46=0,$A46&gt;LastT),0,IF(A46&lt;CommRenTerm,SizePremium*CommRenPrem*(1+CnsmpTax),0))</f>
        <v/>
      </c>
      <c r="K46" s="36">
        <f>IF($A46&gt;LastT,0,INDEX(ScenGrid,A46+1,ScenID))</f>
        <v/>
      </c>
    </row>
    <row r="47">
      <c r="A47" s="30">
        <f>A46+1</f>
        <v/>
      </c>
      <c r="B47" s="30">
        <f>IssueAge+A47</f>
        <v/>
      </c>
      <c r="C47" s="31">
        <f>IF($A47&gt;LastT,0,INDEX(MortGrid,B47+1,BaseMortCol))</f>
        <v/>
      </c>
      <c r="D47" s="31">
        <f>IF($A47&gt;LastT,0,INDEX(AsmpTblGrid,MIN(A47,19)+1,MortFactorCol))</f>
        <v/>
      </c>
      <c r="E47" s="36">
        <f>IF($A47&gt;LastT,0,INDEX(AsmpTblGrid,MIN(A47,19)+1,SurrCol))</f>
        <v/>
      </c>
      <c r="F47" s="37">
        <f>IF($A47&gt;LastT+1,0,IF(INDEX(Comm_Dx,B47+1)=0,0,(INDEX(Comm_Mx,B47+1)-Mx_xn+LoadMaintSA2*(Nx_xn-Nx_xn)-IF(A47&lt;=PolicyTerm,NetPremRatePrem*(INDEX(Comm_Nx,B47+1)-Nx_xn),0))/INDEX(Comm_Dx,B47+1)))</f>
        <v/>
      </c>
      <c r="G47" s="37">
        <f>IF($A47&gt;LastT+1,0,InitSurrCharge*MAX((MIN(PolicyTerm,10)-A47)/MIN(PolicyTerm,10),0))</f>
        <v/>
      </c>
      <c r="H47" s="37">
        <f>IF($A47&gt;LastT+1,0,MAX(F47-G47,0))</f>
        <v/>
      </c>
      <c r="I47" s="38">
        <f>IF($A47&gt;LastT,0,SumAssured*(H47+H48)/2)</f>
        <v/>
      </c>
      <c r="J47" s="38">
        <f>IF(OR($A47=0,$A47&gt;LastT),0,IF(A47&lt;CommRenTerm,SizePremium*CommRenPrem*(1+CnsmpTax),0))</f>
        <v/>
      </c>
      <c r="K47" s="36">
        <f>IF($A47&gt;LastT,0,INDEX(ScenGrid,A47+1,ScenID))</f>
        <v/>
      </c>
    </row>
    <row r="48">
      <c r="A48" s="30">
        <f>A47+1</f>
        <v/>
      </c>
      <c r="B48" s="30">
        <f>IssueAge+A48</f>
        <v/>
      </c>
      <c r="C48" s="31">
        <f>IF($A48&gt;LastT,0,INDEX(MortGrid,B48+1,BaseMortCol))</f>
        <v/>
      </c>
      <c r="D48" s="31">
        <f>IF($A48&gt;LastT,0,INDEX(AsmpTblGrid,MIN(A48,19)+1,MortFactorCol))</f>
        <v/>
      </c>
      <c r="E48" s="36">
        <f>IF($A48&gt;LastT,0,INDEX(AsmpTblGrid,MIN(A48,19)+1,SurrCol))</f>
        <v/>
      </c>
      <c r="F48" s="37">
        <f>IF($A48&gt;LastT+1,0,IF(INDEX(Comm_Dx,B48+1)=0,0,(INDEX(Comm_Mx,B48+1)-Mx_xn+LoadMaintSA2*(Nx_xn-Nx_xn)-IF(A48&lt;=PolicyTerm,NetPremRatePrem*(INDEX(Comm_Nx,B48+1)-Nx_xn),0))/INDEX(Comm_Dx,B48+1)))</f>
        <v/>
      </c>
      <c r="G48" s="37">
        <f>IF($A48&gt;LastT+1,0,InitSurrCharge*MAX((MIN(PolicyTerm,10)-A48)/MIN(PolicyTerm,10),0))</f>
        <v/>
      </c>
      <c r="H48" s="37">
        <f>IF($A48&gt;LastT+1,0,MAX(F48-G48,0))</f>
        <v/>
      </c>
      <c r="I48" s="38">
        <f>IF($A48&gt;LastT,0,SumAssured*(H48+H49)/2)</f>
        <v/>
      </c>
      <c r="J48" s="38">
        <f>IF(OR($A48=0,$A48&gt;LastT),0,IF(A48&lt;CommRenTerm,SizePremium*CommRenPrem*(1+CnsmpTax),0))</f>
        <v/>
      </c>
      <c r="K48" s="36">
        <f>IF($A48&gt;LastT,0,INDEX(ScenGrid,A48+1,ScenID))</f>
        <v/>
      </c>
    </row>
    <row r="49">
      <c r="A49" s="30">
        <f>A48+1</f>
        <v/>
      </c>
      <c r="B49" s="30">
        <f>IssueAge+A49</f>
        <v/>
      </c>
      <c r="C49" s="31">
        <f>IF($A49&gt;LastT,0,INDEX(MortGrid,B49+1,BaseMortCol))</f>
        <v/>
      </c>
      <c r="D49" s="31">
        <f>IF($A49&gt;LastT,0,INDEX(AsmpTblGrid,MIN(A49,19)+1,MortFactorCol))</f>
        <v/>
      </c>
      <c r="E49" s="36">
        <f>IF($A49&gt;LastT,0,INDEX(AsmpTblGrid,MIN(A49,19)+1,SurrCol))</f>
        <v/>
      </c>
      <c r="F49" s="37">
        <f>IF($A49&gt;LastT+1,0,IF(INDEX(Comm_Dx,B49+1)=0,0,(INDEX(Comm_Mx,B49+1)-Mx_xn+LoadMaintSA2*(Nx_xn-Nx_xn)-IF(A49&lt;=PolicyTerm,NetPremRatePrem*(INDEX(Comm_Nx,B49+1)-Nx_xn),0))/INDEX(Comm_Dx,B49+1)))</f>
        <v/>
      </c>
      <c r="G49" s="37">
        <f>IF($A49&gt;LastT+1,0,InitSurrCharge*MAX((MIN(PolicyTerm,10)-A49)/MIN(PolicyTerm,10),0))</f>
        <v/>
      </c>
      <c r="H49" s="37">
        <f>IF($A49&gt;LastT+1,0,MAX(F49-G49,0))</f>
        <v/>
      </c>
      <c r="I49" s="38">
        <f>IF($A49&gt;LastT,0,SumAssured*(H49+H50)/2)</f>
        <v/>
      </c>
      <c r="J49" s="38">
        <f>IF(OR($A49=0,$A49&gt;LastT),0,IF(A49&lt;CommRenTerm,SizePremium*CommRenPrem*(1+CnsmpTax),0))</f>
        <v/>
      </c>
      <c r="K49" s="36">
        <f>IF($A49&gt;LastT,0,INDEX(ScenGrid,A49+1,ScenID))</f>
        <v/>
      </c>
    </row>
    <row r="50">
      <c r="A50" s="30">
        <f>A49+1</f>
        <v/>
      </c>
      <c r="B50" s="30">
        <f>IssueAge+A50</f>
        <v/>
      </c>
      <c r="C50" s="31">
        <f>IF($A50&gt;LastT,0,INDEX(MortGrid,B50+1,BaseMortCol))</f>
        <v/>
      </c>
      <c r="D50" s="31">
        <f>IF($A50&gt;LastT,0,INDEX(AsmpTblGrid,MIN(A50,19)+1,MortFactorCol))</f>
        <v/>
      </c>
      <c r="E50" s="36">
        <f>IF($A50&gt;LastT,0,INDEX(AsmpTblGrid,MIN(A50,19)+1,SurrCol))</f>
        <v/>
      </c>
      <c r="F50" s="37">
        <f>IF($A50&gt;LastT+1,0,IF(INDEX(Comm_Dx,B50+1)=0,0,(INDEX(Comm_Mx,B50+1)-Mx_xn+LoadMaintSA2*(Nx_xn-Nx_xn)-IF(A50&lt;=PolicyTerm,NetPremRatePrem*(INDEX(Comm_Nx,B50+1)-Nx_xn),0))/INDEX(Comm_Dx,B50+1)))</f>
        <v/>
      </c>
      <c r="G50" s="37">
        <f>IF($A50&gt;LastT+1,0,InitSurrCharge*MAX((MIN(PolicyTerm,10)-A50)/MIN(PolicyTerm,10),0))</f>
        <v/>
      </c>
      <c r="H50" s="37">
        <f>IF($A50&gt;LastT+1,0,MAX(F50-G50,0))</f>
        <v/>
      </c>
      <c r="I50" s="38">
        <f>IF($A50&gt;LastT,0,SumAssured*(H50+H51)/2)</f>
        <v/>
      </c>
      <c r="J50" s="38">
        <f>IF(OR($A50=0,$A50&gt;LastT),0,IF(A50&lt;CommRenTerm,SizePremium*CommRenPrem*(1+CnsmpTax),0))</f>
        <v/>
      </c>
      <c r="K50" s="36">
        <f>IF($A50&gt;LastT,0,INDEX(ScenGrid,A50+1,ScenID))</f>
        <v/>
      </c>
    </row>
    <row r="51">
      <c r="A51" s="30">
        <f>A50+1</f>
        <v/>
      </c>
      <c r="B51" s="30">
        <f>IssueAge+A51</f>
        <v/>
      </c>
      <c r="C51" s="31">
        <f>IF($A51&gt;LastT,0,INDEX(MortGrid,B51+1,BaseMortCol))</f>
        <v/>
      </c>
      <c r="D51" s="31">
        <f>IF($A51&gt;LastT,0,INDEX(AsmpTblGrid,MIN(A51,19)+1,MortFactorCol))</f>
        <v/>
      </c>
      <c r="E51" s="36">
        <f>IF($A51&gt;LastT,0,INDEX(AsmpTblGrid,MIN(A51,19)+1,SurrCol))</f>
        <v/>
      </c>
      <c r="F51" s="37">
        <f>IF($A51&gt;LastT+1,0,IF(INDEX(Comm_Dx,B51+1)=0,0,(INDEX(Comm_Mx,B51+1)-Mx_xn+LoadMaintSA2*(Nx_xn-Nx_xn)-IF(A51&lt;=PolicyTerm,NetPremRatePrem*(INDEX(Comm_Nx,B51+1)-Nx_xn),0))/INDEX(Comm_Dx,B51+1)))</f>
        <v/>
      </c>
      <c r="G51" s="37">
        <f>IF($A51&gt;LastT+1,0,InitSurrCharge*MAX((MIN(PolicyTerm,10)-A51)/MIN(PolicyTerm,10),0))</f>
        <v/>
      </c>
      <c r="H51" s="37">
        <f>IF($A51&gt;LastT+1,0,MAX(F51-G51,0))</f>
        <v/>
      </c>
      <c r="I51" s="38">
        <f>IF($A51&gt;LastT,0,SumAssured*(H51+H52)/2)</f>
        <v/>
      </c>
      <c r="J51" s="38">
        <f>IF(OR($A51=0,$A51&gt;LastT),0,IF(A51&lt;CommRenTerm,SizePremium*CommRenPrem*(1+CnsmpTax),0))</f>
        <v/>
      </c>
      <c r="K51" s="36">
        <f>IF($A51&gt;LastT,0,INDEX(ScenGrid,A51+1,ScenID))</f>
        <v/>
      </c>
    </row>
    <row r="52">
      <c r="A52" s="30">
        <f>A51+1</f>
        <v/>
      </c>
      <c r="B52" s="30">
        <f>IssueAge+A52</f>
        <v/>
      </c>
      <c r="C52" s="31">
        <f>IF($A52&gt;LastT,0,INDEX(MortGrid,B52+1,BaseMortCol))</f>
        <v/>
      </c>
      <c r="D52" s="31">
        <f>IF($A52&gt;LastT,0,INDEX(AsmpTblGrid,MIN(A52,19)+1,MortFactorCol))</f>
        <v/>
      </c>
      <c r="E52" s="36">
        <f>IF($A52&gt;LastT,0,INDEX(AsmpTblGrid,MIN(A52,19)+1,SurrCol))</f>
        <v/>
      </c>
      <c r="F52" s="37">
        <f>IF($A52&gt;LastT+1,0,IF(INDEX(Comm_Dx,B52+1)=0,0,(INDEX(Comm_Mx,B52+1)-Mx_xn+LoadMaintSA2*(Nx_xn-Nx_xn)-IF(A52&lt;=PolicyTerm,NetPremRatePrem*(INDEX(Comm_Nx,B52+1)-Nx_xn),0))/INDEX(Comm_Dx,B52+1)))</f>
        <v/>
      </c>
      <c r="G52" s="37">
        <f>IF($A52&gt;LastT+1,0,InitSurrCharge*MAX((MIN(PolicyTerm,10)-A52)/MIN(PolicyTerm,10),0))</f>
        <v/>
      </c>
      <c r="H52" s="37">
        <f>IF($A52&gt;LastT+1,0,MAX(F52-G52,0))</f>
        <v/>
      </c>
      <c r="I52" s="38">
        <f>IF($A52&gt;LastT,0,SumAssured*(H52+H53)/2)</f>
        <v/>
      </c>
      <c r="J52" s="38">
        <f>IF(OR($A52=0,$A52&gt;LastT),0,IF(A52&lt;CommRenTerm,SizePremium*CommRenPrem*(1+CnsmpTax),0))</f>
        <v/>
      </c>
      <c r="K52" s="36">
        <f>IF($A52&gt;LastT,0,INDEX(ScenGrid,A52+1,ScenID))</f>
        <v/>
      </c>
    </row>
    <row r="53">
      <c r="A53" s="30">
        <f>A52+1</f>
        <v/>
      </c>
      <c r="B53" s="30">
        <f>IssueAge+A53</f>
        <v/>
      </c>
      <c r="C53" s="31">
        <f>IF($A53&gt;LastT,0,INDEX(MortGrid,B53+1,BaseMortCol))</f>
        <v/>
      </c>
      <c r="D53" s="31">
        <f>IF($A53&gt;LastT,0,INDEX(AsmpTblGrid,MIN(A53,19)+1,MortFactorCol))</f>
        <v/>
      </c>
      <c r="E53" s="36">
        <f>IF($A53&gt;LastT,0,INDEX(AsmpTblGrid,MIN(A53,19)+1,SurrCol))</f>
        <v/>
      </c>
      <c r="F53" s="37">
        <f>IF($A53&gt;LastT+1,0,IF(INDEX(Comm_Dx,B53+1)=0,0,(INDEX(Comm_Mx,B53+1)-Mx_xn+LoadMaintSA2*(Nx_xn-Nx_xn)-IF(A53&lt;=PolicyTerm,NetPremRatePrem*(INDEX(Comm_Nx,B53+1)-Nx_xn),0))/INDEX(Comm_Dx,B53+1)))</f>
        <v/>
      </c>
      <c r="G53" s="37">
        <f>IF($A53&gt;LastT+1,0,InitSurrCharge*MAX((MIN(PolicyTerm,10)-A53)/MIN(PolicyTerm,10),0))</f>
        <v/>
      </c>
      <c r="H53" s="37">
        <f>IF($A53&gt;LastT+1,0,MAX(F53-G53,0))</f>
        <v/>
      </c>
      <c r="I53" s="38">
        <f>IF($A53&gt;LastT,0,SumAssured*(H53+H54)/2)</f>
        <v/>
      </c>
      <c r="J53" s="38">
        <f>IF(OR($A53=0,$A53&gt;LastT),0,IF(A53&lt;CommRenTerm,SizePremium*CommRenPrem*(1+CnsmpTax),0))</f>
        <v/>
      </c>
      <c r="K53" s="36">
        <f>IF($A53&gt;LastT,0,INDEX(ScenGrid,A53+1,ScenID))</f>
        <v/>
      </c>
    </row>
    <row r="54">
      <c r="A54" s="30">
        <f>A53+1</f>
        <v/>
      </c>
      <c r="B54" s="30">
        <f>IssueAge+A54</f>
        <v/>
      </c>
      <c r="C54" s="31">
        <f>IF($A54&gt;LastT,0,INDEX(MortGrid,B54+1,BaseMortCol))</f>
        <v/>
      </c>
      <c r="D54" s="31">
        <f>IF($A54&gt;LastT,0,INDEX(AsmpTblGrid,MIN(A54,19)+1,MortFactorCol))</f>
        <v/>
      </c>
      <c r="E54" s="36">
        <f>IF($A54&gt;LastT,0,INDEX(AsmpTblGrid,MIN(A54,19)+1,SurrCol))</f>
        <v/>
      </c>
      <c r="F54" s="37">
        <f>IF($A54&gt;LastT+1,0,IF(INDEX(Comm_Dx,B54+1)=0,0,(INDEX(Comm_Mx,B54+1)-Mx_xn+LoadMaintSA2*(Nx_xn-Nx_xn)-IF(A54&lt;=PolicyTerm,NetPremRatePrem*(INDEX(Comm_Nx,B54+1)-Nx_xn),0))/INDEX(Comm_Dx,B54+1)))</f>
        <v/>
      </c>
      <c r="G54" s="37">
        <f>IF($A54&gt;LastT+1,0,InitSurrCharge*MAX((MIN(PolicyTerm,10)-A54)/MIN(PolicyTerm,10),0))</f>
        <v/>
      </c>
      <c r="H54" s="37">
        <f>IF($A54&gt;LastT+1,0,MAX(F54-G54,0))</f>
        <v/>
      </c>
      <c r="I54" s="38">
        <f>IF($A54&gt;LastT,0,SumAssured*(H54+H55)/2)</f>
        <v/>
      </c>
      <c r="J54" s="38">
        <f>IF(OR($A54=0,$A54&gt;LastT),0,IF(A54&lt;CommRenTerm,SizePremium*CommRenPrem*(1+CnsmpTax),0))</f>
        <v/>
      </c>
      <c r="K54" s="36">
        <f>IF($A54&gt;LastT,0,INDEX(ScenGrid,A54+1,ScenID))</f>
        <v/>
      </c>
    </row>
    <row r="55">
      <c r="A55" s="30">
        <f>A54+1</f>
        <v/>
      </c>
      <c r="B55" s="30">
        <f>IssueAge+A55</f>
        <v/>
      </c>
      <c r="C55" s="31">
        <f>IF($A55&gt;LastT,0,INDEX(MortGrid,B55+1,BaseMortCol))</f>
        <v/>
      </c>
      <c r="D55" s="31">
        <f>IF($A55&gt;LastT,0,INDEX(AsmpTblGrid,MIN(A55,19)+1,MortFactorCol))</f>
        <v/>
      </c>
      <c r="E55" s="36">
        <f>IF($A55&gt;LastT,0,INDEX(AsmpTblGrid,MIN(A55,19)+1,SurrCol))</f>
        <v/>
      </c>
      <c r="F55" s="37">
        <f>IF($A55&gt;LastT+1,0,IF(INDEX(Comm_Dx,B55+1)=0,0,(INDEX(Comm_Mx,B55+1)-Mx_xn+LoadMaintSA2*(Nx_xn-Nx_xn)-IF(A55&lt;=PolicyTerm,NetPremRatePrem*(INDEX(Comm_Nx,B55+1)-Nx_xn),0))/INDEX(Comm_Dx,B55+1)))</f>
        <v/>
      </c>
      <c r="G55" s="37">
        <f>IF($A55&gt;LastT+1,0,InitSurrCharge*MAX((MIN(PolicyTerm,10)-A55)/MIN(PolicyTerm,10),0))</f>
        <v/>
      </c>
      <c r="H55" s="37">
        <f>IF($A55&gt;LastT+1,0,MAX(F55-G55,0))</f>
        <v/>
      </c>
      <c r="I55" s="38">
        <f>IF($A55&gt;LastT,0,SumAssured*(H55+H56)/2)</f>
        <v/>
      </c>
      <c r="J55" s="38">
        <f>IF(OR($A55=0,$A55&gt;LastT),0,IF(A55&lt;CommRenTerm,SizePremium*CommRenPrem*(1+CnsmpTax),0))</f>
        <v/>
      </c>
      <c r="K55" s="36">
        <f>IF($A55&gt;LastT,0,INDEX(ScenGrid,A55+1,ScenID))</f>
        <v/>
      </c>
    </row>
    <row r="56">
      <c r="A56" s="30">
        <f>A55+1</f>
        <v/>
      </c>
      <c r="B56" s="30">
        <f>IssueAge+A56</f>
        <v/>
      </c>
      <c r="C56" s="31">
        <f>IF($A56&gt;LastT,0,INDEX(MortGrid,B56+1,BaseMortCol))</f>
        <v/>
      </c>
      <c r="D56" s="31">
        <f>IF($A56&gt;LastT,0,INDEX(AsmpTblGrid,MIN(A56,19)+1,MortFactorCol))</f>
        <v/>
      </c>
      <c r="E56" s="36">
        <f>IF($A56&gt;LastT,0,INDEX(AsmpTblGrid,MIN(A56,19)+1,SurrCol))</f>
        <v/>
      </c>
      <c r="F56" s="37">
        <f>IF($A56&gt;LastT+1,0,IF(INDEX(Comm_Dx,B56+1)=0,0,(INDEX(Comm_Mx,B56+1)-Mx_xn+LoadMaintSA2*(Nx_xn-Nx_xn)-IF(A56&lt;=PolicyTerm,NetPremRatePrem*(INDEX(Comm_Nx,B56+1)-Nx_xn),0))/INDEX(Comm_Dx,B56+1)))</f>
        <v/>
      </c>
      <c r="G56" s="37">
        <f>IF($A56&gt;LastT+1,0,InitSurrCharge*MAX((MIN(PolicyTerm,10)-A56)/MIN(PolicyTerm,10),0))</f>
        <v/>
      </c>
      <c r="H56" s="37">
        <f>IF($A56&gt;LastT+1,0,MAX(F56-G56,0))</f>
        <v/>
      </c>
      <c r="I56" s="38">
        <f>IF($A56&gt;LastT,0,SumAssured*(H56+H57)/2)</f>
        <v/>
      </c>
      <c r="J56" s="38">
        <f>IF(OR($A56=0,$A56&gt;LastT),0,IF(A56&lt;CommRenTerm,SizePremium*CommRenPrem*(1+CnsmpTax),0))</f>
        <v/>
      </c>
      <c r="K56" s="36">
        <f>IF($A56&gt;LastT,0,INDEX(ScenGrid,A56+1,ScenID))</f>
        <v/>
      </c>
    </row>
    <row r="57">
      <c r="A57" s="30">
        <f>A56+1</f>
        <v/>
      </c>
      <c r="B57" s="30">
        <f>IssueAge+A57</f>
        <v/>
      </c>
      <c r="C57" s="31">
        <f>IF($A57&gt;LastT,0,INDEX(MortGrid,B57+1,BaseMortCol))</f>
        <v/>
      </c>
      <c r="D57" s="31">
        <f>IF($A57&gt;LastT,0,INDEX(AsmpTblGrid,MIN(A57,19)+1,MortFactorCol))</f>
        <v/>
      </c>
      <c r="E57" s="36">
        <f>IF($A57&gt;LastT,0,INDEX(AsmpTblGrid,MIN(A57,19)+1,SurrCol))</f>
        <v/>
      </c>
      <c r="F57" s="37">
        <f>IF($A57&gt;LastT+1,0,IF(INDEX(Comm_Dx,B57+1)=0,0,(INDEX(Comm_Mx,B57+1)-Mx_xn+LoadMaintSA2*(Nx_xn-Nx_xn)-IF(A57&lt;=PolicyTerm,NetPremRatePrem*(INDEX(Comm_Nx,B57+1)-Nx_xn),0))/INDEX(Comm_Dx,B57+1)))</f>
        <v/>
      </c>
      <c r="G57" s="37">
        <f>IF($A57&gt;LastT+1,0,InitSurrCharge*MAX((MIN(PolicyTerm,10)-A57)/MIN(PolicyTerm,10),0))</f>
        <v/>
      </c>
      <c r="H57" s="37">
        <f>IF($A57&gt;LastT+1,0,MAX(F57-G57,0))</f>
        <v/>
      </c>
      <c r="I57" s="38">
        <f>IF($A57&gt;LastT,0,SumAssured*(H57+H58)/2)</f>
        <v/>
      </c>
      <c r="J57" s="38">
        <f>IF(OR($A57=0,$A57&gt;LastT),0,IF(A57&lt;CommRenTerm,SizePremium*CommRenPrem*(1+CnsmpTax),0))</f>
        <v/>
      </c>
      <c r="K57" s="36">
        <f>IF($A57&gt;LastT,0,INDEX(ScenGrid,A57+1,ScenID))</f>
        <v/>
      </c>
    </row>
    <row r="58">
      <c r="A58" s="30">
        <f>A57+1</f>
        <v/>
      </c>
      <c r="B58" s="30">
        <f>IssueAge+A58</f>
        <v/>
      </c>
      <c r="C58" s="31">
        <f>IF($A58&gt;LastT,0,INDEX(MortGrid,B58+1,BaseMortCol))</f>
        <v/>
      </c>
      <c r="D58" s="31">
        <f>IF($A58&gt;LastT,0,INDEX(AsmpTblGrid,MIN(A58,19)+1,MortFactorCol))</f>
        <v/>
      </c>
      <c r="E58" s="36">
        <f>IF($A58&gt;LastT,0,INDEX(AsmpTblGrid,MIN(A58,19)+1,SurrCol))</f>
        <v/>
      </c>
      <c r="F58" s="37">
        <f>IF($A58&gt;LastT+1,0,IF(INDEX(Comm_Dx,B58+1)=0,0,(INDEX(Comm_Mx,B58+1)-Mx_xn+LoadMaintSA2*(Nx_xn-Nx_xn)-IF(A58&lt;=PolicyTerm,NetPremRatePrem*(INDEX(Comm_Nx,B58+1)-Nx_xn),0))/INDEX(Comm_Dx,B58+1)))</f>
        <v/>
      </c>
      <c r="G58" s="37">
        <f>IF($A58&gt;LastT+1,0,InitSurrCharge*MAX((MIN(PolicyTerm,10)-A58)/MIN(PolicyTerm,10),0))</f>
        <v/>
      </c>
      <c r="H58" s="37">
        <f>IF($A58&gt;LastT+1,0,MAX(F58-G58,0))</f>
        <v/>
      </c>
      <c r="I58" s="38">
        <f>IF($A58&gt;LastT,0,SumAssured*(H58+H59)/2)</f>
        <v/>
      </c>
      <c r="J58" s="38">
        <f>IF(OR($A58=0,$A58&gt;LastT),0,IF(A58&lt;CommRenTerm,SizePremium*CommRenPrem*(1+CnsmpTax),0))</f>
        <v/>
      </c>
      <c r="K58" s="36">
        <f>IF($A58&gt;LastT,0,INDEX(ScenGrid,A58+1,ScenID))</f>
        <v/>
      </c>
    </row>
    <row r="59">
      <c r="A59" s="30">
        <f>A58+1</f>
        <v/>
      </c>
      <c r="B59" s="30">
        <f>IssueAge+A59</f>
        <v/>
      </c>
      <c r="C59" s="31">
        <f>IF($A59&gt;LastT,0,INDEX(MortGrid,B59+1,BaseMortCol))</f>
        <v/>
      </c>
      <c r="D59" s="31">
        <f>IF($A59&gt;LastT,0,INDEX(AsmpTblGrid,MIN(A59,19)+1,MortFactorCol))</f>
        <v/>
      </c>
      <c r="E59" s="36">
        <f>IF($A59&gt;LastT,0,INDEX(AsmpTblGrid,MIN(A59,19)+1,SurrCol))</f>
        <v/>
      </c>
      <c r="F59" s="37">
        <f>IF($A59&gt;LastT+1,0,IF(INDEX(Comm_Dx,B59+1)=0,0,(INDEX(Comm_Mx,B59+1)-Mx_xn+LoadMaintSA2*(Nx_xn-Nx_xn)-IF(A59&lt;=PolicyTerm,NetPremRatePrem*(INDEX(Comm_Nx,B59+1)-Nx_xn),0))/INDEX(Comm_Dx,B59+1)))</f>
        <v/>
      </c>
      <c r="G59" s="37">
        <f>IF($A59&gt;LastT+1,0,InitSurrCharge*MAX((MIN(PolicyTerm,10)-A59)/MIN(PolicyTerm,10),0))</f>
        <v/>
      </c>
      <c r="H59" s="37">
        <f>IF($A59&gt;LastT+1,0,MAX(F59-G59,0))</f>
        <v/>
      </c>
      <c r="I59" s="38">
        <f>IF($A59&gt;LastT,0,SumAssured*(H59+H60)/2)</f>
        <v/>
      </c>
      <c r="J59" s="38">
        <f>IF(OR($A59=0,$A59&gt;LastT),0,IF(A59&lt;CommRenTerm,SizePremium*CommRenPrem*(1+CnsmpTax),0))</f>
        <v/>
      </c>
      <c r="K59" s="36">
        <f>IF($A59&gt;LastT,0,INDEX(ScenGrid,A59+1,ScenID))</f>
        <v/>
      </c>
    </row>
    <row r="60">
      <c r="A60" s="30">
        <f>A59+1</f>
        <v/>
      </c>
      <c r="B60" s="30">
        <f>IssueAge+A60</f>
        <v/>
      </c>
      <c r="C60" s="31">
        <f>IF($A60&gt;LastT,0,INDEX(MortGrid,B60+1,BaseMortCol))</f>
        <v/>
      </c>
      <c r="D60" s="31">
        <f>IF($A60&gt;LastT,0,INDEX(AsmpTblGrid,MIN(A60,19)+1,MortFactorCol))</f>
        <v/>
      </c>
      <c r="E60" s="36">
        <f>IF($A60&gt;LastT,0,INDEX(AsmpTblGrid,MIN(A60,19)+1,SurrCol))</f>
        <v/>
      </c>
      <c r="F60" s="37">
        <f>IF($A60&gt;LastT+1,0,IF(INDEX(Comm_Dx,B60+1)=0,0,(INDEX(Comm_Mx,B60+1)-Mx_xn+LoadMaintSA2*(Nx_xn-Nx_xn)-IF(A60&lt;=PolicyTerm,NetPremRatePrem*(INDEX(Comm_Nx,B60+1)-Nx_xn),0))/INDEX(Comm_Dx,B60+1)))</f>
        <v/>
      </c>
      <c r="G60" s="37">
        <f>IF($A60&gt;LastT+1,0,InitSurrCharge*MAX((MIN(PolicyTerm,10)-A60)/MIN(PolicyTerm,10),0))</f>
        <v/>
      </c>
      <c r="H60" s="37">
        <f>IF($A60&gt;LastT+1,0,MAX(F60-G60,0))</f>
        <v/>
      </c>
      <c r="I60" s="38">
        <f>IF($A60&gt;LastT,0,SumAssured*(H60+H61)/2)</f>
        <v/>
      </c>
      <c r="J60" s="38">
        <f>IF(OR($A60=0,$A60&gt;LastT),0,IF(A60&lt;CommRenTerm,SizePremium*CommRenPrem*(1+CnsmpTax),0))</f>
        <v/>
      </c>
      <c r="K60" s="36">
        <f>IF($A60&gt;LastT,0,INDEX(ScenGrid,A60+1,ScenID))</f>
        <v/>
      </c>
    </row>
    <row r="61">
      <c r="A61" s="30">
        <f>A60+1</f>
        <v/>
      </c>
      <c r="B61" s="30">
        <f>IssueAge+A61</f>
        <v/>
      </c>
      <c r="C61" s="31">
        <f>IF($A61&gt;LastT,0,INDEX(MortGrid,B61+1,BaseMortCol))</f>
        <v/>
      </c>
      <c r="D61" s="31">
        <f>IF($A61&gt;LastT,0,INDEX(AsmpTblGrid,MIN(A61,19)+1,MortFactorCol))</f>
        <v/>
      </c>
      <c r="E61" s="36">
        <f>IF($A61&gt;LastT,0,INDEX(AsmpTblGrid,MIN(A61,19)+1,SurrCol))</f>
        <v/>
      </c>
      <c r="F61" s="37">
        <f>IF($A61&gt;LastT+1,0,IF(INDEX(Comm_Dx,B61+1)=0,0,(INDEX(Comm_Mx,B61+1)-Mx_xn+LoadMaintSA2*(Nx_xn-Nx_xn)-IF(A61&lt;=PolicyTerm,NetPremRatePrem*(INDEX(Comm_Nx,B61+1)-Nx_xn),0))/INDEX(Comm_Dx,B61+1)))</f>
        <v/>
      </c>
      <c r="G61" s="37">
        <f>IF($A61&gt;LastT+1,0,InitSurrCharge*MAX((MIN(PolicyTerm,10)-A61)/MIN(PolicyTerm,10),0))</f>
        <v/>
      </c>
      <c r="H61" s="37">
        <f>IF($A61&gt;LastT+1,0,MAX(F61-G61,0))</f>
        <v/>
      </c>
      <c r="I61" s="38">
        <f>IF($A61&gt;LastT,0,SumAssured*(H61+H62)/2)</f>
        <v/>
      </c>
      <c r="J61" s="38">
        <f>IF(OR($A61=0,$A61&gt;LastT),0,IF(A61&lt;CommRenTerm,SizePremium*CommRenPrem*(1+CnsmpTax),0))</f>
        <v/>
      </c>
      <c r="K61" s="36">
        <f>IF($A61&gt;LastT,0,INDEX(ScenGrid,A61+1,ScenID))</f>
        <v/>
      </c>
    </row>
    <row r="62">
      <c r="A62" s="30">
        <f>A61+1</f>
        <v/>
      </c>
      <c r="B62" s="30">
        <f>IssueAge+A62</f>
        <v/>
      </c>
      <c r="C62" s="31">
        <f>IF($A62&gt;LastT,0,INDEX(MortGrid,B62+1,BaseMortCol))</f>
        <v/>
      </c>
      <c r="D62" s="31">
        <f>IF($A62&gt;LastT,0,INDEX(AsmpTblGrid,MIN(A62,19)+1,MortFactorCol))</f>
        <v/>
      </c>
      <c r="E62" s="36">
        <f>IF($A62&gt;LastT,0,INDEX(AsmpTblGrid,MIN(A62,19)+1,SurrCol))</f>
        <v/>
      </c>
      <c r="F62" s="37">
        <f>IF($A62&gt;LastT+1,0,IF(INDEX(Comm_Dx,B62+1)=0,0,(INDEX(Comm_Mx,B62+1)-Mx_xn+LoadMaintSA2*(Nx_xn-Nx_xn)-IF(A62&lt;=PolicyTerm,NetPremRatePrem*(INDEX(Comm_Nx,B62+1)-Nx_xn),0))/INDEX(Comm_Dx,B62+1)))</f>
        <v/>
      </c>
      <c r="G62" s="37">
        <f>IF($A62&gt;LastT+1,0,InitSurrCharge*MAX((MIN(PolicyTerm,10)-A62)/MIN(PolicyTerm,10),0))</f>
        <v/>
      </c>
      <c r="H62" s="37">
        <f>IF($A62&gt;LastT+1,0,MAX(F62-G62,0))</f>
        <v/>
      </c>
      <c r="I62" s="38">
        <f>IF($A62&gt;LastT,0,SumAssured*(H62+H63)/2)</f>
        <v/>
      </c>
      <c r="J62" s="38">
        <f>IF(OR($A62=0,$A62&gt;LastT),0,IF(A62&lt;CommRenTerm,SizePremium*CommRenPrem*(1+CnsmpTax),0))</f>
        <v/>
      </c>
      <c r="K62" s="36">
        <f>IF($A62&gt;LastT,0,INDEX(ScenGrid,A62+1,ScenID))</f>
        <v/>
      </c>
    </row>
    <row r="63">
      <c r="A63" s="30">
        <f>A62+1</f>
        <v/>
      </c>
      <c r="B63" s="30">
        <f>IssueAge+A63</f>
        <v/>
      </c>
      <c r="C63" s="31">
        <f>IF($A63&gt;LastT,0,INDEX(MortGrid,B63+1,BaseMortCol))</f>
        <v/>
      </c>
      <c r="D63" s="31">
        <f>IF($A63&gt;LastT,0,INDEX(AsmpTblGrid,MIN(A63,19)+1,MortFactorCol))</f>
        <v/>
      </c>
      <c r="E63" s="36">
        <f>IF($A63&gt;LastT,0,INDEX(AsmpTblGrid,MIN(A63,19)+1,SurrCol))</f>
        <v/>
      </c>
      <c r="F63" s="37">
        <f>IF($A63&gt;LastT+1,0,IF(INDEX(Comm_Dx,B63+1)=0,0,(INDEX(Comm_Mx,B63+1)-Mx_xn+LoadMaintSA2*(Nx_xn-Nx_xn)-IF(A63&lt;=PolicyTerm,NetPremRatePrem*(INDEX(Comm_Nx,B63+1)-Nx_xn),0))/INDEX(Comm_Dx,B63+1)))</f>
        <v/>
      </c>
      <c r="G63" s="37">
        <f>IF($A63&gt;LastT+1,0,InitSurrCharge*MAX((MIN(PolicyTerm,10)-A63)/MIN(PolicyTerm,10),0))</f>
        <v/>
      </c>
      <c r="H63" s="37">
        <f>IF($A63&gt;LastT+1,0,MAX(F63-G63,0))</f>
        <v/>
      </c>
      <c r="I63" s="38">
        <f>IF($A63&gt;LastT,0,SumAssured*(H63+H64)/2)</f>
        <v/>
      </c>
      <c r="J63" s="38">
        <f>IF(OR($A63=0,$A63&gt;LastT),0,IF(A63&lt;CommRenTerm,SizePremium*CommRenPrem*(1+CnsmpTax),0))</f>
        <v/>
      </c>
      <c r="K63" s="36">
        <f>IF($A63&gt;LastT,0,INDEX(ScenGrid,A63+1,ScenID))</f>
        <v/>
      </c>
    </row>
    <row r="64">
      <c r="A64" s="30">
        <f>A63+1</f>
        <v/>
      </c>
      <c r="B64" s="30">
        <f>IssueAge+A64</f>
        <v/>
      </c>
      <c r="C64" s="31">
        <f>IF($A64&gt;LastT,0,INDEX(MortGrid,B64+1,BaseMortCol))</f>
        <v/>
      </c>
      <c r="D64" s="31">
        <f>IF($A64&gt;LastT,0,INDEX(AsmpTblGrid,MIN(A64,19)+1,MortFactorCol))</f>
        <v/>
      </c>
      <c r="E64" s="36">
        <f>IF($A64&gt;LastT,0,INDEX(AsmpTblGrid,MIN(A64,19)+1,SurrCol))</f>
        <v/>
      </c>
      <c r="F64" s="37">
        <f>IF($A64&gt;LastT+1,0,IF(INDEX(Comm_Dx,B64+1)=0,0,(INDEX(Comm_Mx,B64+1)-Mx_xn+LoadMaintSA2*(Nx_xn-Nx_xn)-IF(A64&lt;=PolicyTerm,NetPremRatePrem*(INDEX(Comm_Nx,B64+1)-Nx_xn),0))/INDEX(Comm_Dx,B64+1)))</f>
        <v/>
      </c>
      <c r="G64" s="37">
        <f>IF($A64&gt;LastT+1,0,InitSurrCharge*MAX((MIN(PolicyTerm,10)-A64)/MIN(PolicyTerm,10),0))</f>
        <v/>
      </c>
      <c r="H64" s="37">
        <f>IF($A64&gt;LastT+1,0,MAX(F64-G64,0))</f>
        <v/>
      </c>
      <c r="I64" s="38">
        <f>IF($A64&gt;LastT,0,SumAssured*(H64+H65)/2)</f>
        <v/>
      </c>
      <c r="J64" s="38">
        <f>IF(OR($A64=0,$A64&gt;LastT),0,IF(A64&lt;CommRenTerm,SizePremium*CommRenPrem*(1+CnsmpTax),0))</f>
        <v/>
      </c>
      <c r="K64" s="36">
        <f>IF($A64&gt;LastT,0,INDEX(ScenGrid,A64+1,ScenID))</f>
        <v/>
      </c>
    </row>
    <row r="65">
      <c r="A65" s="30">
        <f>A64+1</f>
        <v/>
      </c>
      <c r="B65" s="30">
        <f>IssueAge+A65</f>
        <v/>
      </c>
      <c r="C65" s="31">
        <f>IF($A65&gt;LastT,0,INDEX(MortGrid,B65+1,BaseMortCol))</f>
        <v/>
      </c>
      <c r="D65" s="31">
        <f>IF($A65&gt;LastT,0,INDEX(AsmpTblGrid,MIN(A65,19)+1,MortFactorCol))</f>
        <v/>
      </c>
      <c r="E65" s="36">
        <f>IF($A65&gt;LastT,0,INDEX(AsmpTblGrid,MIN(A65,19)+1,SurrCol))</f>
        <v/>
      </c>
      <c r="F65" s="37">
        <f>IF($A65&gt;LastT+1,0,IF(INDEX(Comm_Dx,B65+1)=0,0,(INDEX(Comm_Mx,B65+1)-Mx_xn+LoadMaintSA2*(Nx_xn-Nx_xn)-IF(A65&lt;=PolicyTerm,NetPremRatePrem*(INDEX(Comm_Nx,B65+1)-Nx_xn),0))/INDEX(Comm_Dx,B65+1)))</f>
        <v/>
      </c>
      <c r="G65" s="37">
        <f>IF($A65&gt;LastT+1,0,InitSurrCharge*MAX((MIN(PolicyTerm,10)-A65)/MIN(PolicyTerm,10),0))</f>
        <v/>
      </c>
      <c r="H65" s="37">
        <f>IF($A65&gt;LastT+1,0,MAX(F65-G65,0))</f>
        <v/>
      </c>
      <c r="I65" s="38">
        <f>IF($A65&gt;LastT,0,SumAssured*(H65+H66)/2)</f>
        <v/>
      </c>
      <c r="J65" s="38">
        <f>IF(OR($A65=0,$A65&gt;LastT),0,IF(A65&lt;CommRenTerm,SizePremium*CommRenPrem*(1+CnsmpTax),0))</f>
        <v/>
      </c>
      <c r="K65" s="36">
        <f>IF($A65&gt;LastT,0,INDEX(ScenGrid,A65+1,ScenID))</f>
        <v/>
      </c>
    </row>
    <row r="66">
      <c r="A66" s="30">
        <f>A65+1</f>
        <v/>
      </c>
      <c r="B66" s="30">
        <f>IssueAge+A66</f>
        <v/>
      </c>
      <c r="C66" s="31">
        <f>IF($A66&gt;LastT,0,INDEX(MortGrid,B66+1,BaseMortCol))</f>
        <v/>
      </c>
      <c r="D66" s="31">
        <f>IF($A66&gt;LastT,0,INDEX(AsmpTblGrid,MIN(A66,19)+1,MortFactorCol))</f>
        <v/>
      </c>
      <c r="E66" s="36">
        <f>IF($A66&gt;LastT,0,INDEX(AsmpTblGrid,MIN(A66,19)+1,SurrCol))</f>
        <v/>
      </c>
      <c r="F66" s="37">
        <f>IF($A66&gt;LastT+1,0,IF(INDEX(Comm_Dx,B66+1)=0,0,(INDEX(Comm_Mx,B66+1)-Mx_xn+LoadMaintSA2*(Nx_xn-Nx_xn)-IF(A66&lt;=PolicyTerm,NetPremRatePrem*(INDEX(Comm_Nx,B66+1)-Nx_xn),0))/INDEX(Comm_Dx,B66+1)))</f>
        <v/>
      </c>
      <c r="G66" s="37">
        <f>IF($A66&gt;LastT+1,0,InitSurrCharge*MAX((MIN(PolicyTerm,10)-A66)/MIN(PolicyTerm,10),0))</f>
        <v/>
      </c>
      <c r="H66" s="37">
        <f>IF($A66&gt;LastT+1,0,MAX(F66-G66,0))</f>
        <v/>
      </c>
      <c r="I66" s="38">
        <f>IF($A66&gt;LastT,0,SumAssured*(H66+H67)/2)</f>
        <v/>
      </c>
      <c r="J66" s="38">
        <f>IF(OR($A66=0,$A66&gt;LastT),0,IF(A66&lt;CommRenTerm,SizePremium*CommRenPrem*(1+CnsmpTax),0))</f>
        <v/>
      </c>
      <c r="K66" s="36">
        <f>IF($A66&gt;LastT,0,INDEX(ScenGrid,A66+1,ScenID))</f>
        <v/>
      </c>
    </row>
    <row r="67">
      <c r="A67" s="30">
        <f>A66+1</f>
        <v/>
      </c>
      <c r="B67" s="30">
        <f>IssueAge+A67</f>
        <v/>
      </c>
      <c r="C67" s="31">
        <f>IF($A67&gt;LastT,0,INDEX(MortGrid,B67+1,BaseMortCol))</f>
        <v/>
      </c>
      <c r="D67" s="31">
        <f>IF($A67&gt;LastT,0,INDEX(AsmpTblGrid,MIN(A67,19)+1,MortFactorCol))</f>
        <v/>
      </c>
      <c r="E67" s="36">
        <f>IF($A67&gt;LastT,0,INDEX(AsmpTblGrid,MIN(A67,19)+1,SurrCol))</f>
        <v/>
      </c>
      <c r="F67" s="37">
        <f>IF($A67&gt;LastT+1,0,IF(INDEX(Comm_Dx,B67+1)=0,0,(INDEX(Comm_Mx,B67+1)-Mx_xn+LoadMaintSA2*(Nx_xn-Nx_xn)-IF(A67&lt;=PolicyTerm,NetPremRatePrem*(INDEX(Comm_Nx,B67+1)-Nx_xn),0))/INDEX(Comm_Dx,B67+1)))</f>
        <v/>
      </c>
      <c r="G67" s="37">
        <f>IF($A67&gt;LastT+1,0,InitSurrCharge*MAX((MIN(PolicyTerm,10)-A67)/MIN(PolicyTerm,10),0))</f>
        <v/>
      </c>
      <c r="H67" s="37">
        <f>IF($A67&gt;LastT+1,0,MAX(F67-G67,0))</f>
        <v/>
      </c>
      <c r="I67" s="38">
        <f>IF($A67&gt;LastT,0,SumAssured*(H67+H68)/2)</f>
        <v/>
      </c>
      <c r="J67" s="38">
        <f>IF(OR($A67=0,$A67&gt;LastT),0,IF(A67&lt;CommRenTerm,SizePremium*CommRenPrem*(1+CnsmpTax),0))</f>
        <v/>
      </c>
      <c r="K67" s="36">
        <f>IF($A67&gt;LastT,0,INDEX(ScenGrid,A67+1,ScenID))</f>
        <v/>
      </c>
    </row>
    <row r="68">
      <c r="A68" s="30">
        <f>A67+1</f>
        <v/>
      </c>
      <c r="B68" s="30">
        <f>IssueAge+A68</f>
        <v/>
      </c>
      <c r="C68" s="31">
        <f>IF($A68&gt;LastT,0,INDEX(MortGrid,B68+1,BaseMortCol))</f>
        <v/>
      </c>
      <c r="D68" s="31">
        <f>IF($A68&gt;LastT,0,INDEX(AsmpTblGrid,MIN(A68,19)+1,MortFactorCol))</f>
        <v/>
      </c>
      <c r="E68" s="36">
        <f>IF($A68&gt;LastT,0,INDEX(AsmpTblGrid,MIN(A68,19)+1,SurrCol))</f>
        <v/>
      </c>
      <c r="F68" s="37">
        <f>IF($A68&gt;LastT+1,0,IF(INDEX(Comm_Dx,B68+1)=0,0,(INDEX(Comm_Mx,B68+1)-Mx_xn+LoadMaintSA2*(Nx_xn-Nx_xn)-IF(A68&lt;=PolicyTerm,NetPremRatePrem*(INDEX(Comm_Nx,B68+1)-Nx_xn),0))/INDEX(Comm_Dx,B68+1)))</f>
        <v/>
      </c>
      <c r="G68" s="37">
        <f>IF($A68&gt;LastT+1,0,InitSurrCharge*MAX((MIN(PolicyTerm,10)-A68)/MIN(PolicyTerm,10),0))</f>
        <v/>
      </c>
      <c r="H68" s="37">
        <f>IF($A68&gt;LastT+1,0,MAX(F68-G68,0))</f>
        <v/>
      </c>
      <c r="I68" s="38">
        <f>IF($A68&gt;LastT,0,SumAssured*(H68+H69)/2)</f>
        <v/>
      </c>
      <c r="J68" s="38">
        <f>IF(OR($A68=0,$A68&gt;LastT),0,IF(A68&lt;CommRenTerm,SizePremium*CommRenPrem*(1+CnsmpTax),0))</f>
        <v/>
      </c>
      <c r="K68" s="36">
        <f>IF($A68&gt;LastT,0,INDEX(ScenGrid,A68+1,ScenID))</f>
        <v/>
      </c>
    </row>
    <row r="69">
      <c r="A69" s="30">
        <f>A68+1</f>
        <v/>
      </c>
      <c r="B69" s="30">
        <f>IssueAge+A69</f>
        <v/>
      </c>
      <c r="C69" s="31">
        <f>IF($A69&gt;LastT,0,INDEX(MortGrid,B69+1,BaseMortCol))</f>
        <v/>
      </c>
      <c r="D69" s="31">
        <f>IF($A69&gt;LastT,0,INDEX(AsmpTblGrid,MIN(A69,19)+1,MortFactorCol))</f>
        <v/>
      </c>
      <c r="E69" s="36">
        <f>IF($A69&gt;LastT,0,INDEX(AsmpTblGrid,MIN(A69,19)+1,SurrCol))</f>
        <v/>
      </c>
      <c r="F69" s="37">
        <f>IF($A69&gt;LastT+1,0,IF(INDEX(Comm_Dx,B69+1)=0,0,(INDEX(Comm_Mx,B69+1)-Mx_xn+LoadMaintSA2*(Nx_xn-Nx_xn)-IF(A69&lt;=PolicyTerm,NetPremRatePrem*(INDEX(Comm_Nx,B69+1)-Nx_xn),0))/INDEX(Comm_Dx,B69+1)))</f>
        <v/>
      </c>
      <c r="G69" s="37">
        <f>IF($A69&gt;LastT+1,0,InitSurrCharge*MAX((MIN(PolicyTerm,10)-A69)/MIN(PolicyTerm,10),0))</f>
        <v/>
      </c>
      <c r="H69" s="37">
        <f>IF($A69&gt;LastT+1,0,MAX(F69-G69,0))</f>
        <v/>
      </c>
      <c r="I69" s="38">
        <f>IF($A69&gt;LastT,0,SumAssured*(H69+H70)/2)</f>
        <v/>
      </c>
      <c r="J69" s="38">
        <f>IF(OR($A69=0,$A69&gt;LastT),0,IF(A69&lt;CommRenTerm,SizePremium*CommRenPrem*(1+CnsmpTax),0))</f>
        <v/>
      </c>
      <c r="K69" s="36">
        <f>IF($A69&gt;LastT,0,INDEX(ScenGrid,A69+1,ScenID))</f>
        <v/>
      </c>
    </row>
    <row r="70">
      <c r="A70" s="30">
        <f>A69+1</f>
        <v/>
      </c>
      <c r="B70" s="30">
        <f>IssueAge+A70</f>
        <v/>
      </c>
      <c r="C70" s="31">
        <f>IF($A70&gt;LastT,0,INDEX(MortGrid,B70+1,BaseMortCol))</f>
        <v/>
      </c>
      <c r="D70" s="31">
        <f>IF($A70&gt;LastT,0,INDEX(AsmpTblGrid,MIN(A70,19)+1,MortFactorCol))</f>
        <v/>
      </c>
      <c r="E70" s="36">
        <f>IF($A70&gt;LastT,0,INDEX(AsmpTblGrid,MIN(A70,19)+1,SurrCol))</f>
        <v/>
      </c>
      <c r="F70" s="37">
        <f>IF($A70&gt;LastT+1,0,IF(INDEX(Comm_Dx,B70+1)=0,0,(INDEX(Comm_Mx,B70+1)-Mx_xn+LoadMaintSA2*(Nx_xn-Nx_xn)-IF(A70&lt;=PolicyTerm,NetPremRatePrem*(INDEX(Comm_Nx,B70+1)-Nx_xn),0))/INDEX(Comm_Dx,B70+1)))</f>
        <v/>
      </c>
      <c r="G70" s="37">
        <f>IF($A70&gt;LastT+1,0,InitSurrCharge*MAX((MIN(PolicyTerm,10)-A70)/MIN(PolicyTerm,10),0))</f>
        <v/>
      </c>
      <c r="H70" s="37">
        <f>IF($A70&gt;LastT+1,0,MAX(F70-G70,0))</f>
        <v/>
      </c>
      <c r="I70" s="38">
        <f>IF($A70&gt;LastT,0,SumAssured*(H70+H71)/2)</f>
        <v/>
      </c>
      <c r="J70" s="38">
        <f>IF(OR($A70=0,$A70&gt;LastT),0,IF(A70&lt;CommRenTerm,SizePremium*CommRenPrem*(1+CnsmpTax),0))</f>
        <v/>
      </c>
      <c r="K70" s="36">
        <f>IF($A70&gt;LastT,0,INDEX(ScenGrid,A70+1,ScenID))</f>
        <v/>
      </c>
    </row>
    <row r="71">
      <c r="A71" s="30">
        <f>A70+1</f>
        <v/>
      </c>
      <c r="B71" s="30">
        <f>IssueAge+A71</f>
        <v/>
      </c>
      <c r="C71" s="31">
        <f>IF($A71&gt;LastT,0,INDEX(MortGrid,B71+1,BaseMortCol))</f>
        <v/>
      </c>
      <c r="D71" s="31">
        <f>IF($A71&gt;LastT,0,INDEX(AsmpTblGrid,MIN(A71,19)+1,MortFactorCol))</f>
        <v/>
      </c>
      <c r="E71" s="36">
        <f>IF($A71&gt;LastT,0,INDEX(AsmpTblGrid,MIN(A71,19)+1,SurrCol))</f>
        <v/>
      </c>
      <c r="F71" s="37">
        <f>IF($A71&gt;LastT+1,0,IF(INDEX(Comm_Dx,B71+1)=0,0,(INDEX(Comm_Mx,B71+1)-Mx_xn+LoadMaintSA2*(Nx_xn-Nx_xn)-IF(A71&lt;=PolicyTerm,NetPremRatePrem*(INDEX(Comm_Nx,B71+1)-Nx_xn),0))/INDEX(Comm_Dx,B71+1)))</f>
        <v/>
      </c>
      <c r="G71" s="37">
        <f>IF($A71&gt;LastT+1,0,InitSurrCharge*MAX((MIN(PolicyTerm,10)-A71)/MIN(PolicyTerm,10),0))</f>
        <v/>
      </c>
      <c r="H71" s="37">
        <f>IF($A71&gt;LastT+1,0,MAX(F71-G71,0))</f>
        <v/>
      </c>
      <c r="I71" s="38">
        <f>IF($A71&gt;LastT,0,SumAssured*(H71+H72)/2)</f>
        <v/>
      </c>
      <c r="J71" s="38">
        <f>IF(OR($A71=0,$A71&gt;LastT),0,IF(A71&lt;CommRenTerm,SizePremium*CommRenPrem*(1+CnsmpTax),0))</f>
        <v/>
      </c>
      <c r="K71" s="36">
        <f>IF($A71&gt;LastT,0,INDEX(ScenGrid,A71+1,ScenID))</f>
        <v/>
      </c>
    </row>
    <row r="72">
      <c r="A72" s="30">
        <f>A71+1</f>
        <v/>
      </c>
      <c r="B72" s="30">
        <f>IssueAge+A72</f>
        <v/>
      </c>
      <c r="C72" s="31">
        <f>IF($A72&gt;LastT,0,INDEX(MortGrid,B72+1,BaseMortCol))</f>
        <v/>
      </c>
      <c r="D72" s="31">
        <f>IF($A72&gt;LastT,0,INDEX(AsmpTblGrid,MIN(A72,19)+1,MortFactorCol))</f>
        <v/>
      </c>
      <c r="E72" s="36">
        <f>IF($A72&gt;LastT,0,INDEX(AsmpTblGrid,MIN(A72,19)+1,SurrCol))</f>
        <v/>
      </c>
      <c r="F72" s="37">
        <f>IF($A72&gt;LastT+1,0,IF(INDEX(Comm_Dx,B72+1)=0,0,(INDEX(Comm_Mx,B72+1)-Mx_xn+LoadMaintSA2*(Nx_xn-Nx_xn)-IF(A72&lt;=PolicyTerm,NetPremRatePrem*(INDEX(Comm_Nx,B72+1)-Nx_xn),0))/INDEX(Comm_Dx,B72+1)))</f>
        <v/>
      </c>
      <c r="G72" s="37">
        <f>IF($A72&gt;LastT+1,0,InitSurrCharge*MAX((MIN(PolicyTerm,10)-A72)/MIN(PolicyTerm,10),0))</f>
        <v/>
      </c>
      <c r="H72" s="37">
        <f>IF($A72&gt;LastT+1,0,MAX(F72-G72,0))</f>
        <v/>
      </c>
      <c r="I72" s="38">
        <f>IF($A72&gt;LastT,0,SumAssured*(H72+H73)/2)</f>
        <v/>
      </c>
      <c r="J72" s="38">
        <f>IF(OR($A72=0,$A72&gt;LastT),0,IF(A72&lt;CommRenTerm,SizePremium*CommRenPrem*(1+CnsmpTax),0))</f>
        <v/>
      </c>
      <c r="K72" s="36">
        <f>IF($A72&gt;LastT,0,INDEX(ScenGrid,A72+1,ScenID))</f>
        <v/>
      </c>
    </row>
    <row r="73">
      <c r="A73" s="30">
        <f>A72+1</f>
        <v/>
      </c>
      <c r="B73" s="30">
        <f>IssueAge+A73</f>
        <v/>
      </c>
      <c r="C73" s="31">
        <f>IF($A73&gt;LastT,0,INDEX(MortGrid,B73+1,BaseMortCol))</f>
        <v/>
      </c>
      <c r="D73" s="31">
        <f>IF($A73&gt;LastT,0,INDEX(AsmpTblGrid,MIN(A73,19)+1,MortFactorCol))</f>
        <v/>
      </c>
      <c r="E73" s="36">
        <f>IF($A73&gt;LastT,0,INDEX(AsmpTblGrid,MIN(A73,19)+1,SurrCol))</f>
        <v/>
      </c>
      <c r="F73" s="37">
        <f>IF($A73&gt;LastT+1,0,IF(INDEX(Comm_Dx,B73+1)=0,0,(INDEX(Comm_Mx,B73+1)-Mx_xn+LoadMaintSA2*(Nx_xn-Nx_xn)-IF(A73&lt;=PolicyTerm,NetPremRatePrem*(INDEX(Comm_Nx,B73+1)-Nx_xn),0))/INDEX(Comm_Dx,B73+1)))</f>
        <v/>
      </c>
      <c r="G73" s="37">
        <f>IF($A73&gt;LastT+1,0,InitSurrCharge*MAX((MIN(PolicyTerm,10)-A73)/MIN(PolicyTerm,10),0))</f>
        <v/>
      </c>
      <c r="H73" s="37">
        <f>IF($A73&gt;LastT+1,0,MAX(F73-G73,0))</f>
        <v/>
      </c>
      <c r="I73" s="38">
        <f>IF($A73&gt;LastT,0,SumAssured*(H73+H74)/2)</f>
        <v/>
      </c>
      <c r="J73" s="38">
        <f>IF(OR($A73=0,$A73&gt;LastT),0,IF(A73&lt;CommRenTerm,SizePremium*CommRenPrem*(1+CnsmpTax),0))</f>
        <v/>
      </c>
      <c r="K73" s="36">
        <f>IF($A73&gt;LastT,0,INDEX(ScenGrid,A73+1,ScenID))</f>
        <v/>
      </c>
    </row>
    <row r="74">
      <c r="A74" s="30">
        <f>A73+1</f>
        <v/>
      </c>
      <c r="B74" s="30">
        <f>IssueAge+A74</f>
        <v/>
      </c>
      <c r="C74" s="31">
        <f>IF($A74&gt;LastT,0,INDEX(MortGrid,B74+1,BaseMortCol))</f>
        <v/>
      </c>
      <c r="D74" s="31">
        <f>IF($A74&gt;LastT,0,INDEX(AsmpTblGrid,MIN(A74,19)+1,MortFactorCol))</f>
        <v/>
      </c>
      <c r="E74" s="36">
        <f>IF($A74&gt;LastT,0,INDEX(AsmpTblGrid,MIN(A74,19)+1,SurrCol))</f>
        <v/>
      </c>
      <c r="F74" s="37">
        <f>IF($A74&gt;LastT+1,0,IF(INDEX(Comm_Dx,B74+1)=0,0,(INDEX(Comm_Mx,B74+1)-Mx_xn+LoadMaintSA2*(Nx_xn-Nx_xn)-IF(A74&lt;=PolicyTerm,NetPremRatePrem*(INDEX(Comm_Nx,B74+1)-Nx_xn),0))/INDEX(Comm_Dx,B74+1)))</f>
        <v/>
      </c>
      <c r="G74" s="37">
        <f>IF($A74&gt;LastT+1,0,InitSurrCharge*MAX((MIN(PolicyTerm,10)-A74)/MIN(PolicyTerm,10),0))</f>
        <v/>
      </c>
      <c r="H74" s="37">
        <f>IF($A74&gt;LastT+1,0,MAX(F74-G74,0))</f>
        <v/>
      </c>
      <c r="I74" s="38">
        <f>IF($A74&gt;LastT,0,SumAssured*(H74+H75)/2)</f>
        <v/>
      </c>
      <c r="J74" s="38">
        <f>IF(OR($A74=0,$A74&gt;LastT),0,IF(A74&lt;CommRenTerm,SizePremium*CommRenPrem*(1+CnsmpTax),0))</f>
        <v/>
      </c>
      <c r="K74" s="36">
        <f>IF($A74&gt;LastT,0,INDEX(ScenGrid,A74+1,ScenID))</f>
        <v/>
      </c>
    </row>
    <row r="75">
      <c r="A75" s="30">
        <f>A74+1</f>
        <v/>
      </c>
      <c r="B75" s="30">
        <f>IssueAge+A75</f>
        <v/>
      </c>
      <c r="C75" s="31">
        <f>IF($A75&gt;LastT,0,INDEX(MortGrid,B75+1,BaseMortCol))</f>
        <v/>
      </c>
      <c r="D75" s="31">
        <f>IF($A75&gt;LastT,0,INDEX(AsmpTblGrid,MIN(A75,19)+1,MortFactorCol))</f>
        <v/>
      </c>
      <c r="E75" s="36">
        <f>IF($A75&gt;LastT,0,INDEX(AsmpTblGrid,MIN(A75,19)+1,SurrCol))</f>
        <v/>
      </c>
      <c r="F75" s="37">
        <f>IF($A75&gt;LastT+1,0,IF(INDEX(Comm_Dx,B75+1)=0,0,(INDEX(Comm_Mx,B75+1)-Mx_xn+LoadMaintSA2*(Nx_xn-Nx_xn)-IF(A75&lt;=PolicyTerm,NetPremRatePrem*(INDEX(Comm_Nx,B75+1)-Nx_xn),0))/INDEX(Comm_Dx,B75+1)))</f>
        <v/>
      </c>
      <c r="G75" s="37">
        <f>IF($A75&gt;LastT+1,0,InitSurrCharge*MAX((MIN(PolicyTerm,10)-A75)/MIN(PolicyTerm,10),0))</f>
        <v/>
      </c>
      <c r="H75" s="37">
        <f>IF($A75&gt;LastT+1,0,MAX(F75-G75,0))</f>
        <v/>
      </c>
      <c r="I75" s="38">
        <f>IF($A75&gt;LastT,0,SumAssured*(H75+H76)/2)</f>
        <v/>
      </c>
      <c r="J75" s="38">
        <f>IF(OR($A75=0,$A75&gt;LastT),0,IF(A75&lt;CommRenTerm,SizePremium*CommRenPrem*(1+CnsmpTax),0))</f>
        <v/>
      </c>
      <c r="K75" s="36">
        <f>IF($A75&gt;LastT,0,INDEX(ScenGrid,A75+1,ScenID))</f>
        <v/>
      </c>
    </row>
    <row r="76">
      <c r="A76" s="30">
        <f>A75+1</f>
        <v/>
      </c>
      <c r="B76" s="30">
        <f>IssueAge+A76</f>
        <v/>
      </c>
      <c r="C76" s="31">
        <f>IF($A76&gt;LastT,0,INDEX(MortGrid,B76+1,BaseMortCol))</f>
        <v/>
      </c>
      <c r="D76" s="31">
        <f>IF($A76&gt;LastT,0,INDEX(AsmpTblGrid,MIN(A76,19)+1,MortFactorCol))</f>
        <v/>
      </c>
      <c r="E76" s="36">
        <f>IF($A76&gt;LastT,0,INDEX(AsmpTblGrid,MIN(A76,19)+1,SurrCol))</f>
        <v/>
      </c>
      <c r="F76" s="37">
        <f>IF($A76&gt;LastT+1,0,IF(INDEX(Comm_Dx,B76+1)=0,0,(INDEX(Comm_Mx,B76+1)-Mx_xn+LoadMaintSA2*(Nx_xn-Nx_xn)-IF(A76&lt;=PolicyTerm,NetPremRatePrem*(INDEX(Comm_Nx,B76+1)-Nx_xn),0))/INDEX(Comm_Dx,B76+1)))</f>
        <v/>
      </c>
      <c r="G76" s="37">
        <f>IF($A76&gt;LastT+1,0,InitSurrCharge*MAX((MIN(PolicyTerm,10)-A76)/MIN(PolicyTerm,10),0))</f>
        <v/>
      </c>
      <c r="H76" s="37">
        <f>IF($A76&gt;LastT+1,0,MAX(F76-G76,0))</f>
        <v/>
      </c>
      <c r="I76" s="38">
        <f>IF($A76&gt;LastT,0,SumAssured*(H76+H77)/2)</f>
        <v/>
      </c>
      <c r="J76" s="38">
        <f>IF(OR($A76=0,$A76&gt;LastT),0,IF(A76&lt;CommRenTerm,SizePremium*CommRenPrem*(1+CnsmpTax),0))</f>
        <v/>
      </c>
      <c r="K76" s="36">
        <f>IF($A76&gt;LastT,0,INDEX(ScenGrid,A76+1,ScenID))</f>
        <v/>
      </c>
    </row>
    <row r="77">
      <c r="A77" s="30">
        <f>A76+1</f>
        <v/>
      </c>
      <c r="B77" s="30">
        <f>IssueAge+A77</f>
        <v/>
      </c>
      <c r="C77" s="31">
        <f>IF($A77&gt;LastT,0,INDEX(MortGrid,B77+1,BaseMortCol))</f>
        <v/>
      </c>
      <c r="D77" s="31">
        <f>IF($A77&gt;LastT,0,INDEX(AsmpTblGrid,MIN(A77,19)+1,MortFactorCol))</f>
        <v/>
      </c>
      <c r="E77" s="36">
        <f>IF($A77&gt;LastT,0,INDEX(AsmpTblGrid,MIN(A77,19)+1,SurrCol))</f>
        <v/>
      </c>
      <c r="F77" s="37">
        <f>IF($A77&gt;LastT+1,0,IF(INDEX(Comm_Dx,B77+1)=0,0,(INDEX(Comm_Mx,B77+1)-Mx_xn+LoadMaintSA2*(Nx_xn-Nx_xn)-IF(A77&lt;=PolicyTerm,NetPremRatePrem*(INDEX(Comm_Nx,B77+1)-Nx_xn),0))/INDEX(Comm_Dx,B77+1)))</f>
        <v/>
      </c>
      <c r="G77" s="37">
        <f>IF($A77&gt;LastT+1,0,InitSurrCharge*MAX((MIN(PolicyTerm,10)-A77)/MIN(PolicyTerm,10),0))</f>
        <v/>
      </c>
      <c r="H77" s="37">
        <f>IF($A77&gt;LastT+1,0,MAX(F77-G77,0))</f>
        <v/>
      </c>
      <c r="I77" s="38">
        <f>IF($A77&gt;LastT,0,SumAssured*(H77+H78)/2)</f>
        <v/>
      </c>
      <c r="J77" s="38">
        <f>IF(OR($A77=0,$A77&gt;LastT),0,IF(A77&lt;CommRenTerm,SizePremium*CommRenPrem*(1+CnsmpTax),0))</f>
        <v/>
      </c>
      <c r="K77" s="36">
        <f>IF($A77&gt;LastT,0,INDEX(ScenGrid,A77+1,ScenID))</f>
        <v/>
      </c>
    </row>
    <row r="78">
      <c r="A78" s="30">
        <f>A77+1</f>
        <v/>
      </c>
      <c r="B78" s="30">
        <f>IssueAge+A78</f>
        <v/>
      </c>
      <c r="C78" s="31">
        <f>IF($A78&gt;LastT,0,INDEX(MortGrid,B78+1,BaseMortCol))</f>
        <v/>
      </c>
      <c r="D78" s="31">
        <f>IF($A78&gt;LastT,0,INDEX(AsmpTblGrid,MIN(A78,19)+1,MortFactorCol))</f>
        <v/>
      </c>
      <c r="E78" s="36">
        <f>IF($A78&gt;LastT,0,INDEX(AsmpTblGrid,MIN(A78,19)+1,SurrCol))</f>
        <v/>
      </c>
      <c r="F78" s="37">
        <f>IF($A78&gt;LastT+1,0,IF(INDEX(Comm_Dx,B78+1)=0,0,(INDEX(Comm_Mx,B78+1)-Mx_xn+LoadMaintSA2*(Nx_xn-Nx_xn)-IF(A78&lt;=PolicyTerm,NetPremRatePrem*(INDEX(Comm_Nx,B78+1)-Nx_xn),0))/INDEX(Comm_Dx,B78+1)))</f>
        <v/>
      </c>
      <c r="G78" s="37">
        <f>IF($A78&gt;LastT+1,0,InitSurrCharge*MAX((MIN(PolicyTerm,10)-A78)/MIN(PolicyTerm,10),0))</f>
        <v/>
      </c>
      <c r="H78" s="37">
        <f>IF($A78&gt;LastT+1,0,MAX(F78-G78,0))</f>
        <v/>
      </c>
      <c r="I78" s="38">
        <f>IF($A78&gt;LastT,0,SumAssured*(H78+H79)/2)</f>
        <v/>
      </c>
      <c r="J78" s="38">
        <f>IF(OR($A78=0,$A78&gt;LastT),0,IF(A78&lt;CommRenTerm,SizePremium*CommRenPrem*(1+CnsmpTax),0))</f>
        <v/>
      </c>
      <c r="K78" s="36">
        <f>IF($A78&gt;LastT,0,INDEX(ScenGrid,A78+1,ScenID))</f>
        <v/>
      </c>
    </row>
    <row r="79">
      <c r="A79" s="30">
        <f>A78+1</f>
        <v/>
      </c>
      <c r="B79" s="30">
        <f>IssueAge+A79</f>
        <v/>
      </c>
      <c r="C79" s="31">
        <f>IF($A79&gt;LastT,0,INDEX(MortGrid,B79+1,BaseMortCol))</f>
        <v/>
      </c>
      <c r="D79" s="31">
        <f>IF($A79&gt;LastT,0,INDEX(AsmpTblGrid,MIN(A79,19)+1,MortFactorCol))</f>
        <v/>
      </c>
      <c r="E79" s="36">
        <f>IF($A79&gt;LastT,0,INDEX(AsmpTblGrid,MIN(A79,19)+1,SurrCol))</f>
        <v/>
      </c>
      <c r="F79" s="37">
        <f>IF($A79&gt;LastT+1,0,IF(INDEX(Comm_Dx,B79+1)=0,0,(INDEX(Comm_Mx,B79+1)-Mx_xn+LoadMaintSA2*(Nx_xn-Nx_xn)-IF(A79&lt;=PolicyTerm,NetPremRatePrem*(INDEX(Comm_Nx,B79+1)-Nx_xn),0))/INDEX(Comm_Dx,B79+1)))</f>
        <v/>
      </c>
      <c r="G79" s="37">
        <f>IF($A79&gt;LastT+1,0,InitSurrCharge*MAX((MIN(PolicyTerm,10)-A79)/MIN(PolicyTerm,10),0))</f>
        <v/>
      </c>
      <c r="H79" s="37">
        <f>IF($A79&gt;LastT+1,0,MAX(F79-G79,0))</f>
        <v/>
      </c>
      <c r="I79" s="38">
        <f>IF($A79&gt;LastT,0,SumAssured*(H79+H80)/2)</f>
        <v/>
      </c>
      <c r="J79" s="38">
        <f>IF(OR($A79=0,$A79&gt;LastT),0,IF(A79&lt;CommRenTerm,SizePremium*CommRenPrem*(1+CnsmpTax),0))</f>
        <v/>
      </c>
      <c r="K79" s="36">
        <f>IF($A79&gt;LastT,0,INDEX(ScenGrid,A79+1,ScenID))</f>
        <v/>
      </c>
    </row>
    <row r="80">
      <c r="A80" s="30">
        <f>A79+1</f>
        <v/>
      </c>
      <c r="B80" s="30">
        <f>IssueAge+A80</f>
        <v/>
      </c>
      <c r="C80" s="31">
        <f>IF($A80&gt;LastT,0,INDEX(MortGrid,B80+1,BaseMortCol))</f>
        <v/>
      </c>
      <c r="D80" s="31">
        <f>IF($A80&gt;LastT,0,INDEX(AsmpTblGrid,MIN(A80,19)+1,MortFactorCol))</f>
        <v/>
      </c>
      <c r="E80" s="36">
        <f>IF($A80&gt;LastT,0,INDEX(AsmpTblGrid,MIN(A80,19)+1,SurrCol))</f>
        <v/>
      </c>
      <c r="F80" s="37">
        <f>IF($A80&gt;LastT+1,0,IF(INDEX(Comm_Dx,B80+1)=0,0,(INDEX(Comm_Mx,B80+1)-Mx_xn+LoadMaintSA2*(Nx_xn-Nx_xn)-IF(A80&lt;=PolicyTerm,NetPremRatePrem*(INDEX(Comm_Nx,B80+1)-Nx_xn),0))/INDEX(Comm_Dx,B80+1)))</f>
        <v/>
      </c>
      <c r="G80" s="37">
        <f>IF($A80&gt;LastT+1,0,InitSurrCharge*MAX((MIN(PolicyTerm,10)-A80)/MIN(PolicyTerm,10),0))</f>
        <v/>
      </c>
      <c r="H80" s="37">
        <f>IF($A80&gt;LastT+1,0,MAX(F80-G80,0))</f>
        <v/>
      </c>
      <c r="I80" s="38">
        <f>IF($A80&gt;LastT,0,SumAssured*(H80+H81)/2)</f>
        <v/>
      </c>
      <c r="J80" s="38">
        <f>IF(OR($A80=0,$A80&gt;LastT),0,IF(A80&lt;CommRenTerm,SizePremium*CommRenPrem*(1+CnsmpTax),0))</f>
        <v/>
      </c>
      <c r="K80" s="36">
        <f>IF($A80&gt;LastT,0,INDEX(ScenGrid,A80+1,ScenID))</f>
        <v/>
      </c>
    </row>
    <row r="81">
      <c r="A81" s="30">
        <f>A80+1</f>
        <v/>
      </c>
      <c r="B81" s="30">
        <f>IssueAge+A81</f>
        <v/>
      </c>
      <c r="C81" s="31">
        <f>IF($A81&gt;LastT,0,INDEX(MortGrid,B81+1,BaseMortCol))</f>
        <v/>
      </c>
      <c r="D81" s="31">
        <f>IF($A81&gt;LastT,0,INDEX(AsmpTblGrid,MIN(A81,19)+1,MortFactorCol))</f>
        <v/>
      </c>
      <c r="E81" s="36">
        <f>IF($A81&gt;LastT,0,INDEX(AsmpTblGrid,MIN(A81,19)+1,SurrCol))</f>
        <v/>
      </c>
      <c r="F81" s="37">
        <f>IF($A81&gt;LastT+1,0,IF(INDEX(Comm_Dx,B81+1)=0,0,(INDEX(Comm_Mx,B81+1)-Mx_xn+LoadMaintSA2*(Nx_xn-Nx_xn)-IF(A81&lt;=PolicyTerm,NetPremRatePrem*(INDEX(Comm_Nx,B81+1)-Nx_xn),0))/INDEX(Comm_Dx,B81+1)))</f>
        <v/>
      </c>
      <c r="G81" s="37">
        <f>IF($A81&gt;LastT+1,0,InitSurrCharge*MAX((MIN(PolicyTerm,10)-A81)/MIN(PolicyTerm,10),0))</f>
        <v/>
      </c>
      <c r="H81" s="37">
        <f>IF($A81&gt;LastT+1,0,MAX(F81-G81,0))</f>
        <v/>
      </c>
      <c r="I81" s="38">
        <f>IF($A81&gt;LastT,0,SumAssured*(H81+H82)/2)</f>
        <v/>
      </c>
      <c r="J81" s="38">
        <f>IF(OR($A81=0,$A81&gt;LastT),0,IF(A81&lt;CommRenTerm,SizePremium*CommRenPrem*(1+CnsmpTax),0))</f>
        <v/>
      </c>
      <c r="K81" s="36">
        <f>IF($A81&gt;LastT,0,INDEX(ScenGrid,A81+1,ScenID))</f>
        <v/>
      </c>
    </row>
    <row r="82">
      <c r="A82" s="30">
        <f>A81+1</f>
        <v/>
      </c>
      <c r="B82" s="30">
        <f>IssueAge+A82</f>
        <v/>
      </c>
      <c r="C82" s="31">
        <f>IF($A82&gt;LastT,0,INDEX(MortGrid,B82+1,BaseMortCol))</f>
        <v/>
      </c>
      <c r="D82" s="31">
        <f>IF($A82&gt;LastT,0,INDEX(AsmpTblGrid,MIN(A82,19)+1,MortFactorCol))</f>
        <v/>
      </c>
      <c r="E82" s="36">
        <f>IF($A82&gt;LastT,0,INDEX(AsmpTblGrid,MIN(A82,19)+1,SurrCol))</f>
        <v/>
      </c>
      <c r="F82" s="37">
        <f>IF($A82&gt;LastT+1,0,IF(INDEX(Comm_Dx,B82+1)=0,0,(INDEX(Comm_Mx,B82+1)-Mx_xn+LoadMaintSA2*(Nx_xn-Nx_xn)-IF(A82&lt;=PolicyTerm,NetPremRatePrem*(INDEX(Comm_Nx,B82+1)-Nx_xn),0))/INDEX(Comm_Dx,B82+1)))</f>
        <v/>
      </c>
      <c r="G82" s="37">
        <f>IF($A82&gt;LastT+1,0,InitSurrCharge*MAX((MIN(PolicyTerm,10)-A82)/MIN(PolicyTerm,10),0))</f>
        <v/>
      </c>
      <c r="H82" s="37">
        <f>IF($A82&gt;LastT+1,0,MAX(F82-G82,0))</f>
        <v/>
      </c>
      <c r="I82" s="38">
        <f>IF($A82&gt;LastT,0,SumAssured*(H82+H83)/2)</f>
        <v/>
      </c>
      <c r="J82" s="38">
        <f>IF(OR($A82=0,$A82&gt;LastT),0,IF(A82&lt;CommRenTerm,SizePremium*CommRenPrem*(1+CnsmpTax),0))</f>
        <v/>
      </c>
      <c r="K82" s="36">
        <f>IF($A82&gt;LastT,0,INDEX(ScenGrid,A82+1,ScenID))</f>
        <v/>
      </c>
    </row>
    <row r="83">
      <c r="A83" s="30">
        <f>A82+1</f>
        <v/>
      </c>
      <c r="B83" s="30">
        <f>IssueAge+A83</f>
        <v/>
      </c>
      <c r="C83" s="31">
        <f>IF($A83&gt;LastT,0,INDEX(MortGrid,B83+1,BaseMortCol))</f>
        <v/>
      </c>
      <c r="D83" s="31">
        <f>IF($A83&gt;LastT,0,INDEX(AsmpTblGrid,MIN(A83,19)+1,MortFactorCol))</f>
        <v/>
      </c>
      <c r="E83" s="36">
        <f>IF($A83&gt;LastT,0,INDEX(AsmpTblGrid,MIN(A83,19)+1,SurrCol))</f>
        <v/>
      </c>
      <c r="F83" s="37">
        <f>IF($A83&gt;LastT+1,0,IF(INDEX(Comm_Dx,B83+1)=0,0,(INDEX(Comm_Mx,B83+1)-Mx_xn+LoadMaintSA2*(Nx_xn-Nx_xn)-IF(A83&lt;=PolicyTerm,NetPremRatePrem*(INDEX(Comm_Nx,B83+1)-Nx_xn),0))/INDEX(Comm_Dx,B83+1)))</f>
        <v/>
      </c>
      <c r="G83" s="37">
        <f>IF($A83&gt;LastT+1,0,InitSurrCharge*MAX((MIN(PolicyTerm,10)-A83)/MIN(PolicyTerm,10),0))</f>
        <v/>
      </c>
      <c r="H83" s="37">
        <f>IF($A83&gt;LastT+1,0,MAX(F83-G83,0))</f>
        <v/>
      </c>
      <c r="I83" s="38">
        <f>IF($A83&gt;LastT,0,SumAssured*(H83+H84)/2)</f>
        <v/>
      </c>
      <c r="J83" s="38">
        <f>IF(OR($A83=0,$A83&gt;LastT),0,IF(A83&lt;CommRenTerm,SizePremium*CommRenPrem*(1+CnsmpTax),0))</f>
        <v/>
      </c>
      <c r="K83" s="36">
        <f>IF($A83&gt;LastT,0,INDEX(ScenGrid,A83+1,ScenID))</f>
        <v/>
      </c>
    </row>
    <row r="84">
      <c r="A84" s="30">
        <f>A83+1</f>
        <v/>
      </c>
      <c r="B84" s="30">
        <f>IssueAge+A84</f>
        <v/>
      </c>
      <c r="C84" s="31">
        <f>IF($A84&gt;LastT,0,INDEX(MortGrid,B84+1,BaseMortCol))</f>
        <v/>
      </c>
      <c r="D84" s="31">
        <f>IF($A84&gt;LastT,0,INDEX(AsmpTblGrid,MIN(A84,19)+1,MortFactorCol))</f>
        <v/>
      </c>
      <c r="E84" s="36">
        <f>IF($A84&gt;LastT,0,INDEX(AsmpTblGrid,MIN(A84,19)+1,SurrCol))</f>
        <v/>
      </c>
      <c r="F84" s="37">
        <f>IF($A84&gt;LastT+1,0,IF(INDEX(Comm_Dx,B84+1)=0,0,(INDEX(Comm_Mx,B84+1)-Mx_xn+LoadMaintSA2*(Nx_xn-Nx_xn)-IF(A84&lt;=PolicyTerm,NetPremRatePrem*(INDEX(Comm_Nx,B84+1)-Nx_xn),0))/INDEX(Comm_Dx,B84+1)))</f>
        <v/>
      </c>
      <c r="G84" s="37">
        <f>IF($A84&gt;LastT+1,0,InitSurrCharge*MAX((MIN(PolicyTerm,10)-A84)/MIN(PolicyTerm,10),0))</f>
        <v/>
      </c>
      <c r="H84" s="37">
        <f>IF($A84&gt;LastT+1,0,MAX(F84-G84,0))</f>
        <v/>
      </c>
      <c r="I84" s="38">
        <f>IF($A84&gt;LastT,0,SumAssured*(H84+H85)/2)</f>
        <v/>
      </c>
      <c r="J84" s="38">
        <f>IF(OR($A84=0,$A84&gt;LastT),0,IF(A84&lt;CommRenTerm,SizePremium*CommRenPrem*(1+CnsmpTax),0))</f>
        <v/>
      </c>
      <c r="K84" s="36">
        <f>IF($A84&gt;LastT,0,INDEX(ScenGrid,A84+1,ScenID))</f>
        <v/>
      </c>
    </row>
    <row r="85">
      <c r="A85" s="30">
        <f>A84+1</f>
        <v/>
      </c>
      <c r="B85" s="30">
        <f>IssueAge+A85</f>
        <v/>
      </c>
      <c r="C85" s="31">
        <f>IF($A85&gt;LastT,0,INDEX(MortGrid,B85+1,BaseMortCol))</f>
        <v/>
      </c>
      <c r="D85" s="31">
        <f>IF($A85&gt;LastT,0,INDEX(AsmpTblGrid,MIN(A85,19)+1,MortFactorCol))</f>
        <v/>
      </c>
      <c r="E85" s="36">
        <f>IF($A85&gt;LastT,0,INDEX(AsmpTblGrid,MIN(A85,19)+1,SurrCol))</f>
        <v/>
      </c>
      <c r="F85" s="37">
        <f>IF($A85&gt;LastT+1,0,IF(INDEX(Comm_Dx,B85+1)=0,0,(INDEX(Comm_Mx,B85+1)-Mx_xn+LoadMaintSA2*(Nx_xn-Nx_xn)-IF(A85&lt;=PolicyTerm,NetPremRatePrem*(INDEX(Comm_Nx,B85+1)-Nx_xn),0))/INDEX(Comm_Dx,B85+1)))</f>
        <v/>
      </c>
      <c r="G85" s="37">
        <f>IF($A85&gt;LastT+1,0,InitSurrCharge*MAX((MIN(PolicyTerm,10)-A85)/MIN(PolicyTerm,10),0))</f>
        <v/>
      </c>
      <c r="H85" s="37">
        <f>IF($A85&gt;LastT+1,0,MAX(F85-G85,0))</f>
        <v/>
      </c>
      <c r="I85" s="38">
        <f>IF($A85&gt;LastT,0,SumAssured*(H85+H86)/2)</f>
        <v/>
      </c>
      <c r="J85" s="38">
        <f>IF(OR($A85=0,$A85&gt;LastT),0,IF(A85&lt;CommRenTerm,SizePremium*CommRenPrem*(1+CnsmpTax),0))</f>
        <v/>
      </c>
      <c r="K85" s="36">
        <f>IF($A85&gt;LastT,0,INDEX(ScenGrid,A85+1,ScenID))</f>
        <v/>
      </c>
    </row>
    <row r="86">
      <c r="A86" s="30">
        <f>A85+1</f>
        <v/>
      </c>
      <c r="B86" s="30">
        <f>IssueAge+A86</f>
        <v/>
      </c>
      <c r="C86" s="31">
        <f>IF($A86&gt;LastT,0,INDEX(MortGrid,B86+1,BaseMortCol))</f>
        <v/>
      </c>
      <c r="D86" s="31">
        <f>IF($A86&gt;LastT,0,INDEX(AsmpTblGrid,MIN(A86,19)+1,MortFactorCol))</f>
        <v/>
      </c>
      <c r="E86" s="36">
        <f>IF($A86&gt;LastT,0,INDEX(AsmpTblGrid,MIN(A86,19)+1,SurrCol))</f>
        <v/>
      </c>
      <c r="F86" s="37">
        <f>IF($A86&gt;LastT+1,0,IF(INDEX(Comm_Dx,B86+1)=0,0,(INDEX(Comm_Mx,B86+1)-Mx_xn+LoadMaintSA2*(Nx_xn-Nx_xn)-IF(A86&lt;=PolicyTerm,NetPremRatePrem*(INDEX(Comm_Nx,B86+1)-Nx_xn),0))/INDEX(Comm_Dx,B86+1)))</f>
        <v/>
      </c>
      <c r="G86" s="37">
        <f>IF($A86&gt;LastT+1,0,InitSurrCharge*MAX((MIN(PolicyTerm,10)-A86)/MIN(PolicyTerm,10),0))</f>
        <v/>
      </c>
      <c r="H86" s="37">
        <f>IF($A86&gt;LastT+1,0,MAX(F86-G86,0))</f>
        <v/>
      </c>
      <c r="I86" s="38">
        <f>IF($A86&gt;LastT,0,SumAssured*(H86+H87)/2)</f>
        <v/>
      </c>
      <c r="J86" s="38">
        <f>IF(OR($A86=0,$A86&gt;LastT),0,IF(A86&lt;CommRenTerm,SizePremium*CommRenPrem*(1+CnsmpTax),0))</f>
        <v/>
      </c>
      <c r="K86" s="36">
        <f>IF($A86&gt;LastT,0,INDEX(ScenGrid,A86+1,ScenID))</f>
        <v/>
      </c>
    </row>
    <row r="87">
      <c r="A87" s="30">
        <f>A86+1</f>
        <v/>
      </c>
      <c r="B87" s="30">
        <f>IssueAge+A87</f>
        <v/>
      </c>
      <c r="C87" s="31">
        <f>IF($A87&gt;LastT,0,INDEX(MortGrid,B87+1,BaseMortCol))</f>
        <v/>
      </c>
      <c r="D87" s="31">
        <f>IF($A87&gt;LastT,0,INDEX(AsmpTblGrid,MIN(A87,19)+1,MortFactorCol))</f>
        <v/>
      </c>
      <c r="E87" s="36">
        <f>IF($A87&gt;LastT,0,INDEX(AsmpTblGrid,MIN(A87,19)+1,SurrCol))</f>
        <v/>
      </c>
      <c r="F87" s="37">
        <f>IF($A87&gt;LastT+1,0,IF(INDEX(Comm_Dx,B87+1)=0,0,(INDEX(Comm_Mx,B87+1)-Mx_xn+LoadMaintSA2*(Nx_xn-Nx_xn)-IF(A87&lt;=PolicyTerm,NetPremRatePrem*(INDEX(Comm_Nx,B87+1)-Nx_xn),0))/INDEX(Comm_Dx,B87+1)))</f>
        <v/>
      </c>
      <c r="G87" s="37">
        <f>IF($A87&gt;LastT+1,0,InitSurrCharge*MAX((MIN(PolicyTerm,10)-A87)/MIN(PolicyTerm,10),0))</f>
        <v/>
      </c>
      <c r="H87" s="37">
        <f>IF($A87&gt;LastT+1,0,MAX(F87-G87,0))</f>
        <v/>
      </c>
      <c r="I87" s="38">
        <f>IF($A87&gt;LastT,0,SumAssured*(H87+H88)/2)</f>
        <v/>
      </c>
      <c r="J87" s="38">
        <f>IF(OR($A87=0,$A87&gt;LastT),0,IF(A87&lt;CommRenTerm,SizePremium*CommRenPrem*(1+CnsmpTax),0))</f>
        <v/>
      </c>
      <c r="K87" s="36">
        <f>IF($A87&gt;LastT,0,INDEX(ScenGrid,A87+1,ScenID))</f>
        <v/>
      </c>
    </row>
    <row r="88">
      <c r="A88" s="30">
        <f>A87+1</f>
        <v/>
      </c>
      <c r="B88" s="30">
        <f>IssueAge+A88</f>
        <v/>
      </c>
      <c r="C88" s="31">
        <f>IF($A88&gt;LastT,0,INDEX(MortGrid,B88+1,BaseMortCol))</f>
        <v/>
      </c>
      <c r="D88" s="31">
        <f>IF($A88&gt;LastT,0,INDEX(AsmpTblGrid,MIN(A88,19)+1,MortFactorCol))</f>
        <v/>
      </c>
      <c r="E88" s="36">
        <f>IF($A88&gt;LastT,0,INDEX(AsmpTblGrid,MIN(A88,19)+1,SurrCol))</f>
        <v/>
      </c>
      <c r="F88" s="37">
        <f>IF($A88&gt;LastT+1,0,IF(INDEX(Comm_Dx,B88+1)=0,0,(INDEX(Comm_Mx,B88+1)-Mx_xn+LoadMaintSA2*(Nx_xn-Nx_xn)-IF(A88&lt;=PolicyTerm,NetPremRatePrem*(INDEX(Comm_Nx,B88+1)-Nx_xn),0))/INDEX(Comm_Dx,B88+1)))</f>
        <v/>
      </c>
      <c r="G88" s="37">
        <f>IF($A88&gt;LastT+1,0,InitSurrCharge*MAX((MIN(PolicyTerm,10)-A88)/MIN(PolicyTerm,10),0))</f>
        <v/>
      </c>
      <c r="H88" s="37">
        <f>IF($A88&gt;LastT+1,0,MAX(F88-G88,0))</f>
        <v/>
      </c>
      <c r="I88" s="38">
        <f>IF($A88&gt;LastT,0,SumAssured*(H88+H89)/2)</f>
        <v/>
      </c>
      <c r="J88" s="38">
        <f>IF(OR($A88=0,$A88&gt;LastT),0,IF(A88&lt;CommRenTerm,SizePremium*CommRenPrem*(1+CnsmpTax),0))</f>
        <v/>
      </c>
      <c r="K88" s="36">
        <f>IF($A88&gt;LastT,0,INDEX(ScenGrid,A88+1,ScenID))</f>
        <v/>
      </c>
    </row>
    <row r="89">
      <c r="A89" s="30">
        <f>A88+1</f>
        <v/>
      </c>
      <c r="B89" s="30">
        <f>IssueAge+A89</f>
        <v/>
      </c>
      <c r="C89" s="31">
        <f>IF($A89&gt;LastT,0,INDEX(MortGrid,B89+1,BaseMortCol))</f>
        <v/>
      </c>
      <c r="D89" s="31">
        <f>IF($A89&gt;LastT,0,INDEX(AsmpTblGrid,MIN(A89,19)+1,MortFactorCol))</f>
        <v/>
      </c>
      <c r="E89" s="36">
        <f>IF($A89&gt;LastT,0,INDEX(AsmpTblGrid,MIN(A89,19)+1,SurrCol))</f>
        <v/>
      </c>
      <c r="F89" s="37">
        <f>IF($A89&gt;LastT+1,0,IF(INDEX(Comm_Dx,B89+1)=0,0,(INDEX(Comm_Mx,B89+1)-Mx_xn+LoadMaintSA2*(Nx_xn-Nx_xn)-IF(A89&lt;=PolicyTerm,NetPremRatePrem*(INDEX(Comm_Nx,B89+1)-Nx_xn),0))/INDEX(Comm_Dx,B89+1)))</f>
        <v/>
      </c>
      <c r="G89" s="37">
        <f>IF($A89&gt;LastT+1,0,InitSurrCharge*MAX((MIN(PolicyTerm,10)-A89)/MIN(PolicyTerm,10),0))</f>
        <v/>
      </c>
      <c r="H89" s="37">
        <f>IF($A89&gt;LastT+1,0,MAX(F89-G89,0))</f>
        <v/>
      </c>
      <c r="I89" s="38">
        <f>IF($A89&gt;LastT,0,SumAssured*(H89+H90)/2)</f>
        <v/>
      </c>
      <c r="J89" s="38">
        <f>IF(OR($A89=0,$A89&gt;LastT),0,IF(A89&lt;CommRenTerm,SizePremium*CommRenPrem*(1+CnsmpTax),0))</f>
        <v/>
      </c>
      <c r="K89" s="36">
        <f>IF($A89&gt;LastT,0,INDEX(ScenGrid,A89+1,ScenID))</f>
        <v/>
      </c>
    </row>
    <row r="90">
      <c r="A90" s="30">
        <f>A89+1</f>
        <v/>
      </c>
      <c r="B90" s="30">
        <f>IssueAge+A90</f>
        <v/>
      </c>
      <c r="C90" s="31">
        <f>IF($A90&gt;LastT,0,INDEX(MortGrid,B90+1,BaseMortCol))</f>
        <v/>
      </c>
      <c r="D90" s="31">
        <f>IF($A90&gt;LastT,0,INDEX(AsmpTblGrid,MIN(A90,19)+1,MortFactorCol))</f>
        <v/>
      </c>
      <c r="E90" s="36">
        <f>IF($A90&gt;LastT,0,INDEX(AsmpTblGrid,MIN(A90,19)+1,SurrCol))</f>
        <v/>
      </c>
      <c r="F90" s="37">
        <f>IF($A90&gt;LastT+1,0,IF(INDEX(Comm_Dx,B90+1)=0,0,(INDEX(Comm_Mx,B90+1)-Mx_xn+LoadMaintSA2*(Nx_xn-Nx_xn)-IF(A90&lt;=PolicyTerm,NetPremRatePrem*(INDEX(Comm_Nx,B90+1)-Nx_xn),0))/INDEX(Comm_Dx,B90+1)))</f>
        <v/>
      </c>
      <c r="G90" s="37">
        <f>IF($A90&gt;LastT+1,0,InitSurrCharge*MAX((MIN(PolicyTerm,10)-A90)/MIN(PolicyTerm,10),0))</f>
        <v/>
      </c>
      <c r="H90" s="37">
        <f>IF($A90&gt;LastT+1,0,MAX(F90-G90,0))</f>
        <v/>
      </c>
      <c r="I90" s="38">
        <f>IF($A90&gt;LastT,0,SumAssured*(H90+H91)/2)</f>
        <v/>
      </c>
      <c r="J90" s="38">
        <f>IF(OR($A90=0,$A90&gt;LastT),0,IF(A90&lt;CommRenTerm,SizePremium*CommRenPrem*(1+CnsmpTax),0))</f>
        <v/>
      </c>
      <c r="K90" s="36">
        <f>IF($A90&gt;LastT,0,INDEX(ScenGrid,A90+1,ScenID))</f>
        <v/>
      </c>
    </row>
    <row r="91">
      <c r="A91" s="30">
        <f>A90+1</f>
        <v/>
      </c>
      <c r="B91" s="30">
        <f>IssueAge+A91</f>
        <v/>
      </c>
      <c r="C91" s="31">
        <f>IF($A91&gt;LastT,0,INDEX(MortGrid,B91+1,BaseMortCol))</f>
        <v/>
      </c>
      <c r="D91" s="31">
        <f>IF($A91&gt;LastT,0,INDEX(AsmpTblGrid,MIN(A91,19)+1,MortFactorCol))</f>
        <v/>
      </c>
      <c r="E91" s="36">
        <f>IF($A91&gt;LastT,0,INDEX(AsmpTblGrid,MIN(A91,19)+1,SurrCol))</f>
        <v/>
      </c>
      <c r="F91" s="37">
        <f>IF($A91&gt;LastT+1,0,IF(INDEX(Comm_Dx,B91+1)=0,0,(INDEX(Comm_Mx,B91+1)-Mx_xn+LoadMaintSA2*(Nx_xn-Nx_xn)-IF(A91&lt;=PolicyTerm,NetPremRatePrem*(INDEX(Comm_Nx,B91+1)-Nx_xn),0))/INDEX(Comm_Dx,B91+1)))</f>
        <v/>
      </c>
      <c r="G91" s="37">
        <f>IF($A91&gt;LastT+1,0,InitSurrCharge*MAX((MIN(PolicyTerm,10)-A91)/MIN(PolicyTerm,10),0))</f>
        <v/>
      </c>
      <c r="H91" s="37">
        <f>IF($A91&gt;LastT+1,0,MAX(F91-G91,0))</f>
        <v/>
      </c>
      <c r="I91" s="38">
        <f>IF($A91&gt;LastT,0,SumAssured*(H91+H92)/2)</f>
        <v/>
      </c>
      <c r="J91" s="38">
        <f>IF(OR($A91=0,$A91&gt;LastT),0,IF(A91&lt;CommRenTerm,SizePremium*CommRenPrem*(1+CnsmpTax),0))</f>
        <v/>
      </c>
      <c r="K91" s="36">
        <f>IF($A91&gt;LastT,0,INDEX(ScenGrid,A91+1,ScenID))</f>
        <v/>
      </c>
    </row>
    <row r="92">
      <c r="A92" s="30">
        <f>A91+1</f>
        <v/>
      </c>
      <c r="B92" s="30">
        <f>IssueAge+A92</f>
        <v/>
      </c>
      <c r="C92" s="31">
        <f>IF($A92&gt;LastT,0,INDEX(MortGrid,B92+1,BaseMortCol))</f>
        <v/>
      </c>
      <c r="D92" s="31">
        <f>IF($A92&gt;LastT,0,INDEX(AsmpTblGrid,MIN(A92,19)+1,MortFactorCol))</f>
        <v/>
      </c>
      <c r="E92" s="36">
        <f>IF($A92&gt;LastT,0,INDEX(AsmpTblGrid,MIN(A92,19)+1,SurrCol))</f>
        <v/>
      </c>
      <c r="F92" s="37">
        <f>IF($A92&gt;LastT+1,0,IF(INDEX(Comm_Dx,B92+1)=0,0,(INDEX(Comm_Mx,B92+1)-Mx_xn+LoadMaintSA2*(Nx_xn-Nx_xn)-IF(A92&lt;=PolicyTerm,NetPremRatePrem*(INDEX(Comm_Nx,B92+1)-Nx_xn),0))/INDEX(Comm_Dx,B92+1)))</f>
        <v/>
      </c>
      <c r="G92" s="37">
        <f>IF($A92&gt;LastT+1,0,InitSurrCharge*MAX((MIN(PolicyTerm,10)-A92)/MIN(PolicyTerm,10),0))</f>
        <v/>
      </c>
      <c r="H92" s="37">
        <f>IF($A92&gt;LastT+1,0,MAX(F92-G92,0))</f>
        <v/>
      </c>
      <c r="I92" s="38">
        <f>IF($A92&gt;LastT,0,SumAssured*(H92+H93)/2)</f>
        <v/>
      </c>
      <c r="J92" s="38">
        <f>IF(OR($A92=0,$A92&gt;LastT),0,IF(A92&lt;CommRenTerm,SizePremium*CommRenPrem*(1+CnsmpTax),0))</f>
        <v/>
      </c>
      <c r="K92" s="36">
        <f>IF($A92&gt;LastT,0,INDEX(ScenGrid,A92+1,ScenID))</f>
        <v/>
      </c>
    </row>
    <row r="93">
      <c r="A93" s="30">
        <f>A92+1</f>
        <v/>
      </c>
      <c r="B93" s="30">
        <f>IssueAge+A93</f>
        <v/>
      </c>
      <c r="C93" s="31">
        <f>IF($A93&gt;LastT,0,INDEX(MortGrid,B93+1,BaseMortCol))</f>
        <v/>
      </c>
      <c r="D93" s="31">
        <f>IF($A93&gt;LastT,0,INDEX(AsmpTblGrid,MIN(A93,19)+1,MortFactorCol))</f>
        <v/>
      </c>
      <c r="E93" s="36">
        <f>IF($A93&gt;LastT,0,INDEX(AsmpTblGrid,MIN(A93,19)+1,SurrCol))</f>
        <v/>
      </c>
      <c r="F93" s="37">
        <f>IF($A93&gt;LastT+1,0,IF(INDEX(Comm_Dx,B93+1)=0,0,(INDEX(Comm_Mx,B93+1)-Mx_xn+LoadMaintSA2*(Nx_xn-Nx_xn)-IF(A93&lt;=PolicyTerm,NetPremRatePrem*(INDEX(Comm_Nx,B93+1)-Nx_xn),0))/INDEX(Comm_Dx,B93+1)))</f>
        <v/>
      </c>
      <c r="G93" s="37">
        <f>IF($A93&gt;LastT+1,0,InitSurrCharge*MAX((MIN(PolicyTerm,10)-A93)/MIN(PolicyTerm,10),0))</f>
        <v/>
      </c>
      <c r="H93" s="37">
        <f>IF($A93&gt;LastT+1,0,MAX(F93-G93,0))</f>
        <v/>
      </c>
      <c r="I93" s="38">
        <f>IF($A93&gt;LastT,0,SumAssured*(H93+H94)/2)</f>
        <v/>
      </c>
      <c r="J93" s="38">
        <f>IF(OR($A93=0,$A93&gt;LastT),0,IF(A93&lt;CommRenTerm,SizePremium*CommRenPrem*(1+CnsmpTax),0))</f>
        <v/>
      </c>
      <c r="K93" s="36">
        <f>IF($A93&gt;LastT,0,INDEX(ScenGrid,A93+1,ScenID))</f>
        <v/>
      </c>
    </row>
    <row r="94">
      <c r="A94" s="30">
        <f>A93+1</f>
        <v/>
      </c>
      <c r="B94" s="30">
        <f>IssueAge+A94</f>
        <v/>
      </c>
      <c r="C94" s="31">
        <f>IF($A94&gt;LastT,0,INDEX(MortGrid,B94+1,BaseMortCol))</f>
        <v/>
      </c>
      <c r="D94" s="31">
        <f>IF($A94&gt;LastT,0,INDEX(AsmpTblGrid,MIN(A94,19)+1,MortFactorCol))</f>
        <v/>
      </c>
      <c r="E94" s="36">
        <f>IF($A94&gt;LastT,0,INDEX(AsmpTblGrid,MIN(A94,19)+1,SurrCol))</f>
        <v/>
      </c>
      <c r="F94" s="37">
        <f>IF($A94&gt;LastT+1,0,IF(INDEX(Comm_Dx,B94+1)=0,0,(INDEX(Comm_Mx,B94+1)-Mx_xn+LoadMaintSA2*(Nx_xn-Nx_xn)-IF(A94&lt;=PolicyTerm,NetPremRatePrem*(INDEX(Comm_Nx,B94+1)-Nx_xn),0))/INDEX(Comm_Dx,B94+1)))</f>
        <v/>
      </c>
      <c r="G94" s="37">
        <f>IF($A94&gt;LastT+1,0,InitSurrCharge*MAX((MIN(PolicyTerm,10)-A94)/MIN(PolicyTerm,10),0))</f>
        <v/>
      </c>
      <c r="H94" s="37">
        <f>IF($A94&gt;LastT+1,0,MAX(F94-G94,0))</f>
        <v/>
      </c>
      <c r="I94" s="38">
        <f>IF($A94&gt;LastT,0,SumAssured*(H94+H95)/2)</f>
        <v/>
      </c>
      <c r="J94" s="38">
        <f>IF(OR($A94=0,$A94&gt;LastT),0,IF(A94&lt;CommRenTerm,SizePremium*CommRenPrem*(1+CnsmpTax),0))</f>
        <v/>
      </c>
      <c r="K94" s="36">
        <f>IF($A94&gt;LastT,0,INDEX(ScenGrid,A94+1,ScenID))</f>
        <v/>
      </c>
    </row>
    <row r="95">
      <c r="A95" s="30">
        <f>A94+1</f>
        <v/>
      </c>
      <c r="B95" s="30">
        <f>IssueAge+A95</f>
        <v/>
      </c>
      <c r="C95" s="31">
        <f>IF($A95&gt;LastT,0,INDEX(MortGrid,B95+1,BaseMortCol))</f>
        <v/>
      </c>
      <c r="D95" s="31">
        <f>IF($A95&gt;LastT,0,INDEX(AsmpTblGrid,MIN(A95,19)+1,MortFactorCol))</f>
        <v/>
      </c>
      <c r="E95" s="36">
        <f>IF($A95&gt;LastT,0,INDEX(AsmpTblGrid,MIN(A95,19)+1,SurrCol))</f>
        <v/>
      </c>
      <c r="F95" s="37">
        <f>IF($A95&gt;LastT+1,0,IF(INDEX(Comm_Dx,B95+1)=0,0,(INDEX(Comm_Mx,B95+1)-Mx_xn+LoadMaintSA2*(Nx_xn-Nx_xn)-IF(A95&lt;=PolicyTerm,NetPremRatePrem*(INDEX(Comm_Nx,B95+1)-Nx_xn),0))/INDEX(Comm_Dx,B95+1)))</f>
        <v/>
      </c>
      <c r="G95" s="37">
        <f>IF($A95&gt;LastT+1,0,InitSurrCharge*MAX((MIN(PolicyTerm,10)-A95)/MIN(PolicyTerm,10),0))</f>
        <v/>
      </c>
      <c r="H95" s="37">
        <f>IF($A95&gt;LastT+1,0,MAX(F95-G95,0))</f>
        <v/>
      </c>
      <c r="I95" s="38">
        <f>IF($A95&gt;LastT,0,SumAssured*(H95+H96)/2)</f>
        <v/>
      </c>
      <c r="J95" s="38">
        <f>IF(OR($A95=0,$A95&gt;LastT),0,IF(A95&lt;CommRenTerm,SizePremium*CommRenPrem*(1+CnsmpTax),0))</f>
        <v/>
      </c>
      <c r="K95" s="36">
        <f>IF($A95&gt;LastT,0,INDEX(ScenGrid,A95+1,ScenID))</f>
        <v/>
      </c>
    </row>
    <row r="96">
      <c r="A96" s="30">
        <f>A95+1</f>
        <v/>
      </c>
      <c r="B96" s="30">
        <f>IssueAge+A96</f>
        <v/>
      </c>
      <c r="C96" s="31">
        <f>IF($A96&gt;LastT,0,INDEX(MortGrid,B96+1,BaseMortCol))</f>
        <v/>
      </c>
      <c r="D96" s="31">
        <f>IF($A96&gt;LastT,0,INDEX(AsmpTblGrid,MIN(A96,19)+1,MortFactorCol))</f>
        <v/>
      </c>
      <c r="E96" s="36">
        <f>IF($A96&gt;LastT,0,INDEX(AsmpTblGrid,MIN(A96,19)+1,SurrCol))</f>
        <v/>
      </c>
      <c r="F96" s="37">
        <f>IF($A96&gt;LastT+1,0,IF(INDEX(Comm_Dx,B96+1)=0,0,(INDEX(Comm_Mx,B96+1)-Mx_xn+LoadMaintSA2*(Nx_xn-Nx_xn)-IF(A96&lt;=PolicyTerm,NetPremRatePrem*(INDEX(Comm_Nx,B96+1)-Nx_xn),0))/INDEX(Comm_Dx,B96+1)))</f>
        <v/>
      </c>
      <c r="G96" s="37">
        <f>IF($A96&gt;LastT+1,0,InitSurrCharge*MAX((MIN(PolicyTerm,10)-A96)/MIN(PolicyTerm,10),0))</f>
        <v/>
      </c>
      <c r="H96" s="37">
        <f>IF($A96&gt;LastT+1,0,MAX(F96-G96,0))</f>
        <v/>
      </c>
      <c r="I96" s="38">
        <f>IF($A96&gt;LastT,0,SumAssured*(H96+H97)/2)</f>
        <v/>
      </c>
      <c r="J96" s="38">
        <f>IF(OR($A96=0,$A96&gt;LastT),0,IF(A96&lt;CommRenTerm,SizePremium*CommRenPrem*(1+CnsmpTax),0))</f>
        <v/>
      </c>
      <c r="K96" s="36">
        <f>IF($A96&gt;LastT,0,INDEX(ScenGrid,A96+1,ScenID))</f>
        <v/>
      </c>
    </row>
    <row r="97">
      <c r="A97" s="30">
        <f>A96+1</f>
        <v/>
      </c>
      <c r="B97" s="30">
        <f>IssueAge+A97</f>
        <v/>
      </c>
      <c r="C97" s="31">
        <f>IF($A97&gt;LastT,0,INDEX(MortGrid,B97+1,BaseMortCol))</f>
        <v/>
      </c>
      <c r="D97" s="31">
        <f>IF($A97&gt;LastT,0,INDEX(AsmpTblGrid,MIN(A97,19)+1,MortFactorCol))</f>
        <v/>
      </c>
      <c r="E97" s="36">
        <f>IF($A97&gt;LastT,0,INDEX(AsmpTblGrid,MIN(A97,19)+1,SurrCol))</f>
        <v/>
      </c>
      <c r="F97" s="37">
        <f>IF($A97&gt;LastT+1,0,IF(INDEX(Comm_Dx,B97+1)=0,0,(INDEX(Comm_Mx,B97+1)-Mx_xn+LoadMaintSA2*(Nx_xn-Nx_xn)-IF(A97&lt;=PolicyTerm,NetPremRatePrem*(INDEX(Comm_Nx,B97+1)-Nx_xn),0))/INDEX(Comm_Dx,B97+1)))</f>
        <v/>
      </c>
      <c r="G97" s="37">
        <f>IF($A97&gt;LastT+1,0,InitSurrCharge*MAX((MIN(PolicyTerm,10)-A97)/MIN(PolicyTerm,10),0))</f>
        <v/>
      </c>
      <c r="H97" s="37">
        <f>IF($A97&gt;LastT+1,0,MAX(F97-G97,0))</f>
        <v/>
      </c>
      <c r="I97" s="38">
        <f>IF($A97&gt;LastT,0,SumAssured*(H97+H98)/2)</f>
        <v/>
      </c>
      <c r="J97" s="38">
        <f>IF(OR($A97=0,$A97&gt;LastT),0,IF(A97&lt;CommRenTerm,SizePremium*CommRenPrem*(1+CnsmpTax),0))</f>
        <v/>
      </c>
      <c r="K97" s="36">
        <f>IF($A97&gt;LastT,0,INDEX(ScenGrid,A97+1,ScenID))</f>
        <v/>
      </c>
    </row>
    <row r="98">
      <c r="A98" s="30">
        <f>A97+1</f>
        <v/>
      </c>
      <c r="B98" s="30">
        <f>IssueAge+A98</f>
        <v/>
      </c>
      <c r="C98" s="31">
        <f>IF($A98&gt;LastT,0,INDEX(MortGrid,B98+1,BaseMortCol))</f>
        <v/>
      </c>
      <c r="D98" s="31">
        <f>IF($A98&gt;LastT,0,INDEX(AsmpTblGrid,MIN(A98,19)+1,MortFactorCol))</f>
        <v/>
      </c>
      <c r="E98" s="36">
        <f>IF($A98&gt;LastT,0,INDEX(AsmpTblGrid,MIN(A98,19)+1,SurrCol))</f>
        <v/>
      </c>
      <c r="F98" s="37">
        <f>IF($A98&gt;LastT+1,0,IF(INDEX(Comm_Dx,B98+1)=0,0,(INDEX(Comm_Mx,B98+1)-Mx_xn+LoadMaintSA2*(Nx_xn-Nx_xn)-IF(A98&lt;=PolicyTerm,NetPremRatePrem*(INDEX(Comm_Nx,B98+1)-Nx_xn),0))/INDEX(Comm_Dx,B98+1)))</f>
        <v/>
      </c>
      <c r="G98" s="37">
        <f>IF($A98&gt;LastT+1,0,InitSurrCharge*MAX((MIN(PolicyTerm,10)-A98)/MIN(PolicyTerm,10),0))</f>
        <v/>
      </c>
      <c r="H98" s="37">
        <f>IF($A98&gt;LastT+1,0,MAX(F98-G98,0))</f>
        <v/>
      </c>
      <c r="I98" s="38">
        <f>IF($A98&gt;LastT,0,SumAssured*(H98+H99)/2)</f>
        <v/>
      </c>
      <c r="J98" s="38">
        <f>IF(OR($A98=0,$A98&gt;LastT),0,IF(A98&lt;CommRenTerm,SizePremium*CommRenPrem*(1+CnsmpTax),0))</f>
        <v/>
      </c>
      <c r="K98" s="36">
        <f>IF($A98&gt;LastT,0,INDEX(ScenGrid,A98+1,ScenID))</f>
        <v/>
      </c>
    </row>
    <row r="99">
      <c r="A99" s="30">
        <f>A98+1</f>
        <v/>
      </c>
      <c r="B99" s="30">
        <f>IssueAge+A99</f>
        <v/>
      </c>
      <c r="C99" s="31">
        <f>IF($A99&gt;LastT,0,INDEX(MortGrid,B99+1,BaseMortCol))</f>
        <v/>
      </c>
      <c r="D99" s="31">
        <f>IF($A99&gt;LastT,0,INDEX(AsmpTblGrid,MIN(A99,19)+1,MortFactorCol))</f>
        <v/>
      </c>
      <c r="E99" s="36">
        <f>IF($A99&gt;LastT,0,INDEX(AsmpTblGrid,MIN(A99,19)+1,SurrCol))</f>
        <v/>
      </c>
      <c r="F99" s="37">
        <f>IF($A99&gt;LastT+1,0,IF(INDEX(Comm_Dx,B99+1)=0,0,(INDEX(Comm_Mx,B99+1)-Mx_xn+LoadMaintSA2*(Nx_xn-Nx_xn)-IF(A99&lt;=PolicyTerm,NetPremRatePrem*(INDEX(Comm_Nx,B99+1)-Nx_xn),0))/INDEX(Comm_Dx,B99+1)))</f>
        <v/>
      </c>
      <c r="G99" s="37">
        <f>IF($A99&gt;LastT+1,0,InitSurrCharge*MAX((MIN(PolicyTerm,10)-A99)/MIN(PolicyTerm,10),0))</f>
        <v/>
      </c>
      <c r="H99" s="37">
        <f>IF($A99&gt;LastT+1,0,MAX(F99-G99,0))</f>
        <v/>
      </c>
      <c r="I99" s="38">
        <f>IF($A99&gt;LastT,0,SumAssured*(H99+H100)/2)</f>
        <v/>
      </c>
      <c r="J99" s="38">
        <f>IF(OR($A99=0,$A99&gt;LastT),0,IF(A99&lt;CommRenTerm,SizePremium*CommRenPrem*(1+CnsmpTax),0))</f>
        <v/>
      </c>
      <c r="K99" s="36">
        <f>IF($A99&gt;LastT,0,INDEX(ScenGrid,A99+1,ScenID))</f>
        <v/>
      </c>
    </row>
    <row r="100">
      <c r="A100" s="30">
        <f>A99+1</f>
        <v/>
      </c>
      <c r="B100" s="30">
        <f>IssueAge+A100</f>
        <v/>
      </c>
      <c r="C100" s="31">
        <f>IF($A100&gt;LastT,0,INDEX(MortGrid,B100+1,BaseMortCol))</f>
        <v/>
      </c>
      <c r="D100" s="31">
        <f>IF($A100&gt;LastT,0,INDEX(AsmpTblGrid,MIN(A100,19)+1,MortFactorCol))</f>
        <v/>
      </c>
      <c r="E100" s="36">
        <f>IF($A100&gt;LastT,0,INDEX(AsmpTblGrid,MIN(A100,19)+1,SurrCol))</f>
        <v/>
      </c>
      <c r="F100" s="37">
        <f>IF($A100&gt;LastT+1,0,IF(INDEX(Comm_Dx,B100+1)=0,0,(INDEX(Comm_Mx,B100+1)-Mx_xn+LoadMaintSA2*(Nx_xn-Nx_xn)-IF(A100&lt;=PolicyTerm,NetPremRatePrem*(INDEX(Comm_Nx,B100+1)-Nx_xn),0))/INDEX(Comm_Dx,B100+1)))</f>
        <v/>
      </c>
      <c r="G100" s="37">
        <f>IF($A100&gt;LastT+1,0,InitSurrCharge*MAX((MIN(PolicyTerm,10)-A100)/MIN(PolicyTerm,10),0))</f>
        <v/>
      </c>
      <c r="H100" s="37">
        <f>IF($A100&gt;LastT+1,0,MAX(F100-G100,0))</f>
        <v/>
      </c>
      <c r="I100" s="38">
        <f>IF($A100&gt;LastT,0,SumAssured*(H100+H101)/2)</f>
        <v/>
      </c>
      <c r="J100" s="38">
        <f>IF(OR($A100=0,$A100&gt;LastT),0,IF(A100&lt;CommRenTerm,SizePremium*CommRenPrem*(1+CnsmpTax),0))</f>
        <v/>
      </c>
      <c r="K100" s="36">
        <f>IF($A100&gt;LastT,0,INDEX(ScenGrid,A100+1,ScenID))</f>
        <v/>
      </c>
    </row>
    <row r="101">
      <c r="A101" s="30">
        <f>A100+1</f>
        <v/>
      </c>
      <c r="B101" s="30">
        <f>IssueAge+A101</f>
        <v/>
      </c>
      <c r="C101" s="31">
        <f>IF($A101&gt;LastT,0,INDEX(MortGrid,B101+1,BaseMortCol))</f>
        <v/>
      </c>
      <c r="D101" s="31">
        <f>IF($A101&gt;LastT,0,INDEX(AsmpTblGrid,MIN(A101,19)+1,MortFactorCol))</f>
        <v/>
      </c>
      <c r="E101" s="36">
        <f>IF($A101&gt;LastT,0,INDEX(AsmpTblGrid,MIN(A101,19)+1,SurrCol))</f>
        <v/>
      </c>
      <c r="F101" s="37">
        <f>IF($A101&gt;LastT+1,0,IF(INDEX(Comm_Dx,B101+1)=0,0,(INDEX(Comm_Mx,B101+1)-Mx_xn+LoadMaintSA2*(Nx_xn-Nx_xn)-IF(A101&lt;=PolicyTerm,NetPremRatePrem*(INDEX(Comm_Nx,B101+1)-Nx_xn),0))/INDEX(Comm_Dx,B101+1)))</f>
        <v/>
      </c>
      <c r="G101" s="37">
        <f>IF($A101&gt;LastT+1,0,InitSurrCharge*MAX((MIN(PolicyTerm,10)-A101)/MIN(PolicyTerm,10),0))</f>
        <v/>
      </c>
      <c r="H101" s="37">
        <f>IF($A101&gt;LastT+1,0,MAX(F101-G101,0))</f>
        <v/>
      </c>
      <c r="I101" s="38">
        <f>IF($A101&gt;LastT,0,SumAssured*(H101+H102)/2)</f>
        <v/>
      </c>
      <c r="J101" s="38">
        <f>IF(OR($A101=0,$A101&gt;LastT),0,IF(A101&lt;CommRenTerm,SizePremium*CommRenPrem*(1+CnsmpTax),0))</f>
        <v/>
      </c>
      <c r="K101" s="36">
        <f>IF($A101&gt;LastT,0,INDEX(ScenGrid,A101+1,ScenID))</f>
        <v/>
      </c>
    </row>
    <row r="102">
      <c r="A102" s="30">
        <f>A101+1</f>
        <v/>
      </c>
      <c r="B102" s="30">
        <f>IssueAge+A102</f>
        <v/>
      </c>
      <c r="C102" s="31">
        <f>IF($A102&gt;LastT,0,INDEX(MortGrid,B102+1,BaseMortCol))</f>
        <v/>
      </c>
      <c r="D102" s="31">
        <f>IF($A102&gt;LastT,0,INDEX(AsmpTblGrid,MIN(A102,19)+1,MortFactorCol))</f>
        <v/>
      </c>
      <c r="E102" s="36">
        <f>IF($A102&gt;LastT,0,INDEX(AsmpTblGrid,MIN(A102,19)+1,SurrCol))</f>
        <v/>
      </c>
      <c r="F102" s="37">
        <f>IF($A102&gt;LastT+1,0,IF(INDEX(Comm_Dx,B102+1)=0,0,(INDEX(Comm_Mx,B102+1)-Mx_xn+LoadMaintSA2*(Nx_xn-Nx_xn)-IF(A102&lt;=PolicyTerm,NetPremRatePrem*(INDEX(Comm_Nx,B102+1)-Nx_xn),0))/INDEX(Comm_Dx,B102+1)))</f>
        <v/>
      </c>
      <c r="G102" s="37">
        <f>IF($A102&gt;LastT+1,0,InitSurrCharge*MAX((MIN(PolicyTerm,10)-A102)/MIN(PolicyTerm,10),0))</f>
        <v/>
      </c>
      <c r="H102" s="37">
        <f>IF($A102&gt;LastT+1,0,MAX(F102-G102,0))</f>
        <v/>
      </c>
      <c r="I102" s="38">
        <f>IF($A102&gt;LastT,0,SumAssured*(H102+H103)/2)</f>
        <v/>
      </c>
      <c r="J102" s="38">
        <f>IF(OR($A102=0,$A102&gt;LastT),0,IF(A102&lt;CommRenTerm,SizePremium*CommRenPrem*(1+CnsmpTax),0))</f>
        <v/>
      </c>
      <c r="K102" s="36">
        <f>IF($A102&gt;LastT,0,INDEX(ScenGrid,A102+1,ScenID))</f>
        <v/>
      </c>
    </row>
    <row r="103">
      <c r="A103" s="30">
        <f>A102+1</f>
        <v/>
      </c>
      <c r="B103" s="30">
        <f>IssueAge+A103</f>
        <v/>
      </c>
      <c r="C103" s="31">
        <f>IF($A103&gt;LastT,0,INDEX(MortGrid,B103+1,BaseMortCol))</f>
        <v/>
      </c>
      <c r="D103" s="31">
        <f>IF($A103&gt;LastT,0,INDEX(AsmpTblGrid,MIN(A103,19)+1,MortFactorCol))</f>
        <v/>
      </c>
      <c r="E103" s="36">
        <f>IF($A103&gt;LastT,0,INDEX(AsmpTblGrid,MIN(A103,19)+1,SurrCol))</f>
        <v/>
      </c>
      <c r="F103" s="37">
        <f>IF($A103&gt;LastT+1,0,IF(INDEX(Comm_Dx,B103+1)=0,0,(INDEX(Comm_Mx,B103+1)-Mx_xn+LoadMaintSA2*(Nx_xn-Nx_xn)-IF(A103&lt;=PolicyTerm,NetPremRatePrem*(INDEX(Comm_Nx,B103+1)-Nx_xn),0))/INDEX(Comm_Dx,B103+1)))</f>
        <v/>
      </c>
      <c r="G103" s="37">
        <f>IF($A103&gt;LastT+1,0,InitSurrCharge*MAX((MIN(PolicyTerm,10)-A103)/MIN(PolicyTerm,10),0))</f>
        <v/>
      </c>
      <c r="H103" s="37">
        <f>IF($A103&gt;LastT+1,0,MAX(F103-G103,0))</f>
        <v/>
      </c>
      <c r="I103" s="38">
        <f>IF($A103&gt;LastT,0,SumAssured*(H103+H104)/2)</f>
        <v/>
      </c>
      <c r="J103" s="38">
        <f>IF(OR($A103=0,$A103&gt;LastT),0,IF(A103&lt;CommRenTerm,SizePremium*CommRenPrem*(1+CnsmpTax),0))</f>
        <v/>
      </c>
      <c r="K103" s="36">
        <f>IF($A103&gt;LastT,0,INDEX(ScenGrid,A103+1,ScenID))</f>
        <v/>
      </c>
    </row>
    <row r="104">
      <c r="A104" s="30">
        <f>A103+1</f>
        <v/>
      </c>
      <c r="B104" s="30">
        <f>IssueAge+A104</f>
        <v/>
      </c>
      <c r="C104" s="31">
        <f>IF($A104&gt;LastT,0,INDEX(MortGrid,B104+1,BaseMortCol))</f>
        <v/>
      </c>
      <c r="D104" s="31">
        <f>IF($A104&gt;LastT,0,INDEX(AsmpTblGrid,MIN(A104,19)+1,MortFactorCol))</f>
        <v/>
      </c>
      <c r="E104" s="36">
        <f>IF($A104&gt;LastT,0,INDEX(AsmpTblGrid,MIN(A104,19)+1,SurrCol))</f>
        <v/>
      </c>
      <c r="F104" s="37">
        <f>IF($A104&gt;LastT+1,0,IF(INDEX(Comm_Dx,B104+1)=0,0,(INDEX(Comm_Mx,B104+1)-Mx_xn+LoadMaintSA2*(Nx_xn-Nx_xn)-IF(A104&lt;=PolicyTerm,NetPremRatePrem*(INDEX(Comm_Nx,B104+1)-Nx_xn),0))/INDEX(Comm_Dx,B104+1)))</f>
        <v/>
      </c>
      <c r="G104" s="37">
        <f>IF($A104&gt;LastT+1,0,InitSurrCharge*MAX((MIN(PolicyTerm,10)-A104)/MIN(PolicyTerm,10),0))</f>
        <v/>
      </c>
      <c r="H104" s="37">
        <f>IF($A104&gt;LastT+1,0,MAX(F104-G104,0))</f>
        <v/>
      </c>
      <c r="I104" s="38">
        <f>IF($A104&gt;LastT,0,SumAssured*(H104+H105)/2)</f>
        <v/>
      </c>
      <c r="J104" s="38">
        <f>IF(OR($A104=0,$A104&gt;LastT),0,IF(A104&lt;CommRenTerm,SizePremium*CommRenPrem*(1+CnsmpTax),0))</f>
        <v/>
      </c>
      <c r="K104" s="36">
        <f>IF($A104&gt;LastT,0,INDEX(ScenGrid,A104+1,ScenID))</f>
        <v/>
      </c>
    </row>
    <row r="105">
      <c r="A105" s="30">
        <f>A104+1</f>
        <v/>
      </c>
      <c r="B105" s="30">
        <f>IssueAge+A105</f>
        <v/>
      </c>
      <c r="C105" s="31">
        <f>IF($A105&gt;LastT,0,INDEX(MortGrid,B105+1,BaseMortCol))</f>
        <v/>
      </c>
      <c r="D105" s="31">
        <f>IF($A105&gt;LastT,0,INDEX(AsmpTblGrid,MIN(A105,19)+1,MortFactorCol))</f>
        <v/>
      </c>
      <c r="E105" s="36">
        <f>IF($A105&gt;LastT,0,INDEX(AsmpTblGrid,MIN(A105,19)+1,SurrCol))</f>
        <v/>
      </c>
      <c r="F105" s="37">
        <f>IF($A105&gt;LastT+1,0,IF(INDEX(Comm_Dx,B105+1)=0,0,(INDEX(Comm_Mx,B105+1)-Mx_xn+LoadMaintSA2*(Nx_xn-Nx_xn)-IF(A105&lt;=PolicyTerm,NetPremRatePrem*(INDEX(Comm_Nx,B105+1)-Nx_xn),0))/INDEX(Comm_Dx,B105+1)))</f>
        <v/>
      </c>
      <c r="G105" s="37">
        <f>IF($A105&gt;LastT+1,0,InitSurrCharge*MAX((MIN(PolicyTerm,10)-A105)/MIN(PolicyTerm,10),0))</f>
        <v/>
      </c>
      <c r="H105" s="37">
        <f>IF($A105&gt;LastT+1,0,MAX(F105-G105,0))</f>
        <v/>
      </c>
      <c r="I105" s="38">
        <f>IF($A105&gt;LastT,0,SumAssured*(H105+H106)/2)</f>
        <v/>
      </c>
      <c r="J105" s="38">
        <f>IF(OR($A105=0,$A105&gt;LastT),0,IF(A105&lt;CommRenTerm,SizePremium*CommRenPrem*(1+CnsmpTax),0))</f>
        <v/>
      </c>
      <c r="K105" s="36">
        <f>IF($A105&gt;LastT,0,INDEX(ScenGrid,A105+1,ScenID))</f>
        <v/>
      </c>
    </row>
    <row r="106">
      <c r="A106" s="30">
        <f>A105+1</f>
        <v/>
      </c>
      <c r="B106" s="30">
        <f>IssueAge+A106</f>
        <v/>
      </c>
      <c r="C106" s="31">
        <f>IF($A106&gt;LastT,0,INDEX(MortGrid,B106+1,BaseMortCol))</f>
        <v/>
      </c>
      <c r="D106" s="31">
        <f>IF($A106&gt;LastT,0,INDEX(AsmpTblGrid,MIN(A106,19)+1,MortFactorCol))</f>
        <v/>
      </c>
      <c r="E106" s="36">
        <f>IF($A106&gt;LastT,0,INDEX(AsmpTblGrid,MIN(A106,19)+1,SurrCol))</f>
        <v/>
      </c>
      <c r="F106" s="37">
        <f>IF($A106&gt;LastT+1,0,IF(INDEX(Comm_Dx,B106+1)=0,0,(INDEX(Comm_Mx,B106+1)-Mx_xn+LoadMaintSA2*(Nx_xn-Nx_xn)-IF(A106&lt;=PolicyTerm,NetPremRatePrem*(INDEX(Comm_Nx,B106+1)-Nx_xn),0))/INDEX(Comm_Dx,B106+1)))</f>
        <v/>
      </c>
      <c r="G106" s="37">
        <f>IF($A106&gt;LastT+1,0,InitSurrCharge*MAX((MIN(PolicyTerm,10)-A106)/MIN(PolicyTerm,10),0))</f>
        <v/>
      </c>
      <c r="H106" s="37">
        <f>IF($A106&gt;LastT+1,0,MAX(F106-G106,0))</f>
        <v/>
      </c>
      <c r="I106" s="38">
        <f>IF($A106&gt;LastT,0,SumAssured*(H106+H107)/2)</f>
        <v/>
      </c>
      <c r="J106" s="38">
        <f>IF(OR($A106=0,$A106&gt;LastT),0,IF(A106&lt;CommRenTerm,SizePremium*CommRenPrem*(1+CnsmpTax),0))</f>
        <v/>
      </c>
      <c r="K106" s="36">
        <f>IF($A106&gt;LastT,0,INDEX(ScenGrid,A106+1,ScenID))</f>
        <v/>
      </c>
    </row>
    <row r="107">
      <c r="A107" s="30">
        <f>A106+1</f>
        <v/>
      </c>
      <c r="B107" s="30">
        <f>IssueAge+A107</f>
        <v/>
      </c>
      <c r="C107" s="31">
        <f>IF($A107&gt;LastT,0,INDEX(MortGrid,B107+1,BaseMortCol))</f>
        <v/>
      </c>
      <c r="D107" s="31">
        <f>IF($A107&gt;LastT,0,INDEX(AsmpTblGrid,MIN(A107,19)+1,MortFactorCol))</f>
        <v/>
      </c>
      <c r="E107" s="36">
        <f>IF($A107&gt;LastT,0,INDEX(AsmpTblGrid,MIN(A107,19)+1,SurrCol))</f>
        <v/>
      </c>
      <c r="F107" s="37">
        <f>IF($A107&gt;LastT+1,0,IF(INDEX(Comm_Dx,B107+1)=0,0,(INDEX(Comm_Mx,B107+1)-Mx_xn+LoadMaintSA2*(Nx_xn-Nx_xn)-IF(A107&lt;=PolicyTerm,NetPremRatePrem*(INDEX(Comm_Nx,B107+1)-Nx_xn),0))/INDEX(Comm_Dx,B107+1)))</f>
        <v/>
      </c>
      <c r="G107" s="37">
        <f>IF($A107&gt;LastT+1,0,InitSurrCharge*MAX((MIN(PolicyTerm,10)-A107)/MIN(PolicyTerm,10),0))</f>
        <v/>
      </c>
      <c r="H107" s="37">
        <f>IF($A107&gt;LastT+1,0,MAX(F107-G107,0))</f>
        <v/>
      </c>
      <c r="I107" s="38">
        <f>IF($A107&gt;LastT,0,SumAssured*(H107+H108)/2)</f>
        <v/>
      </c>
      <c r="J107" s="38">
        <f>IF(OR($A107=0,$A107&gt;LastT),0,IF(A107&lt;CommRenTerm,SizePremium*CommRenPrem*(1+CnsmpTax),0))</f>
        <v/>
      </c>
      <c r="K107" s="36">
        <f>IF($A107&gt;LastT,0,INDEX(ScenGrid,A107+1,ScenID))</f>
        <v/>
      </c>
    </row>
    <row r="108">
      <c r="A108" s="30">
        <f>A107+1</f>
        <v/>
      </c>
      <c r="B108" s="30">
        <f>IssueAge+A108</f>
        <v/>
      </c>
      <c r="C108" s="31">
        <f>IF($A108&gt;LastT,0,INDEX(MortGrid,B108+1,BaseMortCol))</f>
        <v/>
      </c>
      <c r="D108" s="31">
        <f>IF($A108&gt;LastT,0,INDEX(AsmpTblGrid,MIN(A108,19)+1,MortFactorCol))</f>
        <v/>
      </c>
      <c r="E108" s="36">
        <f>IF($A108&gt;LastT,0,INDEX(AsmpTblGrid,MIN(A108,19)+1,SurrCol))</f>
        <v/>
      </c>
      <c r="F108" s="37">
        <f>IF($A108&gt;LastT+1,0,IF(INDEX(Comm_Dx,B108+1)=0,0,(INDEX(Comm_Mx,B108+1)-Mx_xn+LoadMaintSA2*(Nx_xn-Nx_xn)-IF(A108&lt;=PolicyTerm,NetPremRatePrem*(INDEX(Comm_Nx,B108+1)-Nx_xn),0))/INDEX(Comm_Dx,B108+1)))</f>
        <v/>
      </c>
      <c r="G108" s="37">
        <f>IF($A108&gt;LastT+1,0,InitSurrCharge*MAX((MIN(PolicyTerm,10)-A108)/MIN(PolicyTerm,10),0))</f>
        <v/>
      </c>
      <c r="H108" s="37">
        <f>IF($A108&gt;LastT+1,0,MAX(F108-G108,0))</f>
        <v/>
      </c>
      <c r="I108" s="38">
        <f>IF($A108&gt;LastT,0,SumAssured*(H108+H109)/2)</f>
        <v/>
      </c>
      <c r="J108" s="38">
        <f>IF(OR($A108=0,$A108&gt;LastT),0,IF(A108&lt;CommRenTerm,SizePremium*CommRenPrem*(1+CnsmpTax),0))</f>
        <v/>
      </c>
      <c r="K108" s="36">
        <f>IF($A108&gt;LastT,0,INDEX(ScenGrid,A108+1,ScenID))</f>
        <v/>
      </c>
    </row>
    <row r="109">
      <c r="A109" s="30">
        <f>A108+1</f>
        <v/>
      </c>
      <c r="B109" s="30">
        <f>IssueAge+A109</f>
        <v/>
      </c>
      <c r="C109" s="31">
        <f>IF($A109&gt;LastT,0,INDEX(MortGrid,B109+1,BaseMortCol))</f>
        <v/>
      </c>
      <c r="D109" s="31">
        <f>IF($A109&gt;LastT,0,INDEX(AsmpTblGrid,MIN(A109,19)+1,MortFactorCol))</f>
        <v/>
      </c>
      <c r="E109" s="36">
        <f>IF($A109&gt;LastT,0,INDEX(AsmpTblGrid,MIN(A109,19)+1,SurrCol))</f>
        <v/>
      </c>
      <c r="F109" s="37">
        <f>IF($A109&gt;LastT+1,0,IF(INDEX(Comm_Dx,B109+1)=0,0,(INDEX(Comm_Mx,B109+1)-Mx_xn+LoadMaintSA2*(Nx_xn-Nx_xn)-IF(A109&lt;=PolicyTerm,NetPremRatePrem*(INDEX(Comm_Nx,B109+1)-Nx_xn),0))/INDEX(Comm_Dx,B109+1)))</f>
        <v/>
      </c>
      <c r="G109" s="37">
        <f>IF($A109&gt;LastT+1,0,InitSurrCharge*MAX((MIN(PolicyTerm,10)-A109)/MIN(PolicyTerm,10),0))</f>
        <v/>
      </c>
      <c r="H109" s="37">
        <f>IF($A109&gt;LastT+1,0,MAX(F109-G109,0))</f>
        <v/>
      </c>
      <c r="I109" s="38">
        <f>IF($A109&gt;LastT,0,SumAssured*(H109+H110)/2)</f>
        <v/>
      </c>
      <c r="J109" s="38">
        <f>IF(OR($A109=0,$A109&gt;LastT),0,IF(A109&lt;CommRenTerm,SizePremium*CommRenPrem*(1+CnsmpTax),0))</f>
        <v/>
      </c>
      <c r="K109" s="36">
        <f>IF($A109&gt;LastT,0,INDEX(ScenGrid,A109+1,ScenID))</f>
        <v/>
      </c>
    </row>
    <row r="110">
      <c r="A110" s="30">
        <f>A109+1</f>
        <v/>
      </c>
      <c r="B110" s="30">
        <f>IssueAge+A110</f>
        <v/>
      </c>
      <c r="C110" s="31">
        <f>IF($A110&gt;LastT,0,INDEX(MortGrid,B110+1,BaseMortCol))</f>
        <v/>
      </c>
      <c r="D110" s="31">
        <f>IF($A110&gt;LastT,0,INDEX(AsmpTblGrid,MIN(A110,19)+1,MortFactorCol))</f>
        <v/>
      </c>
      <c r="E110" s="36">
        <f>IF($A110&gt;LastT,0,INDEX(AsmpTblGrid,MIN(A110,19)+1,SurrCol))</f>
        <v/>
      </c>
      <c r="F110" s="37">
        <f>IF($A110&gt;LastT+1,0,IF(INDEX(Comm_Dx,B110+1)=0,0,(INDEX(Comm_Mx,B110+1)-Mx_xn+LoadMaintSA2*(Nx_xn-Nx_xn)-IF(A110&lt;=PolicyTerm,NetPremRatePrem*(INDEX(Comm_Nx,B110+1)-Nx_xn),0))/INDEX(Comm_Dx,B110+1)))</f>
        <v/>
      </c>
      <c r="G110" s="37">
        <f>IF($A110&gt;LastT+1,0,InitSurrCharge*MAX((MIN(PolicyTerm,10)-A110)/MIN(PolicyTerm,10),0))</f>
        <v/>
      </c>
      <c r="H110" s="37">
        <f>IF($A110&gt;LastT+1,0,MAX(F110-G110,0))</f>
        <v/>
      </c>
      <c r="I110" s="38">
        <f>IF($A110&gt;LastT,0,SumAssured*(H110+H111)/2)</f>
        <v/>
      </c>
      <c r="J110" s="38">
        <f>IF(OR($A110=0,$A110&gt;LastT),0,IF(A110&lt;CommRenTerm,SizePremium*CommRenPrem*(1+CnsmpTax),0))</f>
        <v/>
      </c>
      <c r="K110" s="36">
        <f>IF($A110&gt;LastT,0,INDEX(ScenGrid,A110+1,ScenID))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base basis (no shock). lifelib SCR_life.Projection['base', None,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base</t>
        </is>
      </c>
      <c r="C3" s="7" t="inlineStr"/>
      <c r="D3" s="7" t="n">
        <v>0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mortality stress (+15% rates from t0). lifelib SCR_life.Projection['mort', None,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mort</t>
        </is>
      </c>
      <c r="C3" s="7" t="inlineStr"/>
      <c r="D3" s="7" t="n">
        <v>1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longevity stress (−25% rates from t0). lifelib SCR_life.Projection['longev', None,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longev</t>
        </is>
      </c>
      <c r="C3" s="7" t="inlineStr"/>
      <c r="D3" s="7" t="n">
        <v>-1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expense stress (+10% level, +1% inflation from t0). lifelib SCR_life.Projection['exps', None,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exps</t>
        </is>
      </c>
      <c r="C3" s="7" t="inlineStr"/>
      <c r="D3" s="7" t="n">
        <v>0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lapse up stress. lifelib SCR_life.Projection['lapse', 'up',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lapse</t>
        </is>
      </c>
      <c r="C3" s="7" t="inlineStr">
        <is>
          <t>up</t>
        </is>
      </c>
      <c r="D3" s="7" t="n">
        <v>0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lapse down stress. lifelib SCR_life.Projection['lapse', 'down',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lapse</t>
        </is>
      </c>
      <c r="C3" s="7" t="inlineStr">
        <is>
          <t>down</t>
        </is>
      </c>
      <c r="D3" s="7" t="n">
        <v>0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A1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Liability projection — mass lapse stress (one-off at t0). lifelib SCR_life.Projection['lapse', 'mass', None]</t>
        </is>
      </c>
    </row>
    <row r="2">
      <c r="B2" s="39" t="inlineStr">
        <is>
          <t>Risk</t>
        </is>
      </c>
      <c r="C2" s="39" t="inlineStr">
        <is>
          <t>Shock</t>
        </is>
      </c>
      <c r="D2" s="39" t="inlineStr">
        <is>
          <t>Risk sign</t>
        </is>
      </c>
      <c r="E2" s="39" t="inlineStr">
        <is>
          <t>Shock factor</t>
        </is>
      </c>
      <c r="F2" s="39" t="inlineStr">
        <is>
          <t>Shock limit</t>
        </is>
      </c>
      <c r="G2" s="39" t="inlineStr">
        <is>
          <t>Inflation shock</t>
        </is>
      </c>
    </row>
    <row r="3">
      <c r="B3" s="7" t="inlineStr">
        <is>
          <t>lapse</t>
        </is>
      </c>
      <c r="C3" s="7" t="inlineStr">
        <is>
          <t>mass</t>
        </is>
      </c>
      <c r="D3" s="7" t="n">
        <v>0</v>
      </c>
      <c r="E3" s="34">
        <f>IFERROR(INDEX(FactorVals,MATCH($B$3&amp;"|"&amp;$C$3&amp;"||",FactorKeys,0)),0)</f>
        <v/>
      </c>
      <c r="F3" s="34">
        <f>IFERROR(INDEX(FactorVals,MATCH($B$3&amp;"|"&amp;$C$3&amp;"||limit",FactorKeys,0)),0)</f>
        <v/>
      </c>
      <c r="G3" s="34">
        <f>IFERROR(INDEX(FactorVals,MATCH($B$3&amp;"|||inflation",FactorKeys,0)),0)</f>
        <v/>
      </c>
    </row>
    <row r="4">
      <c r="B4" s="14" t="inlineStr">
        <is>
          <t>Risk</t>
        </is>
      </c>
      <c r="C4" s="14" t="inlineStr">
        <is>
          <t>Shock</t>
        </is>
      </c>
      <c r="E4" s="14" t="inlineStr">
        <is>
          <t>Factor</t>
        </is>
      </c>
    </row>
    <row r="5">
      <c r="A5" s="10" t="inlineStr">
        <is>
          <t>t</t>
        </is>
      </c>
      <c r="B5" s="10" t="inlineStr">
        <is>
          <t>Inflation factor</t>
        </is>
      </c>
      <c r="C5" s="10" t="inlineStr">
        <is>
          <t>Mortality shock factor</t>
        </is>
      </c>
      <c r="D5" s="10" t="inlineStr">
        <is>
          <t>Surrender rate</t>
        </is>
      </c>
      <c r="E5" s="10" t="inlineStr">
        <is>
          <t>In force: end</t>
        </is>
      </c>
      <c r="F5" s="10" t="inlineStr">
        <is>
          <t>Maturities</t>
        </is>
      </c>
      <c r="G5" s="10" t="inlineStr">
        <is>
          <t>In force: after maturity</t>
        </is>
      </c>
      <c r="H5" s="10" t="inlineStr">
        <is>
          <t>New business</t>
        </is>
      </c>
      <c r="I5" s="10" t="inlineStr">
        <is>
          <t>Mass lapse</t>
        </is>
      </c>
      <c r="J5" s="10" t="inlineStr">
        <is>
          <t>In force: beginning</t>
        </is>
      </c>
      <c r="K5" s="10" t="inlineStr">
        <is>
          <t>Deaths</t>
        </is>
      </c>
      <c r="L5" s="10" t="inlineStr">
        <is>
          <t>Surrenders</t>
        </is>
      </c>
      <c r="M5" s="10" t="inlineStr">
        <is>
          <t>Maint expense pp</t>
        </is>
      </c>
      <c r="N5" s="10" t="inlineStr">
        <is>
          <t>Premium income</t>
        </is>
      </c>
      <c r="O5" s="10" t="inlineStr">
        <is>
          <t>Death benefits</t>
        </is>
      </c>
      <c r="P5" s="10" t="inlineStr">
        <is>
          <t>Surrender benefits</t>
        </is>
      </c>
      <c r="Q5" s="10" t="inlineStr">
        <is>
          <t>Total benefits</t>
        </is>
      </c>
      <c r="R5" s="10" t="inlineStr">
        <is>
          <t>Acquisition expenses</t>
        </is>
      </c>
      <c r="S5" s="10" t="inlineStr">
        <is>
          <t>Initial commission</t>
        </is>
      </c>
      <c r="T5" s="10" t="inlineStr">
        <is>
          <t>Renewal commission</t>
        </is>
      </c>
      <c r="U5" s="10" t="inlineStr">
        <is>
          <t>Maintenance expenses</t>
        </is>
      </c>
      <c r="V5" s="10" t="inlineStr">
        <is>
          <t>Total expenses</t>
        </is>
      </c>
      <c r="W5" s="10" t="inlineStr">
        <is>
          <t>PV premiums</t>
        </is>
      </c>
      <c r="X5" s="10" t="inlineStr">
        <is>
          <t>PV benefits</t>
        </is>
      </c>
      <c r="Y5" s="10" t="inlineStr">
        <is>
          <t>PV expenses</t>
        </is>
      </c>
      <c r="Z5" s="10" t="inlineStr">
        <is>
          <t>PV net cashflow</t>
        </is>
      </c>
      <c r="AA5" s="10" t="inlineStr">
        <is>
          <t>PV net cf (fwd check)</t>
        </is>
      </c>
    </row>
    <row r="6">
      <c r="A6" s="14" t="inlineStr">
        <is>
          <t>t</t>
        </is>
      </c>
      <c r="B6" s="14" t="inlineStr">
        <is>
          <t>InflFactor</t>
        </is>
      </c>
      <c r="C6" s="14" t="inlineStr">
        <is>
          <t>MortRateFactor</t>
        </is>
      </c>
      <c r="D6" s="14" t="inlineStr">
        <is>
          <t>SurrRate</t>
        </is>
      </c>
      <c r="E6" s="14" t="inlineStr">
        <is>
          <t>PolsIF_End</t>
        </is>
      </c>
      <c r="F6" s="14" t="inlineStr">
        <is>
          <t>PolsMaturity</t>
        </is>
      </c>
      <c r="G6" s="14" t="inlineStr">
        <is>
          <t>PolsIF_Beg</t>
        </is>
      </c>
      <c r="H6" s="14" t="inlineStr">
        <is>
          <t>PolsNewBiz</t>
        </is>
      </c>
      <c r="I6" s="14" t="inlineStr">
        <is>
          <t>PolsSurrMass</t>
        </is>
      </c>
      <c r="J6" s="14" t="inlineStr">
        <is>
          <t>PolsIF_Beg1</t>
        </is>
      </c>
      <c r="K6" s="14" t="inlineStr">
        <is>
          <t>PolsDeath</t>
        </is>
      </c>
      <c r="L6" s="14" t="inlineStr">
        <is>
          <t>PolsSurr</t>
        </is>
      </c>
      <c r="M6" s="14" t="inlineStr">
        <is>
          <t>SizeExpsMaint</t>
        </is>
      </c>
      <c r="N6" s="14" t="inlineStr">
        <is>
          <t>PremIncome</t>
        </is>
      </c>
      <c r="O6" s="14" t="inlineStr">
        <is>
          <t>BenefitDeath</t>
        </is>
      </c>
      <c r="P6" s="14" t="inlineStr">
        <is>
          <t>BenefitSurr</t>
        </is>
      </c>
      <c r="Q6" s="14" t="inlineStr">
        <is>
          <t>BenefitTotal</t>
        </is>
      </c>
      <c r="R6" s="14" t="inlineStr">
        <is>
          <t>ExpsAcq</t>
        </is>
      </c>
      <c r="S6" s="14" t="inlineStr">
        <is>
          <t>ExpsCommInit</t>
        </is>
      </c>
      <c r="T6" s="14" t="inlineStr">
        <is>
          <t>ExpsCommRen</t>
        </is>
      </c>
      <c r="U6" s="14" t="inlineStr">
        <is>
          <t>ExpsMaint</t>
        </is>
      </c>
      <c r="V6" s="14" t="inlineStr">
        <is>
          <t>ExpsTotal</t>
        </is>
      </c>
      <c r="W6" s="14" t="inlineStr">
        <is>
          <t>PV_PremIncome</t>
        </is>
      </c>
      <c r="X6" s="14" t="inlineStr">
        <is>
          <t>PV_BenefitTotal</t>
        </is>
      </c>
      <c r="Y6" s="14" t="inlineStr">
        <is>
          <t>PV_ExpsTotal</t>
        </is>
      </c>
      <c r="Z6" s="14" t="inlineStr">
        <is>
          <t>PV_NetCashflow</t>
        </is>
      </c>
      <c r="AA6" s="14" t="inlineStr">
        <is>
          <t>PV_NetCashflowForCheck</t>
        </is>
      </c>
    </row>
    <row r="7">
      <c r="A7" s="30" t="n">
        <v>0</v>
      </c>
      <c r="B7" s="40">
        <f>1</f>
        <v/>
      </c>
      <c r="C7" s="31">
        <f>IF($A7&gt;LastT,0,IF(AND($D$3&lt;&gt;0,$A7&gt;=T0,Policy_Sched!$B7&lt;LastAge),1+$D$3*$E$3,1))</f>
        <v/>
      </c>
      <c r="D7" s="36">
        <f>IF($A7&gt;LastT,0,IF($C$3="up",MIN(Policy_Sched!$E7*(1+IF($A7&gt;=T0,$E$3,0)),$F$3),IF($C$3="down",MAX(Policy_Sched!$E7*(1-IF($A7&gt;=T0,$E$3,0)),Policy_Sched!$E7-$F$3),Policy_Sched!$E7)))</f>
        <v/>
      </c>
      <c r="E7" s="41">
        <f>0</f>
        <v/>
      </c>
      <c r="F7" s="37">
        <f>IF($A7&gt;LastT,0,IF($A7=PolicyTerm,E7,0))</f>
        <v/>
      </c>
      <c r="G7" s="37">
        <f>IF($A7&gt;LastT,0,E7-F7)</f>
        <v/>
      </c>
      <c r="H7" s="37">
        <f>IF($A7=0,PolicyCount,0)</f>
        <v/>
      </c>
      <c r="I7" s="37">
        <f>IF($A7&gt;LastT,0,IF(AND($C$3="mass",$A7=T0),(G7+H7)*$E$3,0))</f>
        <v/>
      </c>
      <c r="J7" s="37">
        <f>IF($A7&gt;LastT,0,G7+H7-I7)</f>
        <v/>
      </c>
      <c r="K7" s="37">
        <f>IF($A7&gt;LastT,0,J7*Policy_Sched!$C7*Policy_Sched!$D7*C7)</f>
        <v/>
      </c>
      <c r="L7" s="41">
        <f>J7*D7</f>
        <v/>
      </c>
      <c r="M7" s="38">
        <f>IF($A7&gt;LastT,0,(SizeAnnPrem*ExpsMaintAnnPrem+(SumAssured*ExpsMaintSA+ExpsMaintPol)*B7)*(1+IF($B$3="exps",$E$3,0)))</f>
        <v/>
      </c>
      <c r="N7" s="38">
        <f>SizePremium*J7</f>
        <v/>
      </c>
      <c r="O7" s="38">
        <f>SumAssured*K7</f>
        <v/>
      </c>
      <c r="P7" s="38">
        <f>Policy_Sched!$I7*(L7+I7)</f>
        <v/>
      </c>
      <c r="Q7" s="42">
        <f>O7+P7</f>
        <v/>
      </c>
      <c r="R7" s="38">
        <f>IF($A7=0,SizeExpsAcq0*H7,0)</f>
        <v/>
      </c>
      <c r="S7" s="38">
        <f>IF($A7=0,SizeExpsCommInit0*J7,0)</f>
        <v/>
      </c>
      <c r="T7" s="38">
        <f>Policy_Sched!$J7*J7</f>
        <v/>
      </c>
      <c r="U7" s="42">
        <f>M7*J7</f>
        <v/>
      </c>
      <c r="V7" s="42">
        <f>S7+T7+R7+U7</f>
        <v/>
      </c>
      <c r="W7" s="38">
        <f>IF($A7&gt;LastT,0,N7+W8/(1+Policy_Sched!$K7))</f>
        <v/>
      </c>
      <c r="X7" s="38">
        <f>IF($A7&gt;LastT,0,(-Q7+X8)/(1+Policy_Sched!$K7))</f>
        <v/>
      </c>
      <c r="Y7" s="38">
        <f>IF($A7&gt;LastT,0,-V7+Y8/(1+Policy_Sched!$K7))</f>
        <v/>
      </c>
      <c r="Z7" s="42">
        <f>W7+Y7+X7</f>
        <v/>
      </c>
      <c r="AA7" s="38">
        <f>IF($A7&gt;LastT,0,N7-V7-Q7/(1+Policy_Sched!$K7)+Z8/(1+Policy_Sched!$K7))</f>
        <v/>
      </c>
    </row>
    <row r="8">
      <c r="A8" s="30">
        <f>A7+1</f>
        <v/>
      </c>
      <c r="B8" s="31">
        <f>IF($A8&gt;LastT,0,IF($B$3="exps",B7*(1+InflRate+IF($A8&gt;=T0,$G$3,0)),B7/(1+InflRate)))</f>
        <v/>
      </c>
      <c r="C8" s="31">
        <f>IF($A8&gt;LastT,0,IF(AND($D$3&lt;&gt;0,$A8&gt;=T0,Policy_Sched!$B8&lt;LastAge),1+$D$3*$E$3,1))</f>
        <v/>
      </c>
      <c r="D8" s="36">
        <f>IF($A8&gt;LastT,0,IF($C$3="up",MIN(Policy_Sched!$E8*(1+IF($A8&gt;=T0,$E$3,0)),$F$3),IF($C$3="down",MAX(Policy_Sched!$E8*(1-IF($A8&gt;=T0,$E$3,0)),Policy_Sched!$E8-$F$3),Policy_Sched!$E8)))</f>
        <v/>
      </c>
      <c r="E8" s="37">
        <f>IF($A8&gt;LastT,0,J7-K7-L7)</f>
        <v/>
      </c>
      <c r="F8" s="37">
        <f>IF($A8&gt;LastT,0,IF($A8=PolicyTerm,E8,0))</f>
        <v/>
      </c>
      <c r="G8" s="37">
        <f>IF($A8&gt;LastT,0,E8-F8)</f>
        <v/>
      </c>
      <c r="H8" s="37">
        <f>IF($A8=0,PolicyCount,0)</f>
        <v/>
      </c>
      <c r="I8" s="37">
        <f>IF($A8&gt;LastT,0,IF(AND($C$3="mass",$A8=T0),(G8+H8)*$E$3,0))</f>
        <v/>
      </c>
      <c r="J8" s="37">
        <f>IF($A8&gt;LastT,0,G8+H8-I8)</f>
        <v/>
      </c>
      <c r="K8" s="37">
        <f>IF($A8&gt;LastT,0,J8*Policy_Sched!$C8*Policy_Sched!$D8*C8)</f>
        <v/>
      </c>
      <c r="L8" s="41">
        <f>J8*D8</f>
        <v/>
      </c>
      <c r="M8" s="38">
        <f>IF($A8&gt;LastT,0,(SizeAnnPrem*ExpsMaintAnnPrem+(SumAssured*ExpsMaintSA+ExpsMaintPol)*B8)*(1+IF($B$3="exps",$E$3,0)))</f>
        <v/>
      </c>
      <c r="N8" s="38">
        <f>SizePremium*J8</f>
        <v/>
      </c>
      <c r="O8" s="38">
        <f>SumAssured*K8</f>
        <v/>
      </c>
      <c r="P8" s="38">
        <f>Policy_Sched!$I8*(L8+I8)</f>
        <v/>
      </c>
      <c r="Q8" s="42">
        <f>O8+P8</f>
        <v/>
      </c>
      <c r="R8" s="38">
        <f>IF($A8=0,SizeExpsAcq0*H8,0)</f>
        <v/>
      </c>
      <c r="S8" s="38">
        <f>IF($A8=0,SizeExpsCommInit0*J8,0)</f>
        <v/>
      </c>
      <c r="T8" s="38">
        <f>Policy_Sched!$J8*J8</f>
        <v/>
      </c>
      <c r="U8" s="42">
        <f>M8*J8</f>
        <v/>
      </c>
      <c r="V8" s="42">
        <f>S8+T8+R8+U8</f>
        <v/>
      </c>
      <c r="W8" s="38">
        <f>IF($A8&gt;LastT,0,N8+W9/(1+Policy_Sched!$K8))</f>
        <v/>
      </c>
      <c r="X8" s="38">
        <f>IF($A8&gt;LastT,0,(-Q8+X9)/(1+Policy_Sched!$K8))</f>
        <v/>
      </c>
      <c r="Y8" s="38">
        <f>IF($A8&gt;LastT,0,-V8+Y9/(1+Policy_Sched!$K8))</f>
        <v/>
      </c>
      <c r="Z8" s="42">
        <f>W8+Y8+X8</f>
        <v/>
      </c>
      <c r="AA8" s="38">
        <f>IF($A8&gt;LastT,0,N8-V8-Q8/(1+Policy_Sched!$K8)+Z9/(1+Policy_Sched!$K8))</f>
        <v/>
      </c>
    </row>
    <row r="9">
      <c r="A9" s="30">
        <f>A8+1</f>
        <v/>
      </c>
      <c r="B9" s="31">
        <f>IF($A9&gt;LastT,0,IF($B$3="exps",B8*(1+InflRate+IF($A9&gt;=T0,$G$3,0)),B8/(1+InflRate)))</f>
        <v/>
      </c>
      <c r="C9" s="31">
        <f>IF($A9&gt;LastT,0,IF(AND($D$3&lt;&gt;0,$A9&gt;=T0,Policy_Sched!$B9&lt;LastAge),1+$D$3*$E$3,1))</f>
        <v/>
      </c>
      <c r="D9" s="36">
        <f>IF($A9&gt;LastT,0,IF($C$3="up",MIN(Policy_Sched!$E9*(1+IF($A9&gt;=T0,$E$3,0)),$F$3),IF($C$3="down",MAX(Policy_Sched!$E9*(1-IF($A9&gt;=T0,$E$3,0)),Policy_Sched!$E9-$F$3),Policy_Sched!$E9)))</f>
        <v/>
      </c>
      <c r="E9" s="37">
        <f>IF($A9&gt;LastT,0,J8-K8-L8)</f>
        <v/>
      </c>
      <c r="F9" s="37">
        <f>IF($A9&gt;LastT,0,IF($A9=PolicyTerm,E9,0))</f>
        <v/>
      </c>
      <c r="G9" s="37">
        <f>IF($A9&gt;LastT,0,E9-F9)</f>
        <v/>
      </c>
      <c r="H9" s="37">
        <f>IF($A9=0,PolicyCount,0)</f>
        <v/>
      </c>
      <c r="I9" s="37">
        <f>IF($A9&gt;LastT,0,IF(AND($C$3="mass",$A9=T0),(G9+H9)*$E$3,0))</f>
        <v/>
      </c>
      <c r="J9" s="37">
        <f>IF($A9&gt;LastT,0,G9+H9-I9)</f>
        <v/>
      </c>
      <c r="K9" s="37">
        <f>IF($A9&gt;LastT,0,J9*Policy_Sched!$C9*Policy_Sched!$D9*C9)</f>
        <v/>
      </c>
      <c r="L9" s="41">
        <f>J9*D9</f>
        <v/>
      </c>
      <c r="M9" s="38">
        <f>IF($A9&gt;LastT,0,(SizeAnnPrem*ExpsMaintAnnPrem+(SumAssured*ExpsMaintSA+ExpsMaintPol)*B9)*(1+IF($B$3="exps",$E$3,0)))</f>
        <v/>
      </c>
      <c r="N9" s="38">
        <f>SizePremium*J9</f>
        <v/>
      </c>
      <c r="O9" s="38">
        <f>SumAssured*K9</f>
        <v/>
      </c>
      <c r="P9" s="38">
        <f>Policy_Sched!$I9*(L9+I9)</f>
        <v/>
      </c>
      <c r="Q9" s="42">
        <f>O9+P9</f>
        <v/>
      </c>
      <c r="R9" s="38">
        <f>IF($A9=0,SizeExpsAcq0*H9,0)</f>
        <v/>
      </c>
      <c r="S9" s="38">
        <f>IF($A9=0,SizeExpsCommInit0*J9,0)</f>
        <v/>
      </c>
      <c r="T9" s="38">
        <f>Policy_Sched!$J9*J9</f>
        <v/>
      </c>
      <c r="U9" s="42">
        <f>M9*J9</f>
        <v/>
      </c>
      <c r="V9" s="42">
        <f>S9+T9+R9+U9</f>
        <v/>
      </c>
      <c r="W9" s="38">
        <f>IF($A9&gt;LastT,0,N9+W10/(1+Policy_Sched!$K9))</f>
        <v/>
      </c>
      <c r="X9" s="38">
        <f>IF($A9&gt;LastT,0,(-Q9+X10)/(1+Policy_Sched!$K9))</f>
        <v/>
      </c>
      <c r="Y9" s="38">
        <f>IF($A9&gt;LastT,0,-V9+Y10/(1+Policy_Sched!$K9))</f>
        <v/>
      </c>
      <c r="Z9" s="42">
        <f>W9+Y9+X9</f>
        <v/>
      </c>
      <c r="AA9" s="38">
        <f>IF($A9&gt;LastT,0,N9-V9-Q9/(1+Policy_Sched!$K9)+Z10/(1+Policy_Sched!$K9))</f>
        <v/>
      </c>
    </row>
    <row r="10">
      <c r="A10" s="30">
        <f>A9+1</f>
        <v/>
      </c>
      <c r="B10" s="31">
        <f>IF($A10&gt;LastT,0,IF($B$3="exps",B9*(1+InflRate+IF($A10&gt;=T0,$G$3,0)),B9/(1+InflRate)))</f>
        <v/>
      </c>
      <c r="C10" s="31">
        <f>IF($A10&gt;LastT,0,IF(AND($D$3&lt;&gt;0,$A10&gt;=T0,Policy_Sched!$B10&lt;LastAge),1+$D$3*$E$3,1))</f>
        <v/>
      </c>
      <c r="D10" s="36">
        <f>IF($A10&gt;LastT,0,IF($C$3="up",MIN(Policy_Sched!$E10*(1+IF($A10&gt;=T0,$E$3,0)),$F$3),IF($C$3="down",MAX(Policy_Sched!$E10*(1-IF($A10&gt;=T0,$E$3,0)),Policy_Sched!$E10-$F$3),Policy_Sched!$E10)))</f>
        <v/>
      </c>
      <c r="E10" s="37">
        <f>IF($A10&gt;LastT,0,J9-K9-L9)</f>
        <v/>
      </c>
      <c r="F10" s="37">
        <f>IF($A10&gt;LastT,0,IF($A10=PolicyTerm,E10,0))</f>
        <v/>
      </c>
      <c r="G10" s="37">
        <f>IF($A10&gt;LastT,0,E10-F10)</f>
        <v/>
      </c>
      <c r="H10" s="37">
        <f>IF($A10=0,PolicyCount,0)</f>
        <v/>
      </c>
      <c r="I10" s="37">
        <f>IF($A10&gt;LastT,0,IF(AND($C$3="mass",$A10=T0),(G10+H10)*$E$3,0))</f>
        <v/>
      </c>
      <c r="J10" s="37">
        <f>IF($A10&gt;LastT,0,G10+H10-I10)</f>
        <v/>
      </c>
      <c r="K10" s="37">
        <f>IF($A10&gt;LastT,0,J10*Policy_Sched!$C10*Policy_Sched!$D10*C10)</f>
        <v/>
      </c>
      <c r="L10" s="41">
        <f>J10*D10</f>
        <v/>
      </c>
      <c r="M10" s="38">
        <f>IF($A10&gt;LastT,0,(SizeAnnPrem*ExpsMaintAnnPrem+(SumAssured*ExpsMaintSA+ExpsMaintPol)*B10)*(1+IF($B$3="exps",$E$3,0)))</f>
        <v/>
      </c>
      <c r="N10" s="38">
        <f>SizePremium*J10</f>
        <v/>
      </c>
      <c r="O10" s="38">
        <f>SumAssured*K10</f>
        <v/>
      </c>
      <c r="P10" s="38">
        <f>Policy_Sched!$I10*(L10+I10)</f>
        <v/>
      </c>
      <c r="Q10" s="42">
        <f>O10+P10</f>
        <v/>
      </c>
      <c r="R10" s="38">
        <f>IF($A10=0,SizeExpsAcq0*H10,0)</f>
        <v/>
      </c>
      <c r="S10" s="38">
        <f>IF($A10=0,SizeExpsCommInit0*J10,0)</f>
        <v/>
      </c>
      <c r="T10" s="38">
        <f>Policy_Sched!$J10*J10</f>
        <v/>
      </c>
      <c r="U10" s="42">
        <f>M10*J10</f>
        <v/>
      </c>
      <c r="V10" s="42">
        <f>S10+T10+R10+U10</f>
        <v/>
      </c>
      <c r="W10" s="38">
        <f>IF($A10&gt;LastT,0,N10+W11/(1+Policy_Sched!$K10))</f>
        <v/>
      </c>
      <c r="X10" s="38">
        <f>IF($A10&gt;LastT,0,(-Q10+X11)/(1+Policy_Sched!$K10))</f>
        <v/>
      </c>
      <c r="Y10" s="38">
        <f>IF($A10&gt;LastT,0,-V10+Y11/(1+Policy_Sched!$K10))</f>
        <v/>
      </c>
      <c r="Z10" s="42">
        <f>W10+Y10+X10</f>
        <v/>
      </c>
      <c r="AA10" s="38">
        <f>IF($A10&gt;LastT,0,N10-V10-Q10/(1+Policy_Sched!$K10)+Z11/(1+Policy_Sched!$K10))</f>
        <v/>
      </c>
    </row>
    <row r="11">
      <c r="A11" s="30">
        <f>A10+1</f>
        <v/>
      </c>
      <c r="B11" s="31">
        <f>IF($A11&gt;LastT,0,IF($B$3="exps",B10*(1+InflRate+IF($A11&gt;=T0,$G$3,0)),B10/(1+InflRate)))</f>
        <v/>
      </c>
      <c r="C11" s="31">
        <f>IF($A11&gt;LastT,0,IF(AND($D$3&lt;&gt;0,$A11&gt;=T0,Policy_Sched!$B11&lt;LastAge),1+$D$3*$E$3,1))</f>
        <v/>
      </c>
      <c r="D11" s="36">
        <f>IF($A11&gt;LastT,0,IF($C$3="up",MIN(Policy_Sched!$E11*(1+IF($A11&gt;=T0,$E$3,0)),$F$3),IF($C$3="down",MAX(Policy_Sched!$E11*(1-IF($A11&gt;=T0,$E$3,0)),Policy_Sched!$E11-$F$3),Policy_Sched!$E11)))</f>
        <v/>
      </c>
      <c r="E11" s="37">
        <f>IF($A11&gt;LastT,0,J10-K10-L10)</f>
        <v/>
      </c>
      <c r="F11" s="37">
        <f>IF($A11&gt;LastT,0,IF($A11=PolicyTerm,E11,0))</f>
        <v/>
      </c>
      <c r="G11" s="37">
        <f>IF($A11&gt;LastT,0,E11-F11)</f>
        <v/>
      </c>
      <c r="H11" s="37">
        <f>IF($A11=0,PolicyCount,0)</f>
        <v/>
      </c>
      <c r="I11" s="37">
        <f>IF($A11&gt;LastT,0,IF(AND($C$3="mass",$A11=T0),(G11+H11)*$E$3,0))</f>
        <v/>
      </c>
      <c r="J11" s="37">
        <f>IF($A11&gt;LastT,0,G11+H11-I11)</f>
        <v/>
      </c>
      <c r="K11" s="37">
        <f>IF($A11&gt;LastT,0,J11*Policy_Sched!$C11*Policy_Sched!$D11*C11)</f>
        <v/>
      </c>
      <c r="L11" s="41">
        <f>J11*D11</f>
        <v/>
      </c>
      <c r="M11" s="38">
        <f>IF($A11&gt;LastT,0,(SizeAnnPrem*ExpsMaintAnnPrem+(SumAssured*ExpsMaintSA+ExpsMaintPol)*B11)*(1+IF($B$3="exps",$E$3,0)))</f>
        <v/>
      </c>
      <c r="N11" s="38">
        <f>SizePremium*J11</f>
        <v/>
      </c>
      <c r="O11" s="38">
        <f>SumAssured*K11</f>
        <v/>
      </c>
      <c r="P11" s="38">
        <f>Policy_Sched!$I11*(L11+I11)</f>
        <v/>
      </c>
      <c r="Q11" s="42">
        <f>O11+P11</f>
        <v/>
      </c>
      <c r="R11" s="38">
        <f>IF($A11=0,SizeExpsAcq0*H11,0)</f>
        <v/>
      </c>
      <c r="S11" s="38">
        <f>IF($A11=0,SizeExpsCommInit0*J11,0)</f>
        <v/>
      </c>
      <c r="T11" s="38">
        <f>Policy_Sched!$J11*J11</f>
        <v/>
      </c>
      <c r="U11" s="42">
        <f>M11*J11</f>
        <v/>
      </c>
      <c r="V11" s="42">
        <f>S11+T11+R11+U11</f>
        <v/>
      </c>
      <c r="W11" s="38">
        <f>IF($A11&gt;LastT,0,N11+W12/(1+Policy_Sched!$K11))</f>
        <v/>
      </c>
      <c r="X11" s="38">
        <f>IF($A11&gt;LastT,0,(-Q11+X12)/(1+Policy_Sched!$K11))</f>
        <v/>
      </c>
      <c r="Y11" s="38">
        <f>IF($A11&gt;LastT,0,-V11+Y12/(1+Policy_Sched!$K11))</f>
        <v/>
      </c>
      <c r="Z11" s="42">
        <f>W11+Y11+X11</f>
        <v/>
      </c>
      <c r="AA11" s="38">
        <f>IF($A11&gt;LastT,0,N11-V11-Q11/(1+Policy_Sched!$K11)+Z12/(1+Policy_Sched!$K11))</f>
        <v/>
      </c>
    </row>
    <row r="12">
      <c r="A12" s="30">
        <f>A11+1</f>
        <v/>
      </c>
      <c r="B12" s="31">
        <f>IF($A12&gt;LastT,0,IF($B$3="exps",B11*(1+InflRate+IF($A12&gt;=T0,$G$3,0)),B11/(1+InflRate)))</f>
        <v/>
      </c>
      <c r="C12" s="31">
        <f>IF($A12&gt;LastT,0,IF(AND($D$3&lt;&gt;0,$A12&gt;=T0,Policy_Sched!$B12&lt;LastAge),1+$D$3*$E$3,1))</f>
        <v/>
      </c>
      <c r="D12" s="36">
        <f>IF($A12&gt;LastT,0,IF($C$3="up",MIN(Policy_Sched!$E12*(1+IF($A12&gt;=T0,$E$3,0)),$F$3),IF($C$3="down",MAX(Policy_Sched!$E12*(1-IF($A12&gt;=T0,$E$3,0)),Policy_Sched!$E12-$F$3),Policy_Sched!$E12)))</f>
        <v/>
      </c>
      <c r="E12" s="37">
        <f>IF($A12&gt;LastT,0,J11-K11-L11)</f>
        <v/>
      </c>
      <c r="F12" s="37">
        <f>IF($A12&gt;LastT,0,IF($A12=PolicyTerm,E12,0))</f>
        <v/>
      </c>
      <c r="G12" s="37">
        <f>IF($A12&gt;LastT,0,E12-F12)</f>
        <v/>
      </c>
      <c r="H12" s="37">
        <f>IF($A12=0,PolicyCount,0)</f>
        <v/>
      </c>
      <c r="I12" s="37">
        <f>IF($A12&gt;LastT,0,IF(AND($C$3="mass",$A12=T0),(G12+H12)*$E$3,0))</f>
        <v/>
      </c>
      <c r="J12" s="37">
        <f>IF($A12&gt;LastT,0,G12+H12-I12)</f>
        <v/>
      </c>
      <c r="K12" s="37">
        <f>IF($A12&gt;LastT,0,J12*Policy_Sched!$C12*Policy_Sched!$D12*C12)</f>
        <v/>
      </c>
      <c r="L12" s="41">
        <f>J12*D12</f>
        <v/>
      </c>
      <c r="M12" s="38">
        <f>IF($A12&gt;LastT,0,(SizeAnnPrem*ExpsMaintAnnPrem+(SumAssured*ExpsMaintSA+ExpsMaintPol)*B12)*(1+IF($B$3="exps",$E$3,0)))</f>
        <v/>
      </c>
      <c r="N12" s="38">
        <f>SizePremium*J12</f>
        <v/>
      </c>
      <c r="O12" s="38">
        <f>SumAssured*K12</f>
        <v/>
      </c>
      <c r="P12" s="38">
        <f>Policy_Sched!$I12*(L12+I12)</f>
        <v/>
      </c>
      <c r="Q12" s="42">
        <f>O12+P12</f>
        <v/>
      </c>
      <c r="R12" s="38">
        <f>IF($A12=0,SizeExpsAcq0*H12,0)</f>
        <v/>
      </c>
      <c r="S12" s="38">
        <f>IF($A12=0,SizeExpsCommInit0*J12,0)</f>
        <v/>
      </c>
      <c r="T12" s="38">
        <f>Policy_Sched!$J12*J12</f>
        <v/>
      </c>
      <c r="U12" s="42">
        <f>M12*J12</f>
        <v/>
      </c>
      <c r="V12" s="42">
        <f>S12+T12+R12+U12</f>
        <v/>
      </c>
      <c r="W12" s="38">
        <f>IF($A12&gt;LastT,0,N12+W13/(1+Policy_Sched!$K12))</f>
        <v/>
      </c>
      <c r="X12" s="38">
        <f>IF($A12&gt;LastT,0,(-Q12+X13)/(1+Policy_Sched!$K12))</f>
        <v/>
      </c>
      <c r="Y12" s="38">
        <f>IF($A12&gt;LastT,0,-V12+Y13/(1+Policy_Sched!$K12))</f>
        <v/>
      </c>
      <c r="Z12" s="42">
        <f>W12+Y12+X12</f>
        <v/>
      </c>
      <c r="AA12" s="38">
        <f>IF($A12&gt;LastT,0,N12-V12-Q12/(1+Policy_Sched!$K12)+Z13/(1+Policy_Sched!$K12))</f>
        <v/>
      </c>
    </row>
    <row r="13">
      <c r="A13" s="30">
        <f>A12+1</f>
        <v/>
      </c>
      <c r="B13" s="31">
        <f>IF($A13&gt;LastT,0,IF($B$3="exps",B12*(1+InflRate+IF($A13&gt;=T0,$G$3,0)),B12/(1+InflRate)))</f>
        <v/>
      </c>
      <c r="C13" s="31">
        <f>IF($A13&gt;LastT,0,IF(AND($D$3&lt;&gt;0,$A13&gt;=T0,Policy_Sched!$B13&lt;LastAge),1+$D$3*$E$3,1))</f>
        <v/>
      </c>
      <c r="D13" s="36">
        <f>IF($A13&gt;LastT,0,IF($C$3="up",MIN(Policy_Sched!$E13*(1+IF($A13&gt;=T0,$E$3,0)),$F$3),IF($C$3="down",MAX(Policy_Sched!$E13*(1-IF($A13&gt;=T0,$E$3,0)),Policy_Sched!$E13-$F$3),Policy_Sched!$E13)))</f>
        <v/>
      </c>
      <c r="E13" s="37">
        <f>IF($A13&gt;LastT,0,J12-K12-L12)</f>
        <v/>
      </c>
      <c r="F13" s="37">
        <f>IF($A13&gt;LastT,0,IF($A13=PolicyTerm,E13,0))</f>
        <v/>
      </c>
      <c r="G13" s="37">
        <f>IF($A13&gt;LastT,0,E13-F13)</f>
        <v/>
      </c>
      <c r="H13" s="37">
        <f>IF($A13=0,PolicyCount,0)</f>
        <v/>
      </c>
      <c r="I13" s="37">
        <f>IF($A13&gt;LastT,0,IF(AND($C$3="mass",$A13=T0),(G13+H13)*$E$3,0))</f>
        <v/>
      </c>
      <c r="J13" s="37">
        <f>IF($A13&gt;LastT,0,G13+H13-I13)</f>
        <v/>
      </c>
      <c r="K13" s="37">
        <f>IF($A13&gt;LastT,0,J13*Policy_Sched!$C13*Policy_Sched!$D13*C13)</f>
        <v/>
      </c>
      <c r="L13" s="41">
        <f>J13*D13</f>
        <v/>
      </c>
      <c r="M13" s="38">
        <f>IF($A13&gt;LastT,0,(SizeAnnPrem*ExpsMaintAnnPrem+(SumAssured*ExpsMaintSA+ExpsMaintPol)*B13)*(1+IF($B$3="exps",$E$3,0)))</f>
        <v/>
      </c>
      <c r="N13" s="38">
        <f>SizePremium*J13</f>
        <v/>
      </c>
      <c r="O13" s="38">
        <f>SumAssured*K13</f>
        <v/>
      </c>
      <c r="P13" s="38">
        <f>Policy_Sched!$I13*(L13+I13)</f>
        <v/>
      </c>
      <c r="Q13" s="42">
        <f>O13+P13</f>
        <v/>
      </c>
      <c r="R13" s="38">
        <f>IF($A13=0,SizeExpsAcq0*H13,0)</f>
        <v/>
      </c>
      <c r="S13" s="38">
        <f>IF($A13=0,SizeExpsCommInit0*J13,0)</f>
        <v/>
      </c>
      <c r="T13" s="38">
        <f>Policy_Sched!$J13*J13</f>
        <v/>
      </c>
      <c r="U13" s="42">
        <f>M13*J13</f>
        <v/>
      </c>
      <c r="V13" s="42">
        <f>S13+T13+R13+U13</f>
        <v/>
      </c>
      <c r="W13" s="38">
        <f>IF($A13&gt;LastT,0,N13+W14/(1+Policy_Sched!$K13))</f>
        <v/>
      </c>
      <c r="X13" s="38">
        <f>IF($A13&gt;LastT,0,(-Q13+X14)/(1+Policy_Sched!$K13))</f>
        <v/>
      </c>
      <c r="Y13" s="38">
        <f>IF($A13&gt;LastT,0,-V13+Y14/(1+Policy_Sched!$K13))</f>
        <v/>
      </c>
      <c r="Z13" s="42">
        <f>W13+Y13+X13</f>
        <v/>
      </c>
      <c r="AA13" s="38">
        <f>IF($A13&gt;LastT,0,N13-V13-Q13/(1+Policy_Sched!$K13)+Z14/(1+Policy_Sched!$K13))</f>
        <v/>
      </c>
    </row>
    <row r="14">
      <c r="A14" s="30">
        <f>A13+1</f>
        <v/>
      </c>
      <c r="B14" s="31">
        <f>IF($A14&gt;LastT,0,IF($B$3="exps",B13*(1+InflRate+IF($A14&gt;=T0,$G$3,0)),B13/(1+InflRate)))</f>
        <v/>
      </c>
      <c r="C14" s="31">
        <f>IF($A14&gt;LastT,0,IF(AND($D$3&lt;&gt;0,$A14&gt;=T0,Policy_Sched!$B14&lt;LastAge),1+$D$3*$E$3,1))</f>
        <v/>
      </c>
      <c r="D14" s="36">
        <f>IF($A14&gt;LastT,0,IF($C$3="up",MIN(Policy_Sched!$E14*(1+IF($A14&gt;=T0,$E$3,0)),$F$3),IF($C$3="down",MAX(Policy_Sched!$E14*(1-IF($A14&gt;=T0,$E$3,0)),Policy_Sched!$E14-$F$3),Policy_Sched!$E14)))</f>
        <v/>
      </c>
      <c r="E14" s="37">
        <f>IF($A14&gt;LastT,0,J13-K13-L13)</f>
        <v/>
      </c>
      <c r="F14" s="37">
        <f>IF($A14&gt;LastT,0,IF($A14=PolicyTerm,E14,0))</f>
        <v/>
      </c>
      <c r="G14" s="37">
        <f>IF($A14&gt;LastT,0,E14-F14)</f>
        <v/>
      </c>
      <c r="H14" s="37">
        <f>IF($A14=0,PolicyCount,0)</f>
        <v/>
      </c>
      <c r="I14" s="37">
        <f>IF($A14&gt;LastT,0,IF(AND($C$3="mass",$A14=T0),(G14+H14)*$E$3,0))</f>
        <v/>
      </c>
      <c r="J14" s="37">
        <f>IF($A14&gt;LastT,0,G14+H14-I14)</f>
        <v/>
      </c>
      <c r="K14" s="37">
        <f>IF($A14&gt;LastT,0,J14*Policy_Sched!$C14*Policy_Sched!$D14*C14)</f>
        <v/>
      </c>
      <c r="L14" s="41">
        <f>J14*D14</f>
        <v/>
      </c>
      <c r="M14" s="38">
        <f>IF($A14&gt;LastT,0,(SizeAnnPrem*ExpsMaintAnnPrem+(SumAssured*ExpsMaintSA+ExpsMaintPol)*B14)*(1+IF($B$3="exps",$E$3,0)))</f>
        <v/>
      </c>
      <c r="N14" s="38">
        <f>SizePremium*J14</f>
        <v/>
      </c>
      <c r="O14" s="38">
        <f>SumAssured*K14</f>
        <v/>
      </c>
      <c r="P14" s="38">
        <f>Policy_Sched!$I14*(L14+I14)</f>
        <v/>
      </c>
      <c r="Q14" s="42">
        <f>O14+P14</f>
        <v/>
      </c>
      <c r="R14" s="38">
        <f>IF($A14=0,SizeExpsAcq0*H14,0)</f>
        <v/>
      </c>
      <c r="S14" s="38">
        <f>IF($A14=0,SizeExpsCommInit0*J14,0)</f>
        <v/>
      </c>
      <c r="T14" s="38">
        <f>Policy_Sched!$J14*J14</f>
        <v/>
      </c>
      <c r="U14" s="42">
        <f>M14*J14</f>
        <v/>
      </c>
      <c r="V14" s="42">
        <f>S14+T14+R14+U14</f>
        <v/>
      </c>
      <c r="W14" s="38">
        <f>IF($A14&gt;LastT,0,N14+W15/(1+Policy_Sched!$K14))</f>
        <v/>
      </c>
      <c r="X14" s="38">
        <f>IF($A14&gt;LastT,0,(-Q14+X15)/(1+Policy_Sched!$K14))</f>
        <v/>
      </c>
      <c r="Y14" s="38">
        <f>IF($A14&gt;LastT,0,-V14+Y15/(1+Policy_Sched!$K14))</f>
        <v/>
      </c>
      <c r="Z14" s="42">
        <f>W14+Y14+X14</f>
        <v/>
      </c>
      <c r="AA14" s="38">
        <f>IF($A14&gt;LastT,0,N14-V14-Q14/(1+Policy_Sched!$K14)+Z15/(1+Policy_Sched!$K14))</f>
        <v/>
      </c>
    </row>
    <row r="15">
      <c r="A15" s="30">
        <f>A14+1</f>
        <v/>
      </c>
      <c r="B15" s="31">
        <f>IF($A15&gt;LastT,0,IF($B$3="exps",B14*(1+InflRate+IF($A15&gt;=T0,$G$3,0)),B14/(1+InflRate)))</f>
        <v/>
      </c>
      <c r="C15" s="31">
        <f>IF($A15&gt;LastT,0,IF(AND($D$3&lt;&gt;0,$A15&gt;=T0,Policy_Sched!$B15&lt;LastAge),1+$D$3*$E$3,1))</f>
        <v/>
      </c>
      <c r="D15" s="36">
        <f>IF($A15&gt;LastT,0,IF($C$3="up",MIN(Policy_Sched!$E15*(1+IF($A15&gt;=T0,$E$3,0)),$F$3),IF($C$3="down",MAX(Policy_Sched!$E15*(1-IF($A15&gt;=T0,$E$3,0)),Policy_Sched!$E15-$F$3),Policy_Sched!$E15)))</f>
        <v/>
      </c>
      <c r="E15" s="37">
        <f>IF($A15&gt;LastT,0,J14-K14-L14)</f>
        <v/>
      </c>
      <c r="F15" s="37">
        <f>IF($A15&gt;LastT,0,IF($A15=PolicyTerm,E15,0))</f>
        <v/>
      </c>
      <c r="G15" s="37">
        <f>IF($A15&gt;LastT,0,E15-F15)</f>
        <v/>
      </c>
      <c r="H15" s="37">
        <f>IF($A15=0,PolicyCount,0)</f>
        <v/>
      </c>
      <c r="I15" s="37">
        <f>IF($A15&gt;LastT,0,IF(AND($C$3="mass",$A15=T0),(G15+H15)*$E$3,0))</f>
        <v/>
      </c>
      <c r="J15" s="37">
        <f>IF($A15&gt;LastT,0,G15+H15-I15)</f>
        <v/>
      </c>
      <c r="K15" s="37">
        <f>IF($A15&gt;LastT,0,J15*Policy_Sched!$C15*Policy_Sched!$D15*C15)</f>
        <v/>
      </c>
      <c r="L15" s="41">
        <f>J15*D15</f>
        <v/>
      </c>
      <c r="M15" s="38">
        <f>IF($A15&gt;LastT,0,(SizeAnnPrem*ExpsMaintAnnPrem+(SumAssured*ExpsMaintSA+ExpsMaintPol)*B15)*(1+IF($B$3="exps",$E$3,0)))</f>
        <v/>
      </c>
      <c r="N15" s="38">
        <f>SizePremium*J15</f>
        <v/>
      </c>
      <c r="O15" s="38">
        <f>SumAssured*K15</f>
        <v/>
      </c>
      <c r="P15" s="38">
        <f>Policy_Sched!$I15*(L15+I15)</f>
        <v/>
      </c>
      <c r="Q15" s="42">
        <f>O15+P15</f>
        <v/>
      </c>
      <c r="R15" s="38">
        <f>IF($A15=0,SizeExpsAcq0*H15,0)</f>
        <v/>
      </c>
      <c r="S15" s="38">
        <f>IF($A15=0,SizeExpsCommInit0*J15,0)</f>
        <v/>
      </c>
      <c r="T15" s="38">
        <f>Policy_Sched!$J15*J15</f>
        <v/>
      </c>
      <c r="U15" s="42">
        <f>M15*J15</f>
        <v/>
      </c>
      <c r="V15" s="42">
        <f>S15+T15+R15+U15</f>
        <v/>
      </c>
      <c r="W15" s="38">
        <f>IF($A15&gt;LastT,0,N15+W16/(1+Policy_Sched!$K15))</f>
        <v/>
      </c>
      <c r="X15" s="38">
        <f>IF($A15&gt;LastT,0,(-Q15+X16)/(1+Policy_Sched!$K15))</f>
        <v/>
      </c>
      <c r="Y15" s="38">
        <f>IF($A15&gt;LastT,0,-V15+Y16/(1+Policy_Sched!$K15))</f>
        <v/>
      </c>
      <c r="Z15" s="42">
        <f>W15+Y15+X15</f>
        <v/>
      </c>
      <c r="AA15" s="38">
        <f>IF($A15&gt;LastT,0,N15-V15-Q15/(1+Policy_Sched!$K15)+Z16/(1+Policy_Sched!$K15))</f>
        <v/>
      </c>
    </row>
    <row r="16">
      <c r="A16" s="30">
        <f>A15+1</f>
        <v/>
      </c>
      <c r="B16" s="31">
        <f>IF($A16&gt;LastT,0,IF($B$3="exps",B15*(1+InflRate+IF($A16&gt;=T0,$G$3,0)),B15/(1+InflRate)))</f>
        <v/>
      </c>
      <c r="C16" s="31">
        <f>IF($A16&gt;LastT,0,IF(AND($D$3&lt;&gt;0,$A16&gt;=T0,Policy_Sched!$B16&lt;LastAge),1+$D$3*$E$3,1))</f>
        <v/>
      </c>
      <c r="D16" s="36">
        <f>IF($A16&gt;LastT,0,IF($C$3="up",MIN(Policy_Sched!$E16*(1+IF($A16&gt;=T0,$E$3,0)),$F$3),IF($C$3="down",MAX(Policy_Sched!$E16*(1-IF($A16&gt;=T0,$E$3,0)),Policy_Sched!$E16-$F$3),Policy_Sched!$E16)))</f>
        <v/>
      </c>
      <c r="E16" s="37">
        <f>IF($A16&gt;LastT,0,J15-K15-L15)</f>
        <v/>
      </c>
      <c r="F16" s="37">
        <f>IF($A16&gt;LastT,0,IF($A16=PolicyTerm,E16,0))</f>
        <v/>
      </c>
      <c r="G16" s="37">
        <f>IF($A16&gt;LastT,0,E16-F16)</f>
        <v/>
      </c>
      <c r="H16" s="37">
        <f>IF($A16=0,PolicyCount,0)</f>
        <v/>
      </c>
      <c r="I16" s="37">
        <f>IF($A16&gt;LastT,0,IF(AND($C$3="mass",$A16=T0),(G16+H16)*$E$3,0))</f>
        <v/>
      </c>
      <c r="J16" s="37">
        <f>IF($A16&gt;LastT,0,G16+H16-I16)</f>
        <v/>
      </c>
      <c r="K16" s="37">
        <f>IF($A16&gt;LastT,0,J16*Policy_Sched!$C16*Policy_Sched!$D16*C16)</f>
        <v/>
      </c>
      <c r="L16" s="41">
        <f>J16*D16</f>
        <v/>
      </c>
      <c r="M16" s="38">
        <f>IF($A16&gt;LastT,0,(SizeAnnPrem*ExpsMaintAnnPrem+(SumAssured*ExpsMaintSA+ExpsMaintPol)*B16)*(1+IF($B$3="exps",$E$3,0)))</f>
        <v/>
      </c>
      <c r="N16" s="38">
        <f>SizePremium*J16</f>
        <v/>
      </c>
      <c r="O16" s="38">
        <f>SumAssured*K16</f>
        <v/>
      </c>
      <c r="P16" s="38">
        <f>Policy_Sched!$I16*(L16+I16)</f>
        <v/>
      </c>
      <c r="Q16" s="42">
        <f>O16+P16</f>
        <v/>
      </c>
      <c r="R16" s="38">
        <f>IF($A16=0,SizeExpsAcq0*H16,0)</f>
        <v/>
      </c>
      <c r="S16" s="38">
        <f>IF($A16=0,SizeExpsCommInit0*J16,0)</f>
        <v/>
      </c>
      <c r="T16" s="38">
        <f>Policy_Sched!$J16*J16</f>
        <v/>
      </c>
      <c r="U16" s="42">
        <f>M16*J16</f>
        <v/>
      </c>
      <c r="V16" s="42">
        <f>S16+T16+R16+U16</f>
        <v/>
      </c>
      <c r="W16" s="38">
        <f>IF($A16&gt;LastT,0,N16+W17/(1+Policy_Sched!$K16))</f>
        <v/>
      </c>
      <c r="X16" s="38">
        <f>IF($A16&gt;LastT,0,(-Q16+X17)/(1+Policy_Sched!$K16))</f>
        <v/>
      </c>
      <c r="Y16" s="38">
        <f>IF($A16&gt;LastT,0,-V16+Y17/(1+Policy_Sched!$K16))</f>
        <v/>
      </c>
      <c r="Z16" s="42">
        <f>W16+Y16+X16</f>
        <v/>
      </c>
      <c r="AA16" s="38">
        <f>IF($A16&gt;LastT,0,N16-V16-Q16/(1+Policy_Sched!$K16)+Z17/(1+Policy_Sched!$K16))</f>
        <v/>
      </c>
    </row>
    <row r="17">
      <c r="A17" s="30">
        <f>A16+1</f>
        <v/>
      </c>
      <c r="B17" s="31">
        <f>IF($A17&gt;LastT,0,IF($B$3="exps",B16*(1+InflRate+IF($A17&gt;=T0,$G$3,0)),B16/(1+InflRate)))</f>
        <v/>
      </c>
      <c r="C17" s="31">
        <f>IF($A17&gt;LastT,0,IF(AND($D$3&lt;&gt;0,$A17&gt;=T0,Policy_Sched!$B17&lt;LastAge),1+$D$3*$E$3,1))</f>
        <v/>
      </c>
      <c r="D17" s="36">
        <f>IF($A17&gt;LastT,0,IF($C$3="up",MIN(Policy_Sched!$E17*(1+IF($A17&gt;=T0,$E$3,0)),$F$3),IF($C$3="down",MAX(Policy_Sched!$E17*(1-IF($A17&gt;=T0,$E$3,0)),Policy_Sched!$E17-$F$3),Policy_Sched!$E17)))</f>
        <v/>
      </c>
      <c r="E17" s="37">
        <f>IF($A17&gt;LastT,0,J16-K16-L16)</f>
        <v/>
      </c>
      <c r="F17" s="37">
        <f>IF($A17&gt;LastT,0,IF($A17=PolicyTerm,E17,0))</f>
        <v/>
      </c>
      <c r="G17" s="37">
        <f>IF($A17&gt;LastT,0,E17-F17)</f>
        <v/>
      </c>
      <c r="H17" s="37">
        <f>IF($A17=0,PolicyCount,0)</f>
        <v/>
      </c>
      <c r="I17" s="37">
        <f>IF($A17&gt;LastT,0,IF(AND($C$3="mass",$A17=T0),(G17+H17)*$E$3,0))</f>
        <v/>
      </c>
      <c r="J17" s="37">
        <f>IF($A17&gt;LastT,0,G17+H17-I17)</f>
        <v/>
      </c>
      <c r="K17" s="37">
        <f>IF($A17&gt;LastT,0,J17*Policy_Sched!$C17*Policy_Sched!$D17*C17)</f>
        <v/>
      </c>
      <c r="L17" s="41">
        <f>J17*D17</f>
        <v/>
      </c>
      <c r="M17" s="38">
        <f>IF($A17&gt;LastT,0,(SizeAnnPrem*ExpsMaintAnnPrem+(SumAssured*ExpsMaintSA+ExpsMaintPol)*B17)*(1+IF($B$3="exps",$E$3,0)))</f>
        <v/>
      </c>
      <c r="N17" s="38">
        <f>SizePremium*J17</f>
        <v/>
      </c>
      <c r="O17" s="38">
        <f>SumAssured*K17</f>
        <v/>
      </c>
      <c r="P17" s="38">
        <f>Policy_Sched!$I17*(L17+I17)</f>
        <v/>
      </c>
      <c r="Q17" s="42">
        <f>O17+P17</f>
        <v/>
      </c>
      <c r="R17" s="38">
        <f>IF($A17=0,SizeExpsAcq0*H17,0)</f>
        <v/>
      </c>
      <c r="S17" s="38">
        <f>IF($A17=0,SizeExpsCommInit0*J17,0)</f>
        <v/>
      </c>
      <c r="T17" s="38">
        <f>Policy_Sched!$J17*J17</f>
        <v/>
      </c>
      <c r="U17" s="42">
        <f>M17*J17</f>
        <v/>
      </c>
      <c r="V17" s="42">
        <f>S17+T17+R17+U17</f>
        <v/>
      </c>
      <c r="W17" s="38">
        <f>IF($A17&gt;LastT,0,N17+W18/(1+Policy_Sched!$K17))</f>
        <v/>
      </c>
      <c r="X17" s="38">
        <f>IF($A17&gt;LastT,0,(-Q17+X18)/(1+Policy_Sched!$K17))</f>
        <v/>
      </c>
      <c r="Y17" s="38">
        <f>IF($A17&gt;LastT,0,-V17+Y18/(1+Policy_Sched!$K17))</f>
        <v/>
      </c>
      <c r="Z17" s="42">
        <f>W17+Y17+X17</f>
        <v/>
      </c>
      <c r="AA17" s="38">
        <f>IF($A17&gt;LastT,0,N17-V17-Q17/(1+Policy_Sched!$K17)+Z18/(1+Policy_Sched!$K17))</f>
        <v/>
      </c>
    </row>
    <row r="18">
      <c r="A18" s="30">
        <f>A17+1</f>
        <v/>
      </c>
      <c r="B18" s="31">
        <f>IF($A18&gt;LastT,0,IF($B$3="exps",B17*(1+InflRate+IF($A18&gt;=T0,$G$3,0)),B17/(1+InflRate)))</f>
        <v/>
      </c>
      <c r="C18" s="31">
        <f>IF($A18&gt;LastT,0,IF(AND($D$3&lt;&gt;0,$A18&gt;=T0,Policy_Sched!$B18&lt;LastAge),1+$D$3*$E$3,1))</f>
        <v/>
      </c>
      <c r="D18" s="36">
        <f>IF($A18&gt;LastT,0,IF($C$3="up",MIN(Policy_Sched!$E18*(1+IF($A18&gt;=T0,$E$3,0)),$F$3),IF($C$3="down",MAX(Policy_Sched!$E18*(1-IF($A18&gt;=T0,$E$3,0)),Policy_Sched!$E18-$F$3),Policy_Sched!$E18)))</f>
        <v/>
      </c>
      <c r="E18" s="37">
        <f>IF($A18&gt;LastT,0,J17-K17-L17)</f>
        <v/>
      </c>
      <c r="F18" s="37">
        <f>IF($A18&gt;LastT,0,IF($A18=PolicyTerm,E18,0))</f>
        <v/>
      </c>
      <c r="G18" s="37">
        <f>IF($A18&gt;LastT,0,E18-F18)</f>
        <v/>
      </c>
      <c r="H18" s="37">
        <f>IF($A18=0,PolicyCount,0)</f>
        <v/>
      </c>
      <c r="I18" s="37">
        <f>IF($A18&gt;LastT,0,IF(AND($C$3="mass",$A18=T0),(G18+H18)*$E$3,0))</f>
        <v/>
      </c>
      <c r="J18" s="37">
        <f>IF($A18&gt;LastT,0,G18+H18-I18)</f>
        <v/>
      </c>
      <c r="K18" s="37">
        <f>IF($A18&gt;LastT,0,J18*Policy_Sched!$C18*Policy_Sched!$D18*C18)</f>
        <v/>
      </c>
      <c r="L18" s="41">
        <f>J18*D18</f>
        <v/>
      </c>
      <c r="M18" s="38">
        <f>IF($A18&gt;LastT,0,(SizeAnnPrem*ExpsMaintAnnPrem+(SumAssured*ExpsMaintSA+ExpsMaintPol)*B18)*(1+IF($B$3="exps",$E$3,0)))</f>
        <v/>
      </c>
      <c r="N18" s="38">
        <f>SizePremium*J18</f>
        <v/>
      </c>
      <c r="O18" s="38">
        <f>SumAssured*K18</f>
        <v/>
      </c>
      <c r="P18" s="38">
        <f>Policy_Sched!$I18*(L18+I18)</f>
        <v/>
      </c>
      <c r="Q18" s="42">
        <f>O18+P18</f>
        <v/>
      </c>
      <c r="R18" s="38">
        <f>IF($A18=0,SizeExpsAcq0*H18,0)</f>
        <v/>
      </c>
      <c r="S18" s="38">
        <f>IF($A18=0,SizeExpsCommInit0*J18,0)</f>
        <v/>
      </c>
      <c r="T18" s="38">
        <f>Policy_Sched!$J18*J18</f>
        <v/>
      </c>
      <c r="U18" s="42">
        <f>M18*J18</f>
        <v/>
      </c>
      <c r="V18" s="42">
        <f>S18+T18+R18+U18</f>
        <v/>
      </c>
      <c r="W18" s="38">
        <f>IF($A18&gt;LastT,0,N18+W19/(1+Policy_Sched!$K18))</f>
        <v/>
      </c>
      <c r="X18" s="38">
        <f>IF($A18&gt;LastT,0,(-Q18+X19)/(1+Policy_Sched!$K18))</f>
        <v/>
      </c>
      <c r="Y18" s="38">
        <f>IF($A18&gt;LastT,0,-V18+Y19/(1+Policy_Sched!$K18))</f>
        <v/>
      </c>
      <c r="Z18" s="42">
        <f>W18+Y18+X18</f>
        <v/>
      </c>
      <c r="AA18" s="38">
        <f>IF($A18&gt;LastT,0,N18-V18-Q18/(1+Policy_Sched!$K18)+Z19/(1+Policy_Sched!$K18))</f>
        <v/>
      </c>
    </row>
    <row r="19">
      <c r="A19" s="30">
        <f>A18+1</f>
        <v/>
      </c>
      <c r="B19" s="31">
        <f>IF($A19&gt;LastT,0,IF($B$3="exps",B18*(1+InflRate+IF($A19&gt;=T0,$G$3,0)),B18/(1+InflRate)))</f>
        <v/>
      </c>
      <c r="C19" s="31">
        <f>IF($A19&gt;LastT,0,IF(AND($D$3&lt;&gt;0,$A19&gt;=T0,Policy_Sched!$B19&lt;LastAge),1+$D$3*$E$3,1))</f>
        <v/>
      </c>
      <c r="D19" s="36">
        <f>IF($A19&gt;LastT,0,IF($C$3="up",MIN(Policy_Sched!$E19*(1+IF($A19&gt;=T0,$E$3,0)),$F$3),IF($C$3="down",MAX(Policy_Sched!$E19*(1-IF($A19&gt;=T0,$E$3,0)),Policy_Sched!$E19-$F$3),Policy_Sched!$E19)))</f>
        <v/>
      </c>
      <c r="E19" s="37">
        <f>IF($A19&gt;LastT,0,J18-K18-L18)</f>
        <v/>
      </c>
      <c r="F19" s="37">
        <f>IF($A19&gt;LastT,0,IF($A19=PolicyTerm,E19,0))</f>
        <v/>
      </c>
      <c r="G19" s="37">
        <f>IF($A19&gt;LastT,0,E19-F19)</f>
        <v/>
      </c>
      <c r="H19" s="37">
        <f>IF($A19=0,PolicyCount,0)</f>
        <v/>
      </c>
      <c r="I19" s="37">
        <f>IF($A19&gt;LastT,0,IF(AND($C$3="mass",$A19=T0),(G19+H19)*$E$3,0))</f>
        <v/>
      </c>
      <c r="J19" s="37">
        <f>IF($A19&gt;LastT,0,G19+H19-I19)</f>
        <v/>
      </c>
      <c r="K19" s="37">
        <f>IF($A19&gt;LastT,0,J19*Policy_Sched!$C19*Policy_Sched!$D19*C19)</f>
        <v/>
      </c>
      <c r="L19" s="41">
        <f>J19*D19</f>
        <v/>
      </c>
      <c r="M19" s="38">
        <f>IF($A19&gt;LastT,0,(SizeAnnPrem*ExpsMaintAnnPrem+(SumAssured*ExpsMaintSA+ExpsMaintPol)*B19)*(1+IF($B$3="exps",$E$3,0)))</f>
        <v/>
      </c>
      <c r="N19" s="38">
        <f>SizePremium*J19</f>
        <v/>
      </c>
      <c r="O19" s="38">
        <f>SumAssured*K19</f>
        <v/>
      </c>
      <c r="P19" s="38">
        <f>Policy_Sched!$I19*(L19+I19)</f>
        <v/>
      </c>
      <c r="Q19" s="42">
        <f>O19+P19</f>
        <v/>
      </c>
      <c r="R19" s="38">
        <f>IF($A19=0,SizeExpsAcq0*H19,0)</f>
        <v/>
      </c>
      <c r="S19" s="38">
        <f>IF($A19=0,SizeExpsCommInit0*J19,0)</f>
        <v/>
      </c>
      <c r="T19" s="38">
        <f>Policy_Sched!$J19*J19</f>
        <v/>
      </c>
      <c r="U19" s="42">
        <f>M19*J19</f>
        <v/>
      </c>
      <c r="V19" s="42">
        <f>S19+T19+R19+U19</f>
        <v/>
      </c>
      <c r="W19" s="38">
        <f>IF($A19&gt;LastT,0,N19+W20/(1+Policy_Sched!$K19))</f>
        <v/>
      </c>
      <c r="X19" s="38">
        <f>IF($A19&gt;LastT,0,(-Q19+X20)/(1+Policy_Sched!$K19))</f>
        <v/>
      </c>
      <c r="Y19" s="38">
        <f>IF($A19&gt;LastT,0,-V19+Y20/(1+Policy_Sched!$K19))</f>
        <v/>
      </c>
      <c r="Z19" s="42">
        <f>W19+Y19+X19</f>
        <v/>
      </c>
      <c r="AA19" s="38">
        <f>IF($A19&gt;LastT,0,N19-V19-Q19/(1+Policy_Sched!$K19)+Z20/(1+Policy_Sched!$K19))</f>
        <v/>
      </c>
    </row>
    <row r="20">
      <c r="A20" s="30">
        <f>A19+1</f>
        <v/>
      </c>
      <c r="B20" s="31">
        <f>IF($A20&gt;LastT,0,IF($B$3="exps",B19*(1+InflRate+IF($A20&gt;=T0,$G$3,0)),B19/(1+InflRate)))</f>
        <v/>
      </c>
      <c r="C20" s="31">
        <f>IF($A20&gt;LastT,0,IF(AND($D$3&lt;&gt;0,$A20&gt;=T0,Policy_Sched!$B20&lt;LastAge),1+$D$3*$E$3,1))</f>
        <v/>
      </c>
      <c r="D20" s="36">
        <f>IF($A20&gt;LastT,0,IF($C$3="up",MIN(Policy_Sched!$E20*(1+IF($A20&gt;=T0,$E$3,0)),$F$3),IF($C$3="down",MAX(Policy_Sched!$E20*(1-IF($A20&gt;=T0,$E$3,0)),Policy_Sched!$E20-$F$3),Policy_Sched!$E20)))</f>
        <v/>
      </c>
      <c r="E20" s="37">
        <f>IF($A20&gt;LastT,0,J19-K19-L19)</f>
        <v/>
      </c>
      <c r="F20" s="37">
        <f>IF($A20&gt;LastT,0,IF($A20=PolicyTerm,E20,0))</f>
        <v/>
      </c>
      <c r="G20" s="37">
        <f>IF($A20&gt;LastT,0,E20-F20)</f>
        <v/>
      </c>
      <c r="H20" s="37">
        <f>IF($A20=0,PolicyCount,0)</f>
        <v/>
      </c>
      <c r="I20" s="37">
        <f>IF($A20&gt;LastT,0,IF(AND($C$3="mass",$A20=T0),(G20+H20)*$E$3,0))</f>
        <v/>
      </c>
      <c r="J20" s="37">
        <f>IF($A20&gt;LastT,0,G20+H20-I20)</f>
        <v/>
      </c>
      <c r="K20" s="37">
        <f>IF($A20&gt;LastT,0,J20*Policy_Sched!$C20*Policy_Sched!$D20*C20)</f>
        <v/>
      </c>
      <c r="L20" s="41">
        <f>J20*D20</f>
        <v/>
      </c>
      <c r="M20" s="38">
        <f>IF($A20&gt;LastT,0,(SizeAnnPrem*ExpsMaintAnnPrem+(SumAssured*ExpsMaintSA+ExpsMaintPol)*B20)*(1+IF($B$3="exps",$E$3,0)))</f>
        <v/>
      </c>
      <c r="N20" s="38">
        <f>SizePremium*J20</f>
        <v/>
      </c>
      <c r="O20" s="38">
        <f>SumAssured*K20</f>
        <v/>
      </c>
      <c r="P20" s="38">
        <f>Policy_Sched!$I20*(L20+I20)</f>
        <v/>
      </c>
      <c r="Q20" s="42">
        <f>O20+P20</f>
        <v/>
      </c>
      <c r="R20" s="38">
        <f>IF($A20=0,SizeExpsAcq0*H20,0)</f>
        <v/>
      </c>
      <c r="S20" s="38">
        <f>IF($A20=0,SizeExpsCommInit0*J20,0)</f>
        <v/>
      </c>
      <c r="T20" s="38">
        <f>Policy_Sched!$J20*J20</f>
        <v/>
      </c>
      <c r="U20" s="42">
        <f>M20*J20</f>
        <v/>
      </c>
      <c r="V20" s="42">
        <f>S20+T20+R20+U20</f>
        <v/>
      </c>
      <c r="W20" s="38">
        <f>IF($A20&gt;LastT,0,N20+W21/(1+Policy_Sched!$K20))</f>
        <v/>
      </c>
      <c r="X20" s="38">
        <f>IF($A20&gt;LastT,0,(-Q20+X21)/(1+Policy_Sched!$K20))</f>
        <v/>
      </c>
      <c r="Y20" s="38">
        <f>IF($A20&gt;LastT,0,-V20+Y21/(1+Policy_Sched!$K20))</f>
        <v/>
      </c>
      <c r="Z20" s="42">
        <f>W20+Y20+X20</f>
        <v/>
      </c>
      <c r="AA20" s="38">
        <f>IF($A20&gt;LastT,0,N20-V20-Q20/(1+Policy_Sched!$K20)+Z21/(1+Policy_Sched!$K20))</f>
        <v/>
      </c>
    </row>
    <row r="21">
      <c r="A21" s="30">
        <f>A20+1</f>
        <v/>
      </c>
      <c r="B21" s="31">
        <f>IF($A21&gt;LastT,0,IF($B$3="exps",B20*(1+InflRate+IF($A21&gt;=T0,$G$3,0)),B20/(1+InflRate)))</f>
        <v/>
      </c>
      <c r="C21" s="31">
        <f>IF($A21&gt;LastT,0,IF(AND($D$3&lt;&gt;0,$A21&gt;=T0,Policy_Sched!$B21&lt;LastAge),1+$D$3*$E$3,1))</f>
        <v/>
      </c>
      <c r="D21" s="36">
        <f>IF($A21&gt;LastT,0,IF($C$3="up",MIN(Policy_Sched!$E21*(1+IF($A21&gt;=T0,$E$3,0)),$F$3),IF($C$3="down",MAX(Policy_Sched!$E21*(1-IF($A21&gt;=T0,$E$3,0)),Policy_Sched!$E21-$F$3),Policy_Sched!$E21)))</f>
        <v/>
      </c>
      <c r="E21" s="37">
        <f>IF($A21&gt;LastT,0,J20-K20-L20)</f>
        <v/>
      </c>
      <c r="F21" s="37">
        <f>IF($A21&gt;LastT,0,IF($A21=PolicyTerm,E21,0))</f>
        <v/>
      </c>
      <c r="G21" s="37">
        <f>IF($A21&gt;LastT,0,E21-F21)</f>
        <v/>
      </c>
      <c r="H21" s="37">
        <f>IF($A21=0,PolicyCount,0)</f>
        <v/>
      </c>
      <c r="I21" s="37">
        <f>IF($A21&gt;LastT,0,IF(AND($C$3="mass",$A21=T0),(G21+H21)*$E$3,0))</f>
        <v/>
      </c>
      <c r="J21" s="37">
        <f>IF($A21&gt;LastT,0,G21+H21-I21)</f>
        <v/>
      </c>
      <c r="K21" s="37">
        <f>IF($A21&gt;LastT,0,J21*Policy_Sched!$C21*Policy_Sched!$D21*C21)</f>
        <v/>
      </c>
      <c r="L21" s="41">
        <f>J21*D21</f>
        <v/>
      </c>
      <c r="M21" s="38">
        <f>IF($A21&gt;LastT,0,(SizeAnnPrem*ExpsMaintAnnPrem+(SumAssured*ExpsMaintSA+ExpsMaintPol)*B21)*(1+IF($B$3="exps",$E$3,0)))</f>
        <v/>
      </c>
      <c r="N21" s="38">
        <f>SizePremium*J21</f>
        <v/>
      </c>
      <c r="O21" s="38">
        <f>SumAssured*K21</f>
        <v/>
      </c>
      <c r="P21" s="38">
        <f>Policy_Sched!$I21*(L21+I21)</f>
        <v/>
      </c>
      <c r="Q21" s="42">
        <f>O21+P21</f>
        <v/>
      </c>
      <c r="R21" s="38">
        <f>IF($A21=0,SizeExpsAcq0*H21,0)</f>
        <v/>
      </c>
      <c r="S21" s="38">
        <f>IF($A21=0,SizeExpsCommInit0*J21,0)</f>
        <v/>
      </c>
      <c r="T21" s="38">
        <f>Policy_Sched!$J21*J21</f>
        <v/>
      </c>
      <c r="U21" s="42">
        <f>M21*J21</f>
        <v/>
      </c>
      <c r="V21" s="42">
        <f>S21+T21+R21+U21</f>
        <v/>
      </c>
      <c r="W21" s="38">
        <f>IF($A21&gt;LastT,0,N21+W22/(1+Policy_Sched!$K21))</f>
        <v/>
      </c>
      <c r="X21" s="38">
        <f>IF($A21&gt;LastT,0,(-Q21+X22)/(1+Policy_Sched!$K21))</f>
        <v/>
      </c>
      <c r="Y21" s="38">
        <f>IF($A21&gt;LastT,0,-V21+Y22/(1+Policy_Sched!$K21))</f>
        <v/>
      </c>
      <c r="Z21" s="42">
        <f>W21+Y21+X21</f>
        <v/>
      </c>
      <c r="AA21" s="38">
        <f>IF($A21&gt;LastT,0,N21-V21-Q21/(1+Policy_Sched!$K21)+Z22/(1+Policy_Sched!$K21))</f>
        <v/>
      </c>
    </row>
    <row r="22">
      <c r="A22" s="30">
        <f>A21+1</f>
        <v/>
      </c>
      <c r="B22" s="31">
        <f>IF($A22&gt;LastT,0,IF($B$3="exps",B21*(1+InflRate+IF($A22&gt;=T0,$G$3,0)),B21/(1+InflRate)))</f>
        <v/>
      </c>
      <c r="C22" s="31">
        <f>IF($A22&gt;LastT,0,IF(AND($D$3&lt;&gt;0,$A22&gt;=T0,Policy_Sched!$B22&lt;LastAge),1+$D$3*$E$3,1))</f>
        <v/>
      </c>
      <c r="D22" s="36">
        <f>IF($A22&gt;LastT,0,IF($C$3="up",MIN(Policy_Sched!$E22*(1+IF($A22&gt;=T0,$E$3,0)),$F$3),IF($C$3="down",MAX(Policy_Sched!$E22*(1-IF($A22&gt;=T0,$E$3,0)),Policy_Sched!$E22-$F$3),Policy_Sched!$E22)))</f>
        <v/>
      </c>
      <c r="E22" s="37">
        <f>IF($A22&gt;LastT,0,J21-K21-L21)</f>
        <v/>
      </c>
      <c r="F22" s="37">
        <f>IF($A22&gt;LastT,0,IF($A22=PolicyTerm,E22,0))</f>
        <v/>
      </c>
      <c r="G22" s="37">
        <f>IF($A22&gt;LastT,0,E22-F22)</f>
        <v/>
      </c>
      <c r="H22" s="37">
        <f>IF($A22=0,PolicyCount,0)</f>
        <v/>
      </c>
      <c r="I22" s="37">
        <f>IF($A22&gt;LastT,0,IF(AND($C$3="mass",$A22=T0),(G22+H22)*$E$3,0))</f>
        <v/>
      </c>
      <c r="J22" s="37">
        <f>IF($A22&gt;LastT,0,G22+H22-I22)</f>
        <v/>
      </c>
      <c r="K22" s="37">
        <f>IF($A22&gt;LastT,0,J22*Policy_Sched!$C22*Policy_Sched!$D22*C22)</f>
        <v/>
      </c>
      <c r="L22" s="41">
        <f>J22*D22</f>
        <v/>
      </c>
      <c r="M22" s="38">
        <f>IF($A22&gt;LastT,0,(SizeAnnPrem*ExpsMaintAnnPrem+(SumAssured*ExpsMaintSA+ExpsMaintPol)*B22)*(1+IF($B$3="exps",$E$3,0)))</f>
        <v/>
      </c>
      <c r="N22" s="38">
        <f>SizePremium*J22</f>
        <v/>
      </c>
      <c r="O22" s="38">
        <f>SumAssured*K22</f>
        <v/>
      </c>
      <c r="P22" s="38">
        <f>Policy_Sched!$I22*(L22+I22)</f>
        <v/>
      </c>
      <c r="Q22" s="42">
        <f>O22+P22</f>
        <v/>
      </c>
      <c r="R22" s="38">
        <f>IF($A22=0,SizeExpsAcq0*H22,0)</f>
        <v/>
      </c>
      <c r="S22" s="38">
        <f>IF($A22=0,SizeExpsCommInit0*J22,0)</f>
        <v/>
      </c>
      <c r="T22" s="38">
        <f>Policy_Sched!$J22*J22</f>
        <v/>
      </c>
      <c r="U22" s="42">
        <f>M22*J22</f>
        <v/>
      </c>
      <c r="V22" s="42">
        <f>S22+T22+R22+U22</f>
        <v/>
      </c>
      <c r="W22" s="38">
        <f>IF($A22&gt;LastT,0,N22+W23/(1+Policy_Sched!$K22))</f>
        <v/>
      </c>
      <c r="X22" s="38">
        <f>IF($A22&gt;LastT,0,(-Q22+X23)/(1+Policy_Sched!$K22))</f>
        <v/>
      </c>
      <c r="Y22" s="38">
        <f>IF($A22&gt;LastT,0,-V22+Y23/(1+Policy_Sched!$K22))</f>
        <v/>
      </c>
      <c r="Z22" s="42">
        <f>W22+Y22+X22</f>
        <v/>
      </c>
      <c r="AA22" s="38">
        <f>IF($A22&gt;LastT,0,N22-V22-Q22/(1+Policy_Sched!$K22)+Z23/(1+Policy_Sched!$K22))</f>
        <v/>
      </c>
    </row>
    <row r="23">
      <c r="A23" s="30">
        <f>A22+1</f>
        <v/>
      </c>
      <c r="B23" s="31">
        <f>IF($A23&gt;LastT,0,IF($B$3="exps",B22*(1+InflRate+IF($A23&gt;=T0,$G$3,0)),B22/(1+InflRate)))</f>
        <v/>
      </c>
      <c r="C23" s="31">
        <f>IF($A23&gt;LastT,0,IF(AND($D$3&lt;&gt;0,$A23&gt;=T0,Policy_Sched!$B23&lt;LastAge),1+$D$3*$E$3,1))</f>
        <v/>
      </c>
      <c r="D23" s="36">
        <f>IF($A23&gt;LastT,0,IF($C$3="up",MIN(Policy_Sched!$E23*(1+IF($A23&gt;=T0,$E$3,0)),$F$3),IF($C$3="down",MAX(Policy_Sched!$E23*(1-IF($A23&gt;=T0,$E$3,0)),Policy_Sched!$E23-$F$3),Policy_Sched!$E23)))</f>
        <v/>
      </c>
      <c r="E23" s="37">
        <f>IF($A23&gt;LastT,0,J22-K22-L22)</f>
        <v/>
      </c>
      <c r="F23" s="37">
        <f>IF($A23&gt;LastT,0,IF($A23=PolicyTerm,E23,0))</f>
        <v/>
      </c>
      <c r="G23" s="37">
        <f>IF($A23&gt;LastT,0,E23-F23)</f>
        <v/>
      </c>
      <c r="H23" s="37">
        <f>IF($A23=0,PolicyCount,0)</f>
        <v/>
      </c>
      <c r="I23" s="37">
        <f>IF($A23&gt;LastT,0,IF(AND($C$3="mass",$A23=T0),(G23+H23)*$E$3,0))</f>
        <v/>
      </c>
      <c r="J23" s="37">
        <f>IF($A23&gt;LastT,0,G23+H23-I23)</f>
        <v/>
      </c>
      <c r="K23" s="37">
        <f>IF($A23&gt;LastT,0,J23*Policy_Sched!$C23*Policy_Sched!$D23*C23)</f>
        <v/>
      </c>
      <c r="L23" s="41">
        <f>J23*D23</f>
        <v/>
      </c>
      <c r="M23" s="38">
        <f>IF($A23&gt;LastT,0,(SizeAnnPrem*ExpsMaintAnnPrem+(SumAssured*ExpsMaintSA+ExpsMaintPol)*B23)*(1+IF($B$3="exps",$E$3,0)))</f>
        <v/>
      </c>
      <c r="N23" s="38">
        <f>SizePremium*J23</f>
        <v/>
      </c>
      <c r="O23" s="38">
        <f>SumAssured*K23</f>
        <v/>
      </c>
      <c r="P23" s="38">
        <f>Policy_Sched!$I23*(L23+I23)</f>
        <v/>
      </c>
      <c r="Q23" s="42">
        <f>O23+P23</f>
        <v/>
      </c>
      <c r="R23" s="38">
        <f>IF($A23=0,SizeExpsAcq0*H23,0)</f>
        <v/>
      </c>
      <c r="S23" s="38">
        <f>IF($A23=0,SizeExpsCommInit0*J23,0)</f>
        <v/>
      </c>
      <c r="T23" s="38">
        <f>Policy_Sched!$J23*J23</f>
        <v/>
      </c>
      <c r="U23" s="42">
        <f>M23*J23</f>
        <v/>
      </c>
      <c r="V23" s="42">
        <f>S23+T23+R23+U23</f>
        <v/>
      </c>
      <c r="W23" s="38">
        <f>IF($A23&gt;LastT,0,N23+W24/(1+Policy_Sched!$K23))</f>
        <v/>
      </c>
      <c r="X23" s="38">
        <f>IF($A23&gt;LastT,0,(-Q23+X24)/(1+Policy_Sched!$K23))</f>
        <v/>
      </c>
      <c r="Y23" s="38">
        <f>IF($A23&gt;LastT,0,-V23+Y24/(1+Policy_Sched!$K23))</f>
        <v/>
      </c>
      <c r="Z23" s="42">
        <f>W23+Y23+X23</f>
        <v/>
      </c>
      <c r="AA23" s="38">
        <f>IF($A23&gt;LastT,0,N23-V23-Q23/(1+Policy_Sched!$K23)+Z24/(1+Policy_Sched!$K23))</f>
        <v/>
      </c>
    </row>
    <row r="24">
      <c r="A24" s="30">
        <f>A23+1</f>
        <v/>
      </c>
      <c r="B24" s="31">
        <f>IF($A24&gt;LastT,0,IF($B$3="exps",B23*(1+InflRate+IF($A24&gt;=T0,$G$3,0)),B23/(1+InflRate)))</f>
        <v/>
      </c>
      <c r="C24" s="31">
        <f>IF($A24&gt;LastT,0,IF(AND($D$3&lt;&gt;0,$A24&gt;=T0,Policy_Sched!$B24&lt;LastAge),1+$D$3*$E$3,1))</f>
        <v/>
      </c>
      <c r="D24" s="36">
        <f>IF($A24&gt;LastT,0,IF($C$3="up",MIN(Policy_Sched!$E24*(1+IF($A24&gt;=T0,$E$3,0)),$F$3),IF($C$3="down",MAX(Policy_Sched!$E24*(1-IF($A24&gt;=T0,$E$3,0)),Policy_Sched!$E24-$F$3),Policy_Sched!$E24)))</f>
        <v/>
      </c>
      <c r="E24" s="37">
        <f>IF($A24&gt;LastT,0,J23-K23-L23)</f>
        <v/>
      </c>
      <c r="F24" s="37">
        <f>IF($A24&gt;LastT,0,IF($A24=PolicyTerm,E24,0))</f>
        <v/>
      </c>
      <c r="G24" s="37">
        <f>IF($A24&gt;LastT,0,E24-F24)</f>
        <v/>
      </c>
      <c r="H24" s="37">
        <f>IF($A24=0,PolicyCount,0)</f>
        <v/>
      </c>
      <c r="I24" s="37">
        <f>IF($A24&gt;LastT,0,IF(AND($C$3="mass",$A24=T0),(G24+H24)*$E$3,0))</f>
        <v/>
      </c>
      <c r="J24" s="37">
        <f>IF($A24&gt;LastT,0,G24+H24-I24)</f>
        <v/>
      </c>
      <c r="K24" s="37">
        <f>IF($A24&gt;LastT,0,J24*Policy_Sched!$C24*Policy_Sched!$D24*C24)</f>
        <v/>
      </c>
      <c r="L24" s="41">
        <f>J24*D24</f>
        <v/>
      </c>
      <c r="M24" s="38">
        <f>IF($A24&gt;LastT,0,(SizeAnnPrem*ExpsMaintAnnPrem+(SumAssured*ExpsMaintSA+ExpsMaintPol)*B24)*(1+IF($B$3="exps",$E$3,0)))</f>
        <v/>
      </c>
      <c r="N24" s="38">
        <f>SizePremium*J24</f>
        <v/>
      </c>
      <c r="O24" s="38">
        <f>SumAssured*K24</f>
        <v/>
      </c>
      <c r="P24" s="38">
        <f>Policy_Sched!$I24*(L24+I24)</f>
        <v/>
      </c>
      <c r="Q24" s="42">
        <f>O24+P24</f>
        <v/>
      </c>
      <c r="R24" s="38">
        <f>IF($A24=0,SizeExpsAcq0*H24,0)</f>
        <v/>
      </c>
      <c r="S24" s="38">
        <f>IF($A24=0,SizeExpsCommInit0*J24,0)</f>
        <v/>
      </c>
      <c r="T24" s="38">
        <f>Policy_Sched!$J24*J24</f>
        <v/>
      </c>
      <c r="U24" s="42">
        <f>M24*J24</f>
        <v/>
      </c>
      <c r="V24" s="42">
        <f>S24+T24+R24+U24</f>
        <v/>
      </c>
      <c r="W24" s="38">
        <f>IF($A24&gt;LastT,0,N24+W25/(1+Policy_Sched!$K24))</f>
        <v/>
      </c>
      <c r="X24" s="38">
        <f>IF($A24&gt;LastT,0,(-Q24+X25)/(1+Policy_Sched!$K24))</f>
        <v/>
      </c>
      <c r="Y24" s="38">
        <f>IF($A24&gt;LastT,0,-V24+Y25/(1+Policy_Sched!$K24))</f>
        <v/>
      </c>
      <c r="Z24" s="42">
        <f>W24+Y24+X24</f>
        <v/>
      </c>
      <c r="AA24" s="38">
        <f>IF($A24&gt;LastT,0,N24-V24-Q24/(1+Policy_Sched!$K24)+Z25/(1+Policy_Sched!$K24))</f>
        <v/>
      </c>
    </row>
    <row r="25">
      <c r="A25" s="30">
        <f>A24+1</f>
        <v/>
      </c>
      <c r="B25" s="31">
        <f>IF($A25&gt;LastT,0,IF($B$3="exps",B24*(1+InflRate+IF($A25&gt;=T0,$G$3,0)),B24/(1+InflRate)))</f>
        <v/>
      </c>
      <c r="C25" s="31">
        <f>IF($A25&gt;LastT,0,IF(AND($D$3&lt;&gt;0,$A25&gt;=T0,Policy_Sched!$B25&lt;LastAge),1+$D$3*$E$3,1))</f>
        <v/>
      </c>
      <c r="D25" s="36">
        <f>IF($A25&gt;LastT,0,IF($C$3="up",MIN(Policy_Sched!$E25*(1+IF($A25&gt;=T0,$E$3,0)),$F$3),IF($C$3="down",MAX(Policy_Sched!$E25*(1-IF($A25&gt;=T0,$E$3,0)),Policy_Sched!$E25-$F$3),Policy_Sched!$E25)))</f>
        <v/>
      </c>
      <c r="E25" s="37">
        <f>IF($A25&gt;LastT,0,J24-K24-L24)</f>
        <v/>
      </c>
      <c r="F25" s="37">
        <f>IF($A25&gt;LastT,0,IF($A25=PolicyTerm,E25,0))</f>
        <v/>
      </c>
      <c r="G25" s="37">
        <f>IF($A25&gt;LastT,0,E25-F25)</f>
        <v/>
      </c>
      <c r="H25" s="37">
        <f>IF($A25=0,PolicyCount,0)</f>
        <v/>
      </c>
      <c r="I25" s="37">
        <f>IF($A25&gt;LastT,0,IF(AND($C$3="mass",$A25=T0),(G25+H25)*$E$3,0))</f>
        <v/>
      </c>
      <c r="J25" s="37">
        <f>IF($A25&gt;LastT,0,G25+H25-I25)</f>
        <v/>
      </c>
      <c r="K25" s="37">
        <f>IF($A25&gt;LastT,0,J25*Policy_Sched!$C25*Policy_Sched!$D25*C25)</f>
        <v/>
      </c>
      <c r="L25" s="41">
        <f>J25*D25</f>
        <v/>
      </c>
      <c r="M25" s="38">
        <f>IF($A25&gt;LastT,0,(SizeAnnPrem*ExpsMaintAnnPrem+(SumAssured*ExpsMaintSA+ExpsMaintPol)*B25)*(1+IF($B$3="exps",$E$3,0)))</f>
        <v/>
      </c>
      <c r="N25" s="38">
        <f>SizePremium*J25</f>
        <v/>
      </c>
      <c r="O25" s="38">
        <f>SumAssured*K25</f>
        <v/>
      </c>
      <c r="P25" s="38">
        <f>Policy_Sched!$I25*(L25+I25)</f>
        <v/>
      </c>
      <c r="Q25" s="42">
        <f>O25+P25</f>
        <v/>
      </c>
      <c r="R25" s="38">
        <f>IF($A25=0,SizeExpsAcq0*H25,0)</f>
        <v/>
      </c>
      <c r="S25" s="38">
        <f>IF($A25=0,SizeExpsCommInit0*J25,0)</f>
        <v/>
      </c>
      <c r="T25" s="38">
        <f>Policy_Sched!$J25*J25</f>
        <v/>
      </c>
      <c r="U25" s="42">
        <f>M25*J25</f>
        <v/>
      </c>
      <c r="V25" s="42">
        <f>S25+T25+R25+U25</f>
        <v/>
      </c>
      <c r="W25" s="38">
        <f>IF($A25&gt;LastT,0,N25+W26/(1+Policy_Sched!$K25))</f>
        <v/>
      </c>
      <c r="X25" s="38">
        <f>IF($A25&gt;LastT,0,(-Q25+X26)/(1+Policy_Sched!$K25))</f>
        <v/>
      </c>
      <c r="Y25" s="38">
        <f>IF($A25&gt;LastT,0,-V25+Y26/(1+Policy_Sched!$K25))</f>
        <v/>
      </c>
      <c r="Z25" s="42">
        <f>W25+Y25+X25</f>
        <v/>
      </c>
      <c r="AA25" s="38">
        <f>IF($A25&gt;LastT,0,N25-V25-Q25/(1+Policy_Sched!$K25)+Z26/(1+Policy_Sched!$K25))</f>
        <v/>
      </c>
    </row>
    <row r="26">
      <c r="A26" s="30">
        <f>A25+1</f>
        <v/>
      </c>
      <c r="B26" s="31">
        <f>IF($A26&gt;LastT,0,IF($B$3="exps",B25*(1+InflRate+IF($A26&gt;=T0,$G$3,0)),B25/(1+InflRate)))</f>
        <v/>
      </c>
      <c r="C26" s="31">
        <f>IF($A26&gt;LastT,0,IF(AND($D$3&lt;&gt;0,$A26&gt;=T0,Policy_Sched!$B26&lt;LastAge),1+$D$3*$E$3,1))</f>
        <v/>
      </c>
      <c r="D26" s="36">
        <f>IF($A26&gt;LastT,0,IF($C$3="up",MIN(Policy_Sched!$E26*(1+IF($A26&gt;=T0,$E$3,0)),$F$3),IF($C$3="down",MAX(Policy_Sched!$E26*(1-IF($A26&gt;=T0,$E$3,0)),Policy_Sched!$E26-$F$3),Policy_Sched!$E26)))</f>
        <v/>
      </c>
      <c r="E26" s="37">
        <f>IF($A26&gt;LastT,0,J25-K25-L25)</f>
        <v/>
      </c>
      <c r="F26" s="37">
        <f>IF($A26&gt;LastT,0,IF($A26=PolicyTerm,E26,0))</f>
        <v/>
      </c>
      <c r="G26" s="37">
        <f>IF($A26&gt;LastT,0,E26-F26)</f>
        <v/>
      </c>
      <c r="H26" s="37">
        <f>IF($A26=0,PolicyCount,0)</f>
        <v/>
      </c>
      <c r="I26" s="37">
        <f>IF($A26&gt;LastT,0,IF(AND($C$3="mass",$A26=T0),(G26+H26)*$E$3,0))</f>
        <v/>
      </c>
      <c r="J26" s="37">
        <f>IF($A26&gt;LastT,0,G26+H26-I26)</f>
        <v/>
      </c>
      <c r="K26" s="37">
        <f>IF($A26&gt;LastT,0,J26*Policy_Sched!$C26*Policy_Sched!$D26*C26)</f>
        <v/>
      </c>
      <c r="L26" s="41">
        <f>J26*D26</f>
        <v/>
      </c>
      <c r="M26" s="38">
        <f>IF($A26&gt;LastT,0,(SizeAnnPrem*ExpsMaintAnnPrem+(SumAssured*ExpsMaintSA+ExpsMaintPol)*B26)*(1+IF($B$3="exps",$E$3,0)))</f>
        <v/>
      </c>
      <c r="N26" s="38">
        <f>SizePremium*J26</f>
        <v/>
      </c>
      <c r="O26" s="38">
        <f>SumAssured*K26</f>
        <v/>
      </c>
      <c r="P26" s="38">
        <f>Policy_Sched!$I26*(L26+I26)</f>
        <v/>
      </c>
      <c r="Q26" s="42">
        <f>O26+P26</f>
        <v/>
      </c>
      <c r="R26" s="38">
        <f>IF($A26=0,SizeExpsAcq0*H26,0)</f>
        <v/>
      </c>
      <c r="S26" s="38">
        <f>IF($A26=0,SizeExpsCommInit0*J26,0)</f>
        <v/>
      </c>
      <c r="T26" s="38">
        <f>Policy_Sched!$J26*J26</f>
        <v/>
      </c>
      <c r="U26" s="42">
        <f>M26*J26</f>
        <v/>
      </c>
      <c r="V26" s="42">
        <f>S26+T26+R26+U26</f>
        <v/>
      </c>
      <c r="W26" s="38">
        <f>IF($A26&gt;LastT,0,N26+W27/(1+Policy_Sched!$K26))</f>
        <v/>
      </c>
      <c r="X26" s="38">
        <f>IF($A26&gt;LastT,0,(-Q26+X27)/(1+Policy_Sched!$K26))</f>
        <v/>
      </c>
      <c r="Y26" s="38">
        <f>IF($A26&gt;LastT,0,-V26+Y27/(1+Policy_Sched!$K26))</f>
        <v/>
      </c>
      <c r="Z26" s="42">
        <f>W26+Y26+X26</f>
        <v/>
      </c>
      <c r="AA26" s="38">
        <f>IF($A26&gt;LastT,0,N26-V26-Q26/(1+Policy_Sched!$K26)+Z27/(1+Policy_Sched!$K26))</f>
        <v/>
      </c>
    </row>
    <row r="27">
      <c r="A27" s="30">
        <f>A26+1</f>
        <v/>
      </c>
      <c r="B27" s="31">
        <f>IF($A27&gt;LastT,0,IF($B$3="exps",B26*(1+InflRate+IF($A27&gt;=T0,$G$3,0)),B26/(1+InflRate)))</f>
        <v/>
      </c>
      <c r="C27" s="31">
        <f>IF($A27&gt;LastT,0,IF(AND($D$3&lt;&gt;0,$A27&gt;=T0,Policy_Sched!$B27&lt;LastAge),1+$D$3*$E$3,1))</f>
        <v/>
      </c>
      <c r="D27" s="36">
        <f>IF($A27&gt;LastT,0,IF($C$3="up",MIN(Policy_Sched!$E27*(1+IF($A27&gt;=T0,$E$3,0)),$F$3),IF($C$3="down",MAX(Policy_Sched!$E27*(1-IF($A27&gt;=T0,$E$3,0)),Policy_Sched!$E27-$F$3),Policy_Sched!$E27)))</f>
        <v/>
      </c>
      <c r="E27" s="37">
        <f>IF($A27&gt;LastT,0,J26-K26-L26)</f>
        <v/>
      </c>
      <c r="F27" s="37">
        <f>IF($A27&gt;LastT,0,IF($A27=PolicyTerm,E27,0))</f>
        <v/>
      </c>
      <c r="G27" s="37">
        <f>IF($A27&gt;LastT,0,E27-F27)</f>
        <v/>
      </c>
      <c r="H27" s="37">
        <f>IF($A27=0,PolicyCount,0)</f>
        <v/>
      </c>
      <c r="I27" s="37">
        <f>IF($A27&gt;LastT,0,IF(AND($C$3="mass",$A27=T0),(G27+H27)*$E$3,0))</f>
        <v/>
      </c>
      <c r="J27" s="37">
        <f>IF($A27&gt;LastT,0,G27+H27-I27)</f>
        <v/>
      </c>
      <c r="K27" s="37">
        <f>IF($A27&gt;LastT,0,J27*Policy_Sched!$C27*Policy_Sched!$D27*C27)</f>
        <v/>
      </c>
      <c r="L27" s="41">
        <f>J27*D27</f>
        <v/>
      </c>
      <c r="M27" s="38">
        <f>IF($A27&gt;LastT,0,(SizeAnnPrem*ExpsMaintAnnPrem+(SumAssured*ExpsMaintSA+ExpsMaintPol)*B27)*(1+IF($B$3="exps",$E$3,0)))</f>
        <v/>
      </c>
      <c r="N27" s="38">
        <f>SizePremium*J27</f>
        <v/>
      </c>
      <c r="O27" s="38">
        <f>SumAssured*K27</f>
        <v/>
      </c>
      <c r="P27" s="38">
        <f>Policy_Sched!$I27*(L27+I27)</f>
        <v/>
      </c>
      <c r="Q27" s="42">
        <f>O27+P27</f>
        <v/>
      </c>
      <c r="R27" s="38">
        <f>IF($A27=0,SizeExpsAcq0*H27,0)</f>
        <v/>
      </c>
      <c r="S27" s="38">
        <f>IF($A27=0,SizeExpsCommInit0*J27,0)</f>
        <v/>
      </c>
      <c r="T27" s="38">
        <f>Policy_Sched!$J27*J27</f>
        <v/>
      </c>
      <c r="U27" s="42">
        <f>M27*J27</f>
        <v/>
      </c>
      <c r="V27" s="42">
        <f>S27+T27+R27+U27</f>
        <v/>
      </c>
      <c r="W27" s="38">
        <f>IF($A27&gt;LastT,0,N27+W28/(1+Policy_Sched!$K27))</f>
        <v/>
      </c>
      <c r="X27" s="38">
        <f>IF($A27&gt;LastT,0,(-Q27+X28)/(1+Policy_Sched!$K27))</f>
        <v/>
      </c>
      <c r="Y27" s="38">
        <f>IF($A27&gt;LastT,0,-V27+Y28/(1+Policy_Sched!$K27))</f>
        <v/>
      </c>
      <c r="Z27" s="42">
        <f>W27+Y27+X27</f>
        <v/>
      </c>
      <c r="AA27" s="38">
        <f>IF($A27&gt;LastT,0,N27-V27-Q27/(1+Policy_Sched!$K27)+Z28/(1+Policy_Sched!$K27))</f>
        <v/>
      </c>
    </row>
    <row r="28">
      <c r="A28" s="30">
        <f>A27+1</f>
        <v/>
      </c>
      <c r="B28" s="31">
        <f>IF($A28&gt;LastT,0,IF($B$3="exps",B27*(1+InflRate+IF($A28&gt;=T0,$G$3,0)),B27/(1+InflRate)))</f>
        <v/>
      </c>
      <c r="C28" s="31">
        <f>IF($A28&gt;LastT,0,IF(AND($D$3&lt;&gt;0,$A28&gt;=T0,Policy_Sched!$B28&lt;LastAge),1+$D$3*$E$3,1))</f>
        <v/>
      </c>
      <c r="D28" s="36">
        <f>IF($A28&gt;LastT,0,IF($C$3="up",MIN(Policy_Sched!$E28*(1+IF($A28&gt;=T0,$E$3,0)),$F$3),IF($C$3="down",MAX(Policy_Sched!$E28*(1-IF($A28&gt;=T0,$E$3,0)),Policy_Sched!$E28-$F$3),Policy_Sched!$E28)))</f>
        <v/>
      </c>
      <c r="E28" s="37">
        <f>IF($A28&gt;LastT,0,J27-K27-L27)</f>
        <v/>
      </c>
      <c r="F28" s="37">
        <f>IF($A28&gt;LastT,0,IF($A28=PolicyTerm,E28,0))</f>
        <v/>
      </c>
      <c r="G28" s="37">
        <f>IF($A28&gt;LastT,0,E28-F28)</f>
        <v/>
      </c>
      <c r="H28" s="37">
        <f>IF($A28=0,PolicyCount,0)</f>
        <v/>
      </c>
      <c r="I28" s="37">
        <f>IF($A28&gt;LastT,0,IF(AND($C$3="mass",$A28=T0),(G28+H28)*$E$3,0))</f>
        <v/>
      </c>
      <c r="J28" s="37">
        <f>IF($A28&gt;LastT,0,G28+H28-I28)</f>
        <v/>
      </c>
      <c r="K28" s="37">
        <f>IF($A28&gt;LastT,0,J28*Policy_Sched!$C28*Policy_Sched!$D28*C28)</f>
        <v/>
      </c>
      <c r="L28" s="41">
        <f>J28*D28</f>
        <v/>
      </c>
      <c r="M28" s="38">
        <f>IF($A28&gt;LastT,0,(SizeAnnPrem*ExpsMaintAnnPrem+(SumAssured*ExpsMaintSA+ExpsMaintPol)*B28)*(1+IF($B$3="exps",$E$3,0)))</f>
        <v/>
      </c>
      <c r="N28" s="38">
        <f>SizePremium*J28</f>
        <v/>
      </c>
      <c r="O28" s="38">
        <f>SumAssured*K28</f>
        <v/>
      </c>
      <c r="P28" s="38">
        <f>Policy_Sched!$I28*(L28+I28)</f>
        <v/>
      </c>
      <c r="Q28" s="42">
        <f>O28+P28</f>
        <v/>
      </c>
      <c r="R28" s="38">
        <f>IF($A28=0,SizeExpsAcq0*H28,0)</f>
        <v/>
      </c>
      <c r="S28" s="38">
        <f>IF($A28=0,SizeExpsCommInit0*J28,0)</f>
        <v/>
      </c>
      <c r="T28" s="38">
        <f>Policy_Sched!$J28*J28</f>
        <v/>
      </c>
      <c r="U28" s="42">
        <f>M28*J28</f>
        <v/>
      </c>
      <c r="V28" s="42">
        <f>S28+T28+R28+U28</f>
        <v/>
      </c>
      <c r="W28" s="38">
        <f>IF($A28&gt;LastT,0,N28+W29/(1+Policy_Sched!$K28))</f>
        <v/>
      </c>
      <c r="X28" s="38">
        <f>IF($A28&gt;LastT,0,(-Q28+X29)/(1+Policy_Sched!$K28))</f>
        <v/>
      </c>
      <c r="Y28" s="38">
        <f>IF($A28&gt;LastT,0,-V28+Y29/(1+Policy_Sched!$K28))</f>
        <v/>
      </c>
      <c r="Z28" s="42">
        <f>W28+Y28+X28</f>
        <v/>
      </c>
      <c r="AA28" s="38">
        <f>IF($A28&gt;LastT,0,N28-V28-Q28/(1+Policy_Sched!$K28)+Z29/(1+Policy_Sched!$K28))</f>
        <v/>
      </c>
    </row>
    <row r="29">
      <c r="A29" s="30">
        <f>A28+1</f>
        <v/>
      </c>
      <c r="B29" s="31">
        <f>IF($A29&gt;LastT,0,IF($B$3="exps",B28*(1+InflRate+IF($A29&gt;=T0,$G$3,0)),B28/(1+InflRate)))</f>
        <v/>
      </c>
      <c r="C29" s="31">
        <f>IF($A29&gt;LastT,0,IF(AND($D$3&lt;&gt;0,$A29&gt;=T0,Policy_Sched!$B29&lt;LastAge),1+$D$3*$E$3,1))</f>
        <v/>
      </c>
      <c r="D29" s="36">
        <f>IF($A29&gt;LastT,0,IF($C$3="up",MIN(Policy_Sched!$E29*(1+IF($A29&gt;=T0,$E$3,0)),$F$3),IF($C$3="down",MAX(Policy_Sched!$E29*(1-IF($A29&gt;=T0,$E$3,0)),Policy_Sched!$E29-$F$3),Policy_Sched!$E29)))</f>
        <v/>
      </c>
      <c r="E29" s="37">
        <f>IF($A29&gt;LastT,0,J28-K28-L28)</f>
        <v/>
      </c>
      <c r="F29" s="37">
        <f>IF($A29&gt;LastT,0,IF($A29=PolicyTerm,E29,0))</f>
        <v/>
      </c>
      <c r="G29" s="37">
        <f>IF($A29&gt;LastT,0,E29-F29)</f>
        <v/>
      </c>
      <c r="H29" s="37">
        <f>IF($A29=0,PolicyCount,0)</f>
        <v/>
      </c>
      <c r="I29" s="37">
        <f>IF($A29&gt;LastT,0,IF(AND($C$3="mass",$A29=T0),(G29+H29)*$E$3,0))</f>
        <v/>
      </c>
      <c r="J29" s="37">
        <f>IF($A29&gt;LastT,0,G29+H29-I29)</f>
        <v/>
      </c>
      <c r="K29" s="37">
        <f>IF($A29&gt;LastT,0,J29*Policy_Sched!$C29*Policy_Sched!$D29*C29)</f>
        <v/>
      </c>
      <c r="L29" s="41">
        <f>J29*D29</f>
        <v/>
      </c>
      <c r="M29" s="38">
        <f>IF($A29&gt;LastT,0,(SizeAnnPrem*ExpsMaintAnnPrem+(SumAssured*ExpsMaintSA+ExpsMaintPol)*B29)*(1+IF($B$3="exps",$E$3,0)))</f>
        <v/>
      </c>
      <c r="N29" s="38">
        <f>SizePremium*J29</f>
        <v/>
      </c>
      <c r="O29" s="38">
        <f>SumAssured*K29</f>
        <v/>
      </c>
      <c r="P29" s="38">
        <f>Policy_Sched!$I29*(L29+I29)</f>
        <v/>
      </c>
      <c r="Q29" s="42">
        <f>O29+P29</f>
        <v/>
      </c>
      <c r="R29" s="38">
        <f>IF($A29=0,SizeExpsAcq0*H29,0)</f>
        <v/>
      </c>
      <c r="S29" s="38">
        <f>IF($A29=0,SizeExpsCommInit0*J29,0)</f>
        <v/>
      </c>
      <c r="T29" s="38">
        <f>Policy_Sched!$J29*J29</f>
        <v/>
      </c>
      <c r="U29" s="42">
        <f>M29*J29</f>
        <v/>
      </c>
      <c r="V29" s="42">
        <f>S29+T29+R29+U29</f>
        <v/>
      </c>
      <c r="W29" s="38">
        <f>IF($A29&gt;LastT,0,N29+W30/(1+Policy_Sched!$K29))</f>
        <v/>
      </c>
      <c r="X29" s="38">
        <f>IF($A29&gt;LastT,0,(-Q29+X30)/(1+Policy_Sched!$K29))</f>
        <v/>
      </c>
      <c r="Y29" s="38">
        <f>IF($A29&gt;LastT,0,-V29+Y30/(1+Policy_Sched!$K29))</f>
        <v/>
      </c>
      <c r="Z29" s="42">
        <f>W29+Y29+X29</f>
        <v/>
      </c>
      <c r="AA29" s="38">
        <f>IF($A29&gt;LastT,0,N29-V29-Q29/(1+Policy_Sched!$K29)+Z30/(1+Policy_Sched!$K29))</f>
        <v/>
      </c>
    </row>
    <row r="30">
      <c r="A30" s="30">
        <f>A29+1</f>
        <v/>
      </c>
      <c r="B30" s="31">
        <f>IF($A30&gt;LastT,0,IF($B$3="exps",B29*(1+InflRate+IF($A30&gt;=T0,$G$3,0)),B29/(1+InflRate)))</f>
        <v/>
      </c>
      <c r="C30" s="31">
        <f>IF($A30&gt;LastT,0,IF(AND($D$3&lt;&gt;0,$A30&gt;=T0,Policy_Sched!$B30&lt;LastAge),1+$D$3*$E$3,1))</f>
        <v/>
      </c>
      <c r="D30" s="36">
        <f>IF($A30&gt;LastT,0,IF($C$3="up",MIN(Policy_Sched!$E30*(1+IF($A30&gt;=T0,$E$3,0)),$F$3),IF($C$3="down",MAX(Policy_Sched!$E30*(1-IF($A30&gt;=T0,$E$3,0)),Policy_Sched!$E30-$F$3),Policy_Sched!$E30)))</f>
        <v/>
      </c>
      <c r="E30" s="37">
        <f>IF($A30&gt;LastT,0,J29-K29-L29)</f>
        <v/>
      </c>
      <c r="F30" s="37">
        <f>IF($A30&gt;LastT,0,IF($A30=PolicyTerm,E30,0))</f>
        <v/>
      </c>
      <c r="G30" s="37">
        <f>IF($A30&gt;LastT,0,E30-F30)</f>
        <v/>
      </c>
      <c r="H30" s="37">
        <f>IF($A30=0,PolicyCount,0)</f>
        <v/>
      </c>
      <c r="I30" s="37">
        <f>IF($A30&gt;LastT,0,IF(AND($C$3="mass",$A30=T0),(G30+H30)*$E$3,0))</f>
        <v/>
      </c>
      <c r="J30" s="37">
        <f>IF($A30&gt;LastT,0,G30+H30-I30)</f>
        <v/>
      </c>
      <c r="K30" s="37">
        <f>IF($A30&gt;LastT,0,J30*Policy_Sched!$C30*Policy_Sched!$D30*C30)</f>
        <v/>
      </c>
      <c r="L30" s="41">
        <f>J30*D30</f>
        <v/>
      </c>
      <c r="M30" s="38">
        <f>IF($A30&gt;LastT,0,(SizeAnnPrem*ExpsMaintAnnPrem+(SumAssured*ExpsMaintSA+ExpsMaintPol)*B30)*(1+IF($B$3="exps",$E$3,0)))</f>
        <v/>
      </c>
      <c r="N30" s="38">
        <f>SizePremium*J30</f>
        <v/>
      </c>
      <c r="O30" s="38">
        <f>SumAssured*K30</f>
        <v/>
      </c>
      <c r="P30" s="38">
        <f>Policy_Sched!$I30*(L30+I30)</f>
        <v/>
      </c>
      <c r="Q30" s="42">
        <f>O30+P30</f>
        <v/>
      </c>
      <c r="R30" s="38">
        <f>IF($A30=0,SizeExpsAcq0*H30,0)</f>
        <v/>
      </c>
      <c r="S30" s="38">
        <f>IF($A30=0,SizeExpsCommInit0*J30,0)</f>
        <v/>
      </c>
      <c r="T30" s="38">
        <f>Policy_Sched!$J30*J30</f>
        <v/>
      </c>
      <c r="U30" s="42">
        <f>M30*J30</f>
        <v/>
      </c>
      <c r="V30" s="42">
        <f>S30+T30+R30+U30</f>
        <v/>
      </c>
      <c r="W30" s="38">
        <f>IF($A30&gt;LastT,0,N30+W31/(1+Policy_Sched!$K30))</f>
        <v/>
      </c>
      <c r="X30" s="38">
        <f>IF($A30&gt;LastT,0,(-Q30+X31)/(1+Policy_Sched!$K30))</f>
        <v/>
      </c>
      <c r="Y30" s="38">
        <f>IF($A30&gt;LastT,0,-V30+Y31/(1+Policy_Sched!$K30))</f>
        <v/>
      </c>
      <c r="Z30" s="42">
        <f>W30+Y30+X30</f>
        <v/>
      </c>
      <c r="AA30" s="38">
        <f>IF($A30&gt;LastT,0,N30-V30-Q30/(1+Policy_Sched!$K30)+Z31/(1+Policy_Sched!$K30))</f>
        <v/>
      </c>
    </row>
    <row r="31">
      <c r="A31" s="30">
        <f>A30+1</f>
        <v/>
      </c>
      <c r="B31" s="31">
        <f>IF($A31&gt;LastT,0,IF($B$3="exps",B30*(1+InflRate+IF($A31&gt;=T0,$G$3,0)),B30/(1+InflRate)))</f>
        <v/>
      </c>
      <c r="C31" s="31">
        <f>IF($A31&gt;LastT,0,IF(AND($D$3&lt;&gt;0,$A31&gt;=T0,Policy_Sched!$B31&lt;LastAge),1+$D$3*$E$3,1))</f>
        <v/>
      </c>
      <c r="D31" s="36">
        <f>IF($A31&gt;LastT,0,IF($C$3="up",MIN(Policy_Sched!$E31*(1+IF($A31&gt;=T0,$E$3,0)),$F$3),IF($C$3="down",MAX(Policy_Sched!$E31*(1-IF($A31&gt;=T0,$E$3,0)),Policy_Sched!$E31-$F$3),Policy_Sched!$E31)))</f>
        <v/>
      </c>
      <c r="E31" s="37">
        <f>IF($A31&gt;LastT,0,J30-K30-L30)</f>
        <v/>
      </c>
      <c r="F31" s="37">
        <f>IF($A31&gt;LastT,0,IF($A31=PolicyTerm,E31,0))</f>
        <v/>
      </c>
      <c r="G31" s="37">
        <f>IF($A31&gt;LastT,0,E31-F31)</f>
        <v/>
      </c>
      <c r="H31" s="37">
        <f>IF($A31=0,PolicyCount,0)</f>
        <v/>
      </c>
      <c r="I31" s="37">
        <f>IF($A31&gt;LastT,0,IF(AND($C$3="mass",$A31=T0),(G31+H31)*$E$3,0))</f>
        <v/>
      </c>
      <c r="J31" s="37">
        <f>IF($A31&gt;LastT,0,G31+H31-I31)</f>
        <v/>
      </c>
      <c r="K31" s="37">
        <f>IF($A31&gt;LastT,0,J31*Policy_Sched!$C31*Policy_Sched!$D31*C31)</f>
        <v/>
      </c>
      <c r="L31" s="41">
        <f>J31*D31</f>
        <v/>
      </c>
      <c r="M31" s="38">
        <f>IF($A31&gt;LastT,0,(SizeAnnPrem*ExpsMaintAnnPrem+(SumAssured*ExpsMaintSA+ExpsMaintPol)*B31)*(1+IF($B$3="exps",$E$3,0)))</f>
        <v/>
      </c>
      <c r="N31" s="38">
        <f>SizePremium*J31</f>
        <v/>
      </c>
      <c r="O31" s="38">
        <f>SumAssured*K31</f>
        <v/>
      </c>
      <c r="P31" s="38">
        <f>Policy_Sched!$I31*(L31+I31)</f>
        <v/>
      </c>
      <c r="Q31" s="42">
        <f>O31+P31</f>
        <v/>
      </c>
      <c r="R31" s="38">
        <f>IF($A31=0,SizeExpsAcq0*H31,0)</f>
        <v/>
      </c>
      <c r="S31" s="38">
        <f>IF($A31=0,SizeExpsCommInit0*J31,0)</f>
        <v/>
      </c>
      <c r="T31" s="38">
        <f>Policy_Sched!$J31*J31</f>
        <v/>
      </c>
      <c r="U31" s="42">
        <f>M31*J31</f>
        <v/>
      </c>
      <c r="V31" s="42">
        <f>S31+T31+R31+U31</f>
        <v/>
      </c>
      <c r="W31" s="38">
        <f>IF($A31&gt;LastT,0,N31+W32/(1+Policy_Sched!$K31))</f>
        <v/>
      </c>
      <c r="X31" s="38">
        <f>IF($A31&gt;LastT,0,(-Q31+X32)/(1+Policy_Sched!$K31))</f>
        <v/>
      </c>
      <c r="Y31" s="38">
        <f>IF($A31&gt;LastT,0,-V31+Y32/(1+Policy_Sched!$K31))</f>
        <v/>
      </c>
      <c r="Z31" s="42">
        <f>W31+Y31+X31</f>
        <v/>
      </c>
      <c r="AA31" s="38">
        <f>IF($A31&gt;LastT,0,N31-V31-Q31/(1+Policy_Sched!$K31)+Z32/(1+Policy_Sched!$K31))</f>
        <v/>
      </c>
    </row>
    <row r="32">
      <c r="A32" s="30">
        <f>A31+1</f>
        <v/>
      </c>
      <c r="B32" s="31">
        <f>IF($A32&gt;LastT,0,IF($B$3="exps",B31*(1+InflRate+IF($A32&gt;=T0,$G$3,0)),B31/(1+InflRate)))</f>
        <v/>
      </c>
      <c r="C32" s="31">
        <f>IF($A32&gt;LastT,0,IF(AND($D$3&lt;&gt;0,$A32&gt;=T0,Policy_Sched!$B32&lt;LastAge),1+$D$3*$E$3,1))</f>
        <v/>
      </c>
      <c r="D32" s="36">
        <f>IF($A32&gt;LastT,0,IF($C$3="up",MIN(Policy_Sched!$E32*(1+IF($A32&gt;=T0,$E$3,0)),$F$3),IF($C$3="down",MAX(Policy_Sched!$E32*(1-IF($A32&gt;=T0,$E$3,0)),Policy_Sched!$E32-$F$3),Policy_Sched!$E32)))</f>
        <v/>
      </c>
      <c r="E32" s="37">
        <f>IF($A32&gt;LastT,0,J31-K31-L31)</f>
        <v/>
      </c>
      <c r="F32" s="37">
        <f>IF($A32&gt;LastT,0,IF($A32=PolicyTerm,E32,0))</f>
        <v/>
      </c>
      <c r="G32" s="37">
        <f>IF($A32&gt;LastT,0,E32-F32)</f>
        <v/>
      </c>
      <c r="H32" s="37">
        <f>IF($A32=0,PolicyCount,0)</f>
        <v/>
      </c>
      <c r="I32" s="37">
        <f>IF($A32&gt;LastT,0,IF(AND($C$3="mass",$A32=T0),(G32+H32)*$E$3,0))</f>
        <v/>
      </c>
      <c r="J32" s="37">
        <f>IF($A32&gt;LastT,0,G32+H32-I32)</f>
        <v/>
      </c>
      <c r="K32" s="37">
        <f>IF($A32&gt;LastT,0,J32*Policy_Sched!$C32*Policy_Sched!$D32*C32)</f>
        <v/>
      </c>
      <c r="L32" s="41">
        <f>J32*D32</f>
        <v/>
      </c>
      <c r="M32" s="38">
        <f>IF($A32&gt;LastT,0,(SizeAnnPrem*ExpsMaintAnnPrem+(SumAssured*ExpsMaintSA+ExpsMaintPol)*B32)*(1+IF($B$3="exps",$E$3,0)))</f>
        <v/>
      </c>
      <c r="N32" s="38">
        <f>SizePremium*J32</f>
        <v/>
      </c>
      <c r="O32" s="38">
        <f>SumAssured*K32</f>
        <v/>
      </c>
      <c r="P32" s="38">
        <f>Policy_Sched!$I32*(L32+I32)</f>
        <v/>
      </c>
      <c r="Q32" s="42">
        <f>O32+P32</f>
        <v/>
      </c>
      <c r="R32" s="38">
        <f>IF($A32=0,SizeExpsAcq0*H32,0)</f>
        <v/>
      </c>
      <c r="S32" s="38">
        <f>IF($A32=0,SizeExpsCommInit0*J32,0)</f>
        <v/>
      </c>
      <c r="T32" s="38">
        <f>Policy_Sched!$J32*J32</f>
        <v/>
      </c>
      <c r="U32" s="42">
        <f>M32*J32</f>
        <v/>
      </c>
      <c r="V32" s="42">
        <f>S32+T32+R32+U32</f>
        <v/>
      </c>
      <c r="W32" s="38">
        <f>IF($A32&gt;LastT,0,N32+W33/(1+Policy_Sched!$K32))</f>
        <v/>
      </c>
      <c r="X32" s="38">
        <f>IF($A32&gt;LastT,0,(-Q32+X33)/(1+Policy_Sched!$K32))</f>
        <v/>
      </c>
      <c r="Y32" s="38">
        <f>IF($A32&gt;LastT,0,-V32+Y33/(1+Policy_Sched!$K32))</f>
        <v/>
      </c>
      <c r="Z32" s="42">
        <f>W32+Y32+X32</f>
        <v/>
      </c>
      <c r="AA32" s="38">
        <f>IF($A32&gt;LastT,0,N32-V32-Q32/(1+Policy_Sched!$K32)+Z33/(1+Policy_Sched!$K32))</f>
        <v/>
      </c>
    </row>
    <row r="33">
      <c r="A33" s="30">
        <f>A32+1</f>
        <v/>
      </c>
      <c r="B33" s="31">
        <f>IF($A33&gt;LastT,0,IF($B$3="exps",B32*(1+InflRate+IF($A33&gt;=T0,$G$3,0)),B32/(1+InflRate)))</f>
        <v/>
      </c>
      <c r="C33" s="31">
        <f>IF($A33&gt;LastT,0,IF(AND($D$3&lt;&gt;0,$A33&gt;=T0,Policy_Sched!$B33&lt;LastAge),1+$D$3*$E$3,1))</f>
        <v/>
      </c>
      <c r="D33" s="36">
        <f>IF($A33&gt;LastT,0,IF($C$3="up",MIN(Policy_Sched!$E33*(1+IF($A33&gt;=T0,$E$3,0)),$F$3),IF($C$3="down",MAX(Policy_Sched!$E33*(1-IF($A33&gt;=T0,$E$3,0)),Policy_Sched!$E33-$F$3),Policy_Sched!$E33)))</f>
        <v/>
      </c>
      <c r="E33" s="37">
        <f>IF($A33&gt;LastT,0,J32-K32-L32)</f>
        <v/>
      </c>
      <c r="F33" s="37">
        <f>IF($A33&gt;LastT,0,IF($A33=PolicyTerm,E33,0))</f>
        <v/>
      </c>
      <c r="G33" s="37">
        <f>IF($A33&gt;LastT,0,E33-F33)</f>
        <v/>
      </c>
      <c r="H33" s="37">
        <f>IF($A33=0,PolicyCount,0)</f>
        <v/>
      </c>
      <c r="I33" s="37">
        <f>IF($A33&gt;LastT,0,IF(AND($C$3="mass",$A33=T0),(G33+H33)*$E$3,0))</f>
        <v/>
      </c>
      <c r="J33" s="37">
        <f>IF($A33&gt;LastT,0,G33+H33-I33)</f>
        <v/>
      </c>
      <c r="K33" s="37">
        <f>IF($A33&gt;LastT,0,J33*Policy_Sched!$C33*Policy_Sched!$D33*C33)</f>
        <v/>
      </c>
      <c r="L33" s="41">
        <f>J33*D33</f>
        <v/>
      </c>
      <c r="M33" s="38">
        <f>IF($A33&gt;LastT,0,(SizeAnnPrem*ExpsMaintAnnPrem+(SumAssured*ExpsMaintSA+ExpsMaintPol)*B33)*(1+IF($B$3="exps",$E$3,0)))</f>
        <v/>
      </c>
      <c r="N33" s="38">
        <f>SizePremium*J33</f>
        <v/>
      </c>
      <c r="O33" s="38">
        <f>SumAssured*K33</f>
        <v/>
      </c>
      <c r="P33" s="38">
        <f>Policy_Sched!$I33*(L33+I33)</f>
        <v/>
      </c>
      <c r="Q33" s="42">
        <f>O33+P33</f>
        <v/>
      </c>
      <c r="R33" s="38">
        <f>IF($A33=0,SizeExpsAcq0*H33,0)</f>
        <v/>
      </c>
      <c r="S33" s="38">
        <f>IF($A33=0,SizeExpsCommInit0*J33,0)</f>
        <v/>
      </c>
      <c r="T33" s="38">
        <f>Policy_Sched!$J33*J33</f>
        <v/>
      </c>
      <c r="U33" s="42">
        <f>M33*J33</f>
        <v/>
      </c>
      <c r="V33" s="42">
        <f>S33+T33+R33+U33</f>
        <v/>
      </c>
      <c r="W33" s="38">
        <f>IF($A33&gt;LastT,0,N33+W34/(1+Policy_Sched!$K33))</f>
        <v/>
      </c>
      <c r="X33" s="38">
        <f>IF($A33&gt;LastT,0,(-Q33+X34)/(1+Policy_Sched!$K33))</f>
        <v/>
      </c>
      <c r="Y33" s="38">
        <f>IF($A33&gt;LastT,0,-V33+Y34/(1+Policy_Sched!$K33))</f>
        <v/>
      </c>
      <c r="Z33" s="42">
        <f>W33+Y33+X33</f>
        <v/>
      </c>
      <c r="AA33" s="38">
        <f>IF($A33&gt;LastT,0,N33-V33-Q33/(1+Policy_Sched!$K33)+Z34/(1+Policy_Sched!$K33))</f>
        <v/>
      </c>
    </row>
    <row r="34">
      <c r="A34" s="30">
        <f>A33+1</f>
        <v/>
      </c>
      <c r="B34" s="31">
        <f>IF($A34&gt;LastT,0,IF($B$3="exps",B33*(1+InflRate+IF($A34&gt;=T0,$G$3,0)),B33/(1+InflRate)))</f>
        <v/>
      </c>
      <c r="C34" s="31">
        <f>IF($A34&gt;LastT,0,IF(AND($D$3&lt;&gt;0,$A34&gt;=T0,Policy_Sched!$B34&lt;LastAge),1+$D$3*$E$3,1))</f>
        <v/>
      </c>
      <c r="D34" s="36">
        <f>IF($A34&gt;LastT,0,IF($C$3="up",MIN(Policy_Sched!$E34*(1+IF($A34&gt;=T0,$E$3,0)),$F$3),IF($C$3="down",MAX(Policy_Sched!$E34*(1-IF($A34&gt;=T0,$E$3,0)),Policy_Sched!$E34-$F$3),Policy_Sched!$E34)))</f>
        <v/>
      </c>
      <c r="E34" s="37">
        <f>IF($A34&gt;LastT,0,J33-K33-L33)</f>
        <v/>
      </c>
      <c r="F34" s="37">
        <f>IF($A34&gt;LastT,0,IF($A34=PolicyTerm,E34,0))</f>
        <v/>
      </c>
      <c r="G34" s="37">
        <f>IF($A34&gt;LastT,0,E34-F34)</f>
        <v/>
      </c>
      <c r="H34" s="37">
        <f>IF($A34=0,PolicyCount,0)</f>
        <v/>
      </c>
      <c r="I34" s="37">
        <f>IF($A34&gt;LastT,0,IF(AND($C$3="mass",$A34=T0),(G34+H34)*$E$3,0))</f>
        <v/>
      </c>
      <c r="J34" s="37">
        <f>IF($A34&gt;LastT,0,G34+H34-I34)</f>
        <v/>
      </c>
      <c r="K34" s="37">
        <f>IF($A34&gt;LastT,0,J34*Policy_Sched!$C34*Policy_Sched!$D34*C34)</f>
        <v/>
      </c>
      <c r="L34" s="41">
        <f>J34*D34</f>
        <v/>
      </c>
      <c r="M34" s="38">
        <f>IF($A34&gt;LastT,0,(SizeAnnPrem*ExpsMaintAnnPrem+(SumAssured*ExpsMaintSA+ExpsMaintPol)*B34)*(1+IF($B$3="exps",$E$3,0)))</f>
        <v/>
      </c>
      <c r="N34" s="38">
        <f>SizePremium*J34</f>
        <v/>
      </c>
      <c r="O34" s="38">
        <f>SumAssured*K34</f>
        <v/>
      </c>
      <c r="P34" s="38">
        <f>Policy_Sched!$I34*(L34+I34)</f>
        <v/>
      </c>
      <c r="Q34" s="42">
        <f>O34+P34</f>
        <v/>
      </c>
      <c r="R34" s="38">
        <f>IF($A34=0,SizeExpsAcq0*H34,0)</f>
        <v/>
      </c>
      <c r="S34" s="38">
        <f>IF($A34=0,SizeExpsCommInit0*J34,0)</f>
        <v/>
      </c>
      <c r="T34" s="38">
        <f>Policy_Sched!$J34*J34</f>
        <v/>
      </c>
      <c r="U34" s="42">
        <f>M34*J34</f>
        <v/>
      </c>
      <c r="V34" s="42">
        <f>S34+T34+R34+U34</f>
        <v/>
      </c>
      <c r="W34" s="38">
        <f>IF($A34&gt;LastT,0,N34+W35/(1+Policy_Sched!$K34))</f>
        <v/>
      </c>
      <c r="X34" s="38">
        <f>IF($A34&gt;LastT,0,(-Q34+X35)/(1+Policy_Sched!$K34))</f>
        <v/>
      </c>
      <c r="Y34" s="38">
        <f>IF($A34&gt;LastT,0,-V34+Y35/(1+Policy_Sched!$K34))</f>
        <v/>
      </c>
      <c r="Z34" s="42">
        <f>W34+Y34+X34</f>
        <v/>
      </c>
      <c r="AA34" s="38">
        <f>IF($A34&gt;LastT,0,N34-V34-Q34/(1+Policy_Sched!$K34)+Z35/(1+Policy_Sched!$K34))</f>
        <v/>
      </c>
    </row>
    <row r="35">
      <c r="A35" s="30">
        <f>A34+1</f>
        <v/>
      </c>
      <c r="B35" s="31">
        <f>IF($A35&gt;LastT,0,IF($B$3="exps",B34*(1+InflRate+IF($A35&gt;=T0,$G$3,0)),B34/(1+InflRate)))</f>
        <v/>
      </c>
      <c r="C35" s="31">
        <f>IF($A35&gt;LastT,0,IF(AND($D$3&lt;&gt;0,$A35&gt;=T0,Policy_Sched!$B35&lt;LastAge),1+$D$3*$E$3,1))</f>
        <v/>
      </c>
      <c r="D35" s="36">
        <f>IF($A35&gt;LastT,0,IF($C$3="up",MIN(Policy_Sched!$E35*(1+IF($A35&gt;=T0,$E$3,0)),$F$3),IF($C$3="down",MAX(Policy_Sched!$E35*(1-IF($A35&gt;=T0,$E$3,0)),Policy_Sched!$E35-$F$3),Policy_Sched!$E35)))</f>
        <v/>
      </c>
      <c r="E35" s="37">
        <f>IF($A35&gt;LastT,0,J34-K34-L34)</f>
        <v/>
      </c>
      <c r="F35" s="37">
        <f>IF($A35&gt;LastT,0,IF($A35=PolicyTerm,E35,0))</f>
        <v/>
      </c>
      <c r="G35" s="37">
        <f>IF($A35&gt;LastT,0,E35-F35)</f>
        <v/>
      </c>
      <c r="H35" s="37">
        <f>IF($A35=0,PolicyCount,0)</f>
        <v/>
      </c>
      <c r="I35" s="37">
        <f>IF($A35&gt;LastT,0,IF(AND($C$3="mass",$A35=T0),(G35+H35)*$E$3,0))</f>
        <v/>
      </c>
      <c r="J35" s="37">
        <f>IF($A35&gt;LastT,0,G35+H35-I35)</f>
        <v/>
      </c>
      <c r="K35" s="37">
        <f>IF($A35&gt;LastT,0,J35*Policy_Sched!$C35*Policy_Sched!$D35*C35)</f>
        <v/>
      </c>
      <c r="L35" s="41">
        <f>J35*D35</f>
        <v/>
      </c>
      <c r="M35" s="38">
        <f>IF($A35&gt;LastT,0,(SizeAnnPrem*ExpsMaintAnnPrem+(SumAssured*ExpsMaintSA+ExpsMaintPol)*B35)*(1+IF($B$3="exps",$E$3,0)))</f>
        <v/>
      </c>
      <c r="N35" s="38">
        <f>SizePremium*J35</f>
        <v/>
      </c>
      <c r="O35" s="38">
        <f>SumAssured*K35</f>
        <v/>
      </c>
      <c r="P35" s="38">
        <f>Policy_Sched!$I35*(L35+I35)</f>
        <v/>
      </c>
      <c r="Q35" s="42">
        <f>O35+P35</f>
        <v/>
      </c>
      <c r="R35" s="38">
        <f>IF($A35=0,SizeExpsAcq0*H35,0)</f>
        <v/>
      </c>
      <c r="S35" s="38">
        <f>IF($A35=0,SizeExpsCommInit0*J35,0)</f>
        <v/>
      </c>
      <c r="T35" s="38">
        <f>Policy_Sched!$J35*J35</f>
        <v/>
      </c>
      <c r="U35" s="42">
        <f>M35*J35</f>
        <v/>
      </c>
      <c r="V35" s="42">
        <f>S35+T35+R35+U35</f>
        <v/>
      </c>
      <c r="W35" s="38">
        <f>IF($A35&gt;LastT,0,N35+W36/(1+Policy_Sched!$K35))</f>
        <v/>
      </c>
      <c r="X35" s="38">
        <f>IF($A35&gt;LastT,0,(-Q35+X36)/(1+Policy_Sched!$K35))</f>
        <v/>
      </c>
      <c r="Y35" s="38">
        <f>IF($A35&gt;LastT,0,-V35+Y36/(1+Policy_Sched!$K35))</f>
        <v/>
      </c>
      <c r="Z35" s="42">
        <f>W35+Y35+X35</f>
        <v/>
      </c>
      <c r="AA35" s="38">
        <f>IF($A35&gt;LastT,0,N35-V35-Q35/(1+Policy_Sched!$K35)+Z36/(1+Policy_Sched!$K35))</f>
        <v/>
      </c>
    </row>
    <row r="36">
      <c r="A36" s="30">
        <f>A35+1</f>
        <v/>
      </c>
      <c r="B36" s="31">
        <f>IF($A36&gt;LastT,0,IF($B$3="exps",B35*(1+InflRate+IF($A36&gt;=T0,$G$3,0)),B35/(1+InflRate)))</f>
        <v/>
      </c>
      <c r="C36" s="31">
        <f>IF($A36&gt;LastT,0,IF(AND($D$3&lt;&gt;0,$A36&gt;=T0,Policy_Sched!$B36&lt;LastAge),1+$D$3*$E$3,1))</f>
        <v/>
      </c>
      <c r="D36" s="36">
        <f>IF($A36&gt;LastT,0,IF($C$3="up",MIN(Policy_Sched!$E36*(1+IF($A36&gt;=T0,$E$3,0)),$F$3),IF($C$3="down",MAX(Policy_Sched!$E36*(1-IF($A36&gt;=T0,$E$3,0)),Policy_Sched!$E36-$F$3),Policy_Sched!$E36)))</f>
        <v/>
      </c>
      <c r="E36" s="37">
        <f>IF($A36&gt;LastT,0,J35-K35-L35)</f>
        <v/>
      </c>
      <c r="F36" s="37">
        <f>IF($A36&gt;LastT,0,IF($A36=PolicyTerm,E36,0))</f>
        <v/>
      </c>
      <c r="G36" s="37">
        <f>IF($A36&gt;LastT,0,E36-F36)</f>
        <v/>
      </c>
      <c r="H36" s="37">
        <f>IF($A36=0,PolicyCount,0)</f>
        <v/>
      </c>
      <c r="I36" s="37">
        <f>IF($A36&gt;LastT,0,IF(AND($C$3="mass",$A36=T0),(G36+H36)*$E$3,0))</f>
        <v/>
      </c>
      <c r="J36" s="37">
        <f>IF($A36&gt;LastT,0,G36+H36-I36)</f>
        <v/>
      </c>
      <c r="K36" s="37">
        <f>IF($A36&gt;LastT,0,J36*Policy_Sched!$C36*Policy_Sched!$D36*C36)</f>
        <v/>
      </c>
      <c r="L36" s="41">
        <f>J36*D36</f>
        <v/>
      </c>
      <c r="M36" s="38">
        <f>IF($A36&gt;LastT,0,(SizeAnnPrem*ExpsMaintAnnPrem+(SumAssured*ExpsMaintSA+ExpsMaintPol)*B36)*(1+IF($B$3="exps",$E$3,0)))</f>
        <v/>
      </c>
      <c r="N36" s="38">
        <f>SizePremium*J36</f>
        <v/>
      </c>
      <c r="O36" s="38">
        <f>SumAssured*K36</f>
        <v/>
      </c>
      <c r="P36" s="38">
        <f>Policy_Sched!$I36*(L36+I36)</f>
        <v/>
      </c>
      <c r="Q36" s="42">
        <f>O36+P36</f>
        <v/>
      </c>
      <c r="R36" s="38">
        <f>IF($A36=0,SizeExpsAcq0*H36,0)</f>
        <v/>
      </c>
      <c r="S36" s="38">
        <f>IF($A36=0,SizeExpsCommInit0*J36,0)</f>
        <v/>
      </c>
      <c r="T36" s="38">
        <f>Policy_Sched!$J36*J36</f>
        <v/>
      </c>
      <c r="U36" s="42">
        <f>M36*J36</f>
        <v/>
      </c>
      <c r="V36" s="42">
        <f>S36+T36+R36+U36</f>
        <v/>
      </c>
      <c r="W36" s="38">
        <f>IF($A36&gt;LastT,0,N36+W37/(1+Policy_Sched!$K36))</f>
        <v/>
      </c>
      <c r="X36" s="38">
        <f>IF($A36&gt;LastT,0,(-Q36+X37)/(1+Policy_Sched!$K36))</f>
        <v/>
      </c>
      <c r="Y36" s="38">
        <f>IF($A36&gt;LastT,0,-V36+Y37/(1+Policy_Sched!$K36))</f>
        <v/>
      </c>
      <c r="Z36" s="42">
        <f>W36+Y36+X36</f>
        <v/>
      </c>
      <c r="AA36" s="38">
        <f>IF($A36&gt;LastT,0,N36-V36-Q36/(1+Policy_Sched!$K36)+Z37/(1+Policy_Sched!$K36))</f>
        <v/>
      </c>
    </row>
    <row r="37">
      <c r="A37" s="30">
        <f>A36+1</f>
        <v/>
      </c>
      <c r="B37" s="31">
        <f>IF($A37&gt;LastT,0,IF($B$3="exps",B36*(1+InflRate+IF($A37&gt;=T0,$G$3,0)),B36/(1+InflRate)))</f>
        <v/>
      </c>
      <c r="C37" s="31">
        <f>IF($A37&gt;LastT,0,IF(AND($D$3&lt;&gt;0,$A37&gt;=T0,Policy_Sched!$B37&lt;LastAge),1+$D$3*$E$3,1))</f>
        <v/>
      </c>
      <c r="D37" s="36">
        <f>IF($A37&gt;LastT,0,IF($C$3="up",MIN(Policy_Sched!$E37*(1+IF($A37&gt;=T0,$E$3,0)),$F$3),IF($C$3="down",MAX(Policy_Sched!$E37*(1-IF($A37&gt;=T0,$E$3,0)),Policy_Sched!$E37-$F$3),Policy_Sched!$E37)))</f>
        <v/>
      </c>
      <c r="E37" s="37">
        <f>IF($A37&gt;LastT,0,J36-K36-L36)</f>
        <v/>
      </c>
      <c r="F37" s="37">
        <f>IF($A37&gt;LastT,0,IF($A37=PolicyTerm,E37,0))</f>
        <v/>
      </c>
      <c r="G37" s="37">
        <f>IF($A37&gt;LastT,0,E37-F37)</f>
        <v/>
      </c>
      <c r="H37" s="37">
        <f>IF($A37=0,PolicyCount,0)</f>
        <v/>
      </c>
      <c r="I37" s="37">
        <f>IF($A37&gt;LastT,0,IF(AND($C$3="mass",$A37=T0),(G37+H37)*$E$3,0))</f>
        <v/>
      </c>
      <c r="J37" s="37">
        <f>IF($A37&gt;LastT,0,G37+H37-I37)</f>
        <v/>
      </c>
      <c r="K37" s="37">
        <f>IF($A37&gt;LastT,0,J37*Policy_Sched!$C37*Policy_Sched!$D37*C37)</f>
        <v/>
      </c>
      <c r="L37" s="41">
        <f>J37*D37</f>
        <v/>
      </c>
      <c r="M37" s="38">
        <f>IF($A37&gt;LastT,0,(SizeAnnPrem*ExpsMaintAnnPrem+(SumAssured*ExpsMaintSA+ExpsMaintPol)*B37)*(1+IF($B$3="exps",$E$3,0)))</f>
        <v/>
      </c>
      <c r="N37" s="38">
        <f>SizePremium*J37</f>
        <v/>
      </c>
      <c r="O37" s="38">
        <f>SumAssured*K37</f>
        <v/>
      </c>
      <c r="P37" s="38">
        <f>Policy_Sched!$I37*(L37+I37)</f>
        <v/>
      </c>
      <c r="Q37" s="42">
        <f>O37+P37</f>
        <v/>
      </c>
      <c r="R37" s="38">
        <f>IF($A37=0,SizeExpsAcq0*H37,0)</f>
        <v/>
      </c>
      <c r="S37" s="38">
        <f>IF($A37=0,SizeExpsCommInit0*J37,0)</f>
        <v/>
      </c>
      <c r="T37" s="38">
        <f>Policy_Sched!$J37*J37</f>
        <v/>
      </c>
      <c r="U37" s="42">
        <f>M37*J37</f>
        <v/>
      </c>
      <c r="V37" s="42">
        <f>S37+T37+R37+U37</f>
        <v/>
      </c>
      <c r="W37" s="38">
        <f>IF($A37&gt;LastT,0,N37+W38/(1+Policy_Sched!$K37))</f>
        <v/>
      </c>
      <c r="X37" s="38">
        <f>IF($A37&gt;LastT,0,(-Q37+X38)/(1+Policy_Sched!$K37))</f>
        <v/>
      </c>
      <c r="Y37" s="38">
        <f>IF($A37&gt;LastT,0,-V37+Y38/(1+Policy_Sched!$K37))</f>
        <v/>
      </c>
      <c r="Z37" s="42">
        <f>W37+Y37+X37</f>
        <v/>
      </c>
      <c r="AA37" s="38">
        <f>IF($A37&gt;LastT,0,N37-V37-Q37/(1+Policy_Sched!$K37)+Z38/(1+Policy_Sched!$K37))</f>
        <v/>
      </c>
    </row>
    <row r="38">
      <c r="A38" s="30">
        <f>A37+1</f>
        <v/>
      </c>
      <c r="B38" s="31">
        <f>IF($A38&gt;LastT,0,IF($B$3="exps",B37*(1+InflRate+IF($A38&gt;=T0,$G$3,0)),B37/(1+InflRate)))</f>
        <v/>
      </c>
      <c r="C38" s="31">
        <f>IF($A38&gt;LastT,0,IF(AND($D$3&lt;&gt;0,$A38&gt;=T0,Policy_Sched!$B38&lt;LastAge),1+$D$3*$E$3,1))</f>
        <v/>
      </c>
      <c r="D38" s="36">
        <f>IF($A38&gt;LastT,0,IF($C$3="up",MIN(Policy_Sched!$E38*(1+IF($A38&gt;=T0,$E$3,0)),$F$3),IF($C$3="down",MAX(Policy_Sched!$E38*(1-IF($A38&gt;=T0,$E$3,0)),Policy_Sched!$E38-$F$3),Policy_Sched!$E38)))</f>
        <v/>
      </c>
      <c r="E38" s="37">
        <f>IF($A38&gt;LastT,0,J37-K37-L37)</f>
        <v/>
      </c>
      <c r="F38" s="37">
        <f>IF($A38&gt;LastT,0,IF($A38=PolicyTerm,E38,0))</f>
        <v/>
      </c>
      <c r="G38" s="37">
        <f>IF($A38&gt;LastT,0,E38-F38)</f>
        <v/>
      </c>
      <c r="H38" s="37">
        <f>IF($A38=0,PolicyCount,0)</f>
        <v/>
      </c>
      <c r="I38" s="37">
        <f>IF($A38&gt;LastT,0,IF(AND($C$3="mass",$A38=T0),(G38+H38)*$E$3,0))</f>
        <v/>
      </c>
      <c r="J38" s="37">
        <f>IF($A38&gt;LastT,0,G38+H38-I38)</f>
        <v/>
      </c>
      <c r="K38" s="37">
        <f>IF($A38&gt;LastT,0,J38*Policy_Sched!$C38*Policy_Sched!$D38*C38)</f>
        <v/>
      </c>
      <c r="L38" s="41">
        <f>J38*D38</f>
        <v/>
      </c>
      <c r="M38" s="38">
        <f>IF($A38&gt;LastT,0,(SizeAnnPrem*ExpsMaintAnnPrem+(SumAssured*ExpsMaintSA+ExpsMaintPol)*B38)*(1+IF($B$3="exps",$E$3,0)))</f>
        <v/>
      </c>
      <c r="N38" s="38">
        <f>SizePremium*J38</f>
        <v/>
      </c>
      <c r="O38" s="38">
        <f>SumAssured*K38</f>
        <v/>
      </c>
      <c r="P38" s="38">
        <f>Policy_Sched!$I38*(L38+I38)</f>
        <v/>
      </c>
      <c r="Q38" s="42">
        <f>O38+P38</f>
        <v/>
      </c>
      <c r="R38" s="38">
        <f>IF($A38=0,SizeExpsAcq0*H38,0)</f>
        <v/>
      </c>
      <c r="S38" s="38">
        <f>IF($A38=0,SizeExpsCommInit0*J38,0)</f>
        <v/>
      </c>
      <c r="T38" s="38">
        <f>Policy_Sched!$J38*J38</f>
        <v/>
      </c>
      <c r="U38" s="42">
        <f>M38*J38</f>
        <v/>
      </c>
      <c r="V38" s="42">
        <f>S38+T38+R38+U38</f>
        <v/>
      </c>
      <c r="W38" s="38">
        <f>IF($A38&gt;LastT,0,N38+W39/(1+Policy_Sched!$K38))</f>
        <v/>
      </c>
      <c r="X38" s="38">
        <f>IF($A38&gt;LastT,0,(-Q38+X39)/(1+Policy_Sched!$K38))</f>
        <v/>
      </c>
      <c r="Y38" s="38">
        <f>IF($A38&gt;LastT,0,-V38+Y39/(1+Policy_Sched!$K38))</f>
        <v/>
      </c>
      <c r="Z38" s="42">
        <f>W38+Y38+X38</f>
        <v/>
      </c>
      <c r="AA38" s="38">
        <f>IF($A38&gt;LastT,0,N38-V38-Q38/(1+Policy_Sched!$K38)+Z39/(1+Policy_Sched!$K38))</f>
        <v/>
      </c>
    </row>
    <row r="39">
      <c r="A39" s="30">
        <f>A38+1</f>
        <v/>
      </c>
      <c r="B39" s="31">
        <f>IF($A39&gt;LastT,0,IF($B$3="exps",B38*(1+InflRate+IF($A39&gt;=T0,$G$3,0)),B38/(1+InflRate)))</f>
        <v/>
      </c>
      <c r="C39" s="31">
        <f>IF($A39&gt;LastT,0,IF(AND($D$3&lt;&gt;0,$A39&gt;=T0,Policy_Sched!$B39&lt;LastAge),1+$D$3*$E$3,1))</f>
        <v/>
      </c>
      <c r="D39" s="36">
        <f>IF($A39&gt;LastT,0,IF($C$3="up",MIN(Policy_Sched!$E39*(1+IF($A39&gt;=T0,$E$3,0)),$F$3),IF($C$3="down",MAX(Policy_Sched!$E39*(1-IF($A39&gt;=T0,$E$3,0)),Policy_Sched!$E39-$F$3),Policy_Sched!$E39)))</f>
        <v/>
      </c>
      <c r="E39" s="37">
        <f>IF($A39&gt;LastT,0,J38-K38-L38)</f>
        <v/>
      </c>
      <c r="F39" s="37">
        <f>IF($A39&gt;LastT,0,IF($A39=PolicyTerm,E39,0))</f>
        <v/>
      </c>
      <c r="G39" s="37">
        <f>IF($A39&gt;LastT,0,E39-F39)</f>
        <v/>
      </c>
      <c r="H39" s="37">
        <f>IF($A39=0,PolicyCount,0)</f>
        <v/>
      </c>
      <c r="I39" s="37">
        <f>IF($A39&gt;LastT,0,IF(AND($C$3="mass",$A39=T0),(G39+H39)*$E$3,0))</f>
        <v/>
      </c>
      <c r="J39" s="37">
        <f>IF($A39&gt;LastT,0,G39+H39-I39)</f>
        <v/>
      </c>
      <c r="K39" s="37">
        <f>IF($A39&gt;LastT,0,J39*Policy_Sched!$C39*Policy_Sched!$D39*C39)</f>
        <v/>
      </c>
      <c r="L39" s="41">
        <f>J39*D39</f>
        <v/>
      </c>
      <c r="M39" s="38">
        <f>IF($A39&gt;LastT,0,(SizeAnnPrem*ExpsMaintAnnPrem+(SumAssured*ExpsMaintSA+ExpsMaintPol)*B39)*(1+IF($B$3="exps",$E$3,0)))</f>
        <v/>
      </c>
      <c r="N39" s="38">
        <f>SizePremium*J39</f>
        <v/>
      </c>
      <c r="O39" s="38">
        <f>SumAssured*K39</f>
        <v/>
      </c>
      <c r="P39" s="38">
        <f>Policy_Sched!$I39*(L39+I39)</f>
        <v/>
      </c>
      <c r="Q39" s="42">
        <f>O39+P39</f>
        <v/>
      </c>
      <c r="R39" s="38">
        <f>IF($A39=0,SizeExpsAcq0*H39,0)</f>
        <v/>
      </c>
      <c r="S39" s="38">
        <f>IF($A39=0,SizeExpsCommInit0*J39,0)</f>
        <v/>
      </c>
      <c r="T39" s="38">
        <f>Policy_Sched!$J39*J39</f>
        <v/>
      </c>
      <c r="U39" s="42">
        <f>M39*J39</f>
        <v/>
      </c>
      <c r="V39" s="42">
        <f>S39+T39+R39+U39</f>
        <v/>
      </c>
      <c r="W39" s="38">
        <f>IF($A39&gt;LastT,0,N39+W40/(1+Policy_Sched!$K39))</f>
        <v/>
      </c>
      <c r="X39" s="38">
        <f>IF($A39&gt;LastT,0,(-Q39+X40)/(1+Policy_Sched!$K39))</f>
        <v/>
      </c>
      <c r="Y39" s="38">
        <f>IF($A39&gt;LastT,0,-V39+Y40/(1+Policy_Sched!$K39))</f>
        <v/>
      </c>
      <c r="Z39" s="42">
        <f>W39+Y39+X39</f>
        <v/>
      </c>
      <c r="AA39" s="38">
        <f>IF($A39&gt;LastT,0,N39-V39-Q39/(1+Policy_Sched!$K39)+Z40/(1+Policy_Sched!$K39))</f>
        <v/>
      </c>
    </row>
    <row r="40">
      <c r="A40" s="30">
        <f>A39+1</f>
        <v/>
      </c>
      <c r="B40" s="31">
        <f>IF($A40&gt;LastT,0,IF($B$3="exps",B39*(1+InflRate+IF($A40&gt;=T0,$G$3,0)),B39/(1+InflRate)))</f>
        <v/>
      </c>
      <c r="C40" s="31">
        <f>IF($A40&gt;LastT,0,IF(AND($D$3&lt;&gt;0,$A40&gt;=T0,Policy_Sched!$B40&lt;LastAge),1+$D$3*$E$3,1))</f>
        <v/>
      </c>
      <c r="D40" s="36">
        <f>IF($A40&gt;LastT,0,IF($C$3="up",MIN(Policy_Sched!$E40*(1+IF($A40&gt;=T0,$E$3,0)),$F$3),IF($C$3="down",MAX(Policy_Sched!$E40*(1-IF($A40&gt;=T0,$E$3,0)),Policy_Sched!$E40-$F$3),Policy_Sched!$E40)))</f>
        <v/>
      </c>
      <c r="E40" s="37">
        <f>IF($A40&gt;LastT,0,J39-K39-L39)</f>
        <v/>
      </c>
      <c r="F40" s="37">
        <f>IF($A40&gt;LastT,0,IF($A40=PolicyTerm,E40,0))</f>
        <v/>
      </c>
      <c r="G40" s="37">
        <f>IF($A40&gt;LastT,0,E40-F40)</f>
        <v/>
      </c>
      <c r="H40" s="37">
        <f>IF($A40=0,PolicyCount,0)</f>
        <v/>
      </c>
      <c r="I40" s="37">
        <f>IF($A40&gt;LastT,0,IF(AND($C$3="mass",$A40=T0),(G40+H40)*$E$3,0))</f>
        <v/>
      </c>
      <c r="J40" s="37">
        <f>IF($A40&gt;LastT,0,G40+H40-I40)</f>
        <v/>
      </c>
      <c r="K40" s="37">
        <f>IF($A40&gt;LastT,0,J40*Policy_Sched!$C40*Policy_Sched!$D40*C40)</f>
        <v/>
      </c>
      <c r="L40" s="41">
        <f>J40*D40</f>
        <v/>
      </c>
      <c r="M40" s="38">
        <f>IF($A40&gt;LastT,0,(SizeAnnPrem*ExpsMaintAnnPrem+(SumAssured*ExpsMaintSA+ExpsMaintPol)*B40)*(1+IF($B$3="exps",$E$3,0)))</f>
        <v/>
      </c>
      <c r="N40" s="38">
        <f>SizePremium*J40</f>
        <v/>
      </c>
      <c r="O40" s="38">
        <f>SumAssured*K40</f>
        <v/>
      </c>
      <c r="P40" s="38">
        <f>Policy_Sched!$I40*(L40+I40)</f>
        <v/>
      </c>
      <c r="Q40" s="42">
        <f>O40+P40</f>
        <v/>
      </c>
      <c r="R40" s="38">
        <f>IF($A40=0,SizeExpsAcq0*H40,0)</f>
        <v/>
      </c>
      <c r="S40" s="38">
        <f>IF($A40=0,SizeExpsCommInit0*J40,0)</f>
        <v/>
      </c>
      <c r="T40" s="38">
        <f>Policy_Sched!$J40*J40</f>
        <v/>
      </c>
      <c r="U40" s="42">
        <f>M40*J40</f>
        <v/>
      </c>
      <c r="V40" s="42">
        <f>S40+T40+R40+U40</f>
        <v/>
      </c>
      <c r="W40" s="38">
        <f>IF($A40&gt;LastT,0,N40+W41/(1+Policy_Sched!$K40))</f>
        <v/>
      </c>
      <c r="X40" s="38">
        <f>IF($A40&gt;LastT,0,(-Q40+X41)/(1+Policy_Sched!$K40))</f>
        <v/>
      </c>
      <c r="Y40" s="38">
        <f>IF($A40&gt;LastT,0,-V40+Y41/(1+Policy_Sched!$K40))</f>
        <v/>
      </c>
      <c r="Z40" s="42">
        <f>W40+Y40+X40</f>
        <v/>
      </c>
      <c r="AA40" s="38">
        <f>IF($A40&gt;LastT,0,N40-V40-Q40/(1+Policy_Sched!$K40)+Z41/(1+Policy_Sched!$K40))</f>
        <v/>
      </c>
    </row>
    <row r="41">
      <c r="A41" s="30">
        <f>A40+1</f>
        <v/>
      </c>
      <c r="B41" s="31">
        <f>IF($A41&gt;LastT,0,IF($B$3="exps",B40*(1+InflRate+IF($A41&gt;=T0,$G$3,0)),B40/(1+InflRate)))</f>
        <v/>
      </c>
      <c r="C41" s="31">
        <f>IF($A41&gt;LastT,0,IF(AND($D$3&lt;&gt;0,$A41&gt;=T0,Policy_Sched!$B41&lt;LastAge),1+$D$3*$E$3,1))</f>
        <v/>
      </c>
      <c r="D41" s="36">
        <f>IF($A41&gt;LastT,0,IF($C$3="up",MIN(Policy_Sched!$E41*(1+IF($A41&gt;=T0,$E$3,0)),$F$3),IF($C$3="down",MAX(Policy_Sched!$E41*(1-IF($A41&gt;=T0,$E$3,0)),Policy_Sched!$E41-$F$3),Policy_Sched!$E41)))</f>
        <v/>
      </c>
      <c r="E41" s="37">
        <f>IF($A41&gt;LastT,0,J40-K40-L40)</f>
        <v/>
      </c>
      <c r="F41" s="37">
        <f>IF($A41&gt;LastT,0,IF($A41=PolicyTerm,E41,0))</f>
        <v/>
      </c>
      <c r="G41" s="37">
        <f>IF($A41&gt;LastT,0,E41-F41)</f>
        <v/>
      </c>
      <c r="H41" s="37">
        <f>IF($A41=0,PolicyCount,0)</f>
        <v/>
      </c>
      <c r="I41" s="37">
        <f>IF($A41&gt;LastT,0,IF(AND($C$3="mass",$A41=T0),(G41+H41)*$E$3,0))</f>
        <v/>
      </c>
      <c r="J41" s="37">
        <f>IF($A41&gt;LastT,0,G41+H41-I41)</f>
        <v/>
      </c>
      <c r="K41" s="37">
        <f>IF($A41&gt;LastT,0,J41*Policy_Sched!$C41*Policy_Sched!$D41*C41)</f>
        <v/>
      </c>
      <c r="L41" s="41">
        <f>J41*D41</f>
        <v/>
      </c>
      <c r="M41" s="38">
        <f>IF($A41&gt;LastT,0,(SizeAnnPrem*ExpsMaintAnnPrem+(SumAssured*ExpsMaintSA+ExpsMaintPol)*B41)*(1+IF($B$3="exps",$E$3,0)))</f>
        <v/>
      </c>
      <c r="N41" s="38">
        <f>SizePremium*J41</f>
        <v/>
      </c>
      <c r="O41" s="38">
        <f>SumAssured*K41</f>
        <v/>
      </c>
      <c r="P41" s="38">
        <f>Policy_Sched!$I41*(L41+I41)</f>
        <v/>
      </c>
      <c r="Q41" s="42">
        <f>O41+P41</f>
        <v/>
      </c>
      <c r="R41" s="38">
        <f>IF($A41=0,SizeExpsAcq0*H41,0)</f>
        <v/>
      </c>
      <c r="S41" s="38">
        <f>IF($A41=0,SizeExpsCommInit0*J41,0)</f>
        <v/>
      </c>
      <c r="T41" s="38">
        <f>Policy_Sched!$J41*J41</f>
        <v/>
      </c>
      <c r="U41" s="42">
        <f>M41*J41</f>
        <v/>
      </c>
      <c r="V41" s="42">
        <f>S41+T41+R41+U41</f>
        <v/>
      </c>
      <c r="W41" s="38">
        <f>IF($A41&gt;LastT,0,N41+W42/(1+Policy_Sched!$K41))</f>
        <v/>
      </c>
      <c r="X41" s="38">
        <f>IF($A41&gt;LastT,0,(-Q41+X42)/(1+Policy_Sched!$K41))</f>
        <v/>
      </c>
      <c r="Y41" s="38">
        <f>IF($A41&gt;LastT,0,-V41+Y42/(1+Policy_Sched!$K41))</f>
        <v/>
      </c>
      <c r="Z41" s="42">
        <f>W41+Y41+X41</f>
        <v/>
      </c>
      <c r="AA41" s="38">
        <f>IF($A41&gt;LastT,0,N41-V41-Q41/(1+Policy_Sched!$K41)+Z42/(1+Policy_Sched!$K41))</f>
        <v/>
      </c>
    </row>
    <row r="42">
      <c r="A42" s="30">
        <f>A41+1</f>
        <v/>
      </c>
      <c r="B42" s="31">
        <f>IF($A42&gt;LastT,0,IF($B$3="exps",B41*(1+InflRate+IF($A42&gt;=T0,$G$3,0)),B41/(1+InflRate)))</f>
        <v/>
      </c>
      <c r="C42" s="31">
        <f>IF($A42&gt;LastT,0,IF(AND($D$3&lt;&gt;0,$A42&gt;=T0,Policy_Sched!$B42&lt;LastAge),1+$D$3*$E$3,1))</f>
        <v/>
      </c>
      <c r="D42" s="36">
        <f>IF($A42&gt;LastT,0,IF($C$3="up",MIN(Policy_Sched!$E42*(1+IF($A42&gt;=T0,$E$3,0)),$F$3),IF($C$3="down",MAX(Policy_Sched!$E42*(1-IF($A42&gt;=T0,$E$3,0)),Policy_Sched!$E42-$F$3),Policy_Sched!$E42)))</f>
        <v/>
      </c>
      <c r="E42" s="37">
        <f>IF($A42&gt;LastT,0,J41-K41-L41)</f>
        <v/>
      </c>
      <c r="F42" s="37">
        <f>IF($A42&gt;LastT,0,IF($A42=PolicyTerm,E42,0))</f>
        <v/>
      </c>
      <c r="G42" s="37">
        <f>IF($A42&gt;LastT,0,E42-F42)</f>
        <v/>
      </c>
      <c r="H42" s="37">
        <f>IF($A42=0,PolicyCount,0)</f>
        <v/>
      </c>
      <c r="I42" s="37">
        <f>IF($A42&gt;LastT,0,IF(AND($C$3="mass",$A42=T0),(G42+H42)*$E$3,0))</f>
        <v/>
      </c>
      <c r="J42" s="37">
        <f>IF($A42&gt;LastT,0,G42+H42-I42)</f>
        <v/>
      </c>
      <c r="K42" s="37">
        <f>IF($A42&gt;LastT,0,J42*Policy_Sched!$C42*Policy_Sched!$D42*C42)</f>
        <v/>
      </c>
      <c r="L42" s="41">
        <f>J42*D42</f>
        <v/>
      </c>
      <c r="M42" s="38">
        <f>IF($A42&gt;LastT,0,(SizeAnnPrem*ExpsMaintAnnPrem+(SumAssured*ExpsMaintSA+ExpsMaintPol)*B42)*(1+IF($B$3="exps",$E$3,0)))</f>
        <v/>
      </c>
      <c r="N42" s="38">
        <f>SizePremium*J42</f>
        <v/>
      </c>
      <c r="O42" s="38">
        <f>SumAssured*K42</f>
        <v/>
      </c>
      <c r="P42" s="38">
        <f>Policy_Sched!$I42*(L42+I42)</f>
        <v/>
      </c>
      <c r="Q42" s="42">
        <f>O42+P42</f>
        <v/>
      </c>
      <c r="R42" s="38">
        <f>IF($A42=0,SizeExpsAcq0*H42,0)</f>
        <v/>
      </c>
      <c r="S42" s="38">
        <f>IF($A42=0,SizeExpsCommInit0*J42,0)</f>
        <v/>
      </c>
      <c r="T42" s="38">
        <f>Policy_Sched!$J42*J42</f>
        <v/>
      </c>
      <c r="U42" s="42">
        <f>M42*J42</f>
        <v/>
      </c>
      <c r="V42" s="42">
        <f>S42+T42+R42+U42</f>
        <v/>
      </c>
      <c r="W42" s="38">
        <f>IF($A42&gt;LastT,0,N42+W43/(1+Policy_Sched!$K42))</f>
        <v/>
      </c>
      <c r="X42" s="38">
        <f>IF($A42&gt;LastT,0,(-Q42+X43)/(1+Policy_Sched!$K42))</f>
        <v/>
      </c>
      <c r="Y42" s="38">
        <f>IF($A42&gt;LastT,0,-V42+Y43/(1+Policy_Sched!$K42))</f>
        <v/>
      </c>
      <c r="Z42" s="42">
        <f>W42+Y42+X42</f>
        <v/>
      </c>
      <c r="AA42" s="38">
        <f>IF($A42&gt;LastT,0,N42-V42-Q42/(1+Policy_Sched!$K42)+Z43/(1+Policy_Sched!$K42))</f>
        <v/>
      </c>
    </row>
    <row r="43">
      <c r="A43" s="30">
        <f>A42+1</f>
        <v/>
      </c>
      <c r="B43" s="31">
        <f>IF($A43&gt;LastT,0,IF($B$3="exps",B42*(1+InflRate+IF($A43&gt;=T0,$G$3,0)),B42/(1+InflRate)))</f>
        <v/>
      </c>
      <c r="C43" s="31">
        <f>IF($A43&gt;LastT,0,IF(AND($D$3&lt;&gt;0,$A43&gt;=T0,Policy_Sched!$B43&lt;LastAge),1+$D$3*$E$3,1))</f>
        <v/>
      </c>
      <c r="D43" s="36">
        <f>IF($A43&gt;LastT,0,IF($C$3="up",MIN(Policy_Sched!$E43*(1+IF($A43&gt;=T0,$E$3,0)),$F$3),IF($C$3="down",MAX(Policy_Sched!$E43*(1-IF($A43&gt;=T0,$E$3,0)),Policy_Sched!$E43-$F$3),Policy_Sched!$E43)))</f>
        <v/>
      </c>
      <c r="E43" s="37">
        <f>IF($A43&gt;LastT,0,J42-K42-L42)</f>
        <v/>
      </c>
      <c r="F43" s="37">
        <f>IF($A43&gt;LastT,0,IF($A43=PolicyTerm,E43,0))</f>
        <v/>
      </c>
      <c r="G43" s="37">
        <f>IF($A43&gt;LastT,0,E43-F43)</f>
        <v/>
      </c>
      <c r="H43" s="37">
        <f>IF($A43=0,PolicyCount,0)</f>
        <v/>
      </c>
      <c r="I43" s="37">
        <f>IF($A43&gt;LastT,0,IF(AND($C$3="mass",$A43=T0),(G43+H43)*$E$3,0))</f>
        <v/>
      </c>
      <c r="J43" s="37">
        <f>IF($A43&gt;LastT,0,G43+H43-I43)</f>
        <v/>
      </c>
      <c r="K43" s="37">
        <f>IF($A43&gt;LastT,0,J43*Policy_Sched!$C43*Policy_Sched!$D43*C43)</f>
        <v/>
      </c>
      <c r="L43" s="41">
        <f>J43*D43</f>
        <v/>
      </c>
      <c r="M43" s="38">
        <f>IF($A43&gt;LastT,0,(SizeAnnPrem*ExpsMaintAnnPrem+(SumAssured*ExpsMaintSA+ExpsMaintPol)*B43)*(1+IF($B$3="exps",$E$3,0)))</f>
        <v/>
      </c>
      <c r="N43" s="38">
        <f>SizePremium*J43</f>
        <v/>
      </c>
      <c r="O43" s="38">
        <f>SumAssured*K43</f>
        <v/>
      </c>
      <c r="P43" s="38">
        <f>Policy_Sched!$I43*(L43+I43)</f>
        <v/>
      </c>
      <c r="Q43" s="42">
        <f>O43+P43</f>
        <v/>
      </c>
      <c r="R43" s="38">
        <f>IF($A43=0,SizeExpsAcq0*H43,0)</f>
        <v/>
      </c>
      <c r="S43" s="38">
        <f>IF($A43=0,SizeExpsCommInit0*J43,0)</f>
        <v/>
      </c>
      <c r="T43" s="38">
        <f>Policy_Sched!$J43*J43</f>
        <v/>
      </c>
      <c r="U43" s="42">
        <f>M43*J43</f>
        <v/>
      </c>
      <c r="V43" s="42">
        <f>S43+T43+R43+U43</f>
        <v/>
      </c>
      <c r="W43" s="38">
        <f>IF($A43&gt;LastT,0,N43+W44/(1+Policy_Sched!$K43))</f>
        <v/>
      </c>
      <c r="X43" s="38">
        <f>IF($A43&gt;LastT,0,(-Q43+X44)/(1+Policy_Sched!$K43))</f>
        <v/>
      </c>
      <c r="Y43" s="38">
        <f>IF($A43&gt;LastT,0,-V43+Y44/(1+Policy_Sched!$K43))</f>
        <v/>
      </c>
      <c r="Z43" s="42">
        <f>W43+Y43+X43</f>
        <v/>
      </c>
      <c r="AA43" s="38">
        <f>IF($A43&gt;LastT,0,N43-V43-Q43/(1+Policy_Sched!$K43)+Z44/(1+Policy_Sched!$K43))</f>
        <v/>
      </c>
    </row>
    <row r="44">
      <c r="A44" s="30">
        <f>A43+1</f>
        <v/>
      </c>
      <c r="B44" s="31">
        <f>IF($A44&gt;LastT,0,IF($B$3="exps",B43*(1+InflRate+IF($A44&gt;=T0,$G$3,0)),B43/(1+InflRate)))</f>
        <v/>
      </c>
      <c r="C44" s="31">
        <f>IF($A44&gt;LastT,0,IF(AND($D$3&lt;&gt;0,$A44&gt;=T0,Policy_Sched!$B44&lt;LastAge),1+$D$3*$E$3,1))</f>
        <v/>
      </c>
      <c r="D44" s="36">
        <f>IF($A44&gt;LastT,0,IF($C$3="up",MIN(Policy_Sched!$E44*(1+IF($A44&gt;=T0,$E$3,0)),$F$3),IF($C$3="down",MAX(Policy_Sched!$E44*(1-IF($A44&gt;=T0,$E$3,0)),Policy_Sched!$E44-$F$3),Policy_Sched!$E44)))</f>
        <v/>
      </c>
      <c r="E44" s="37">
        <f>IF($A44&gt;LastT,0,J43-K43-L43)</f>
        <v/>
      </c>
      <c r="F44" s="37">
        <f>IF($A44&gt;LastT,0,IF($A44=PolicyTerm,E44,0))</f>
        <v/>
      </c>
      <c r="G44" s="37">
        <f>IF($A44&gt;LastT,0,E44-F44)</f>
        <v/>
      </c>
      <c r="H44" s="37">
        <f>IF($A44=0,PolicyCount,0)</f>
        <v/>
      </c>
      <c r="I44" s="37">
        <f>IF($A44&gt;LastT,0,IF(AND($C$3="mass",$A44=T0),(G44+H44)*$E$3,0))</f>
        <v/>
      </c>
      <c r="J44" s="37">
        <f>IF($A44&gt;LastT,0,G44+H44-I44)</f>
        <v/>
      </c>
      <c r="K44" s="37">
        <f>IF($A44&gt;LastT,0,J44*Policy_Sched!$C44*Policy_Sched!$D44*C44)</f>
        <v/>
      </c>
      <c r="L44" s="41">
        <f>J44*D44</f>
        <v/>
      </c>
      <c r="M44" s="38">
        <f>IF($A44&gt;LastT,0,(SizeAnnPrem*ExpsMaintAnnPrem+(SumAssured*ExpsMaintSA+ExpsMaintPol)*B44)*(1+IF($B$3="exps",$E$3,0)))</f>
        <v/>
      </c>
      <c r="N44" s="38">
        <f>SizePremium*J44</f>
        <v/>
      </c>
      <c r="O44" s="38">
        <f>SumAssured*K44</f>
        <v/>
      </c>
      <c r="P44" s="38">
        <f>Policy_Sched!$I44*(L44+I44)</f>
        <v/>
      </c>
      <c r="Q44" s="42">
        <f>O44+P44</f>
        <v/>
      </c>
      <c r="R44" s="38">
        <f>IF($A44=0,SizeExpsAcq0*H44,0)</f>
        <v/>
      </c>
      <c r="S44" s="38">
        <f>IF($A44=0,SizeExpsCommInit0*J44,0)</f>
        <v/>
      </c>
      <c r="T44" s="38">
        <f>Policy_Sched!$J44*J44</f>
        <v/>
      </c>
      <c r="U44" s="42">
        <f>M44*J44</f>
        <v/>
      </c>
      <c r="V44" s="42">
        <f>S44+T44+R44+U44</f>
        <v/>
      </c>
      <c r="W44" s="38">
        <f>IF($A44&gt;LastT,0,N44+W45/(1+Policy_Sched!$K44))</f>
        <v/>
      </c>
      <c r="X44" s="38">
        <f>IF($A44&gt;LastT,0,(-Q44+X45)/(1+Policy_Sched!$K44))</f>
        <v/>
      </c>
      <c r="Y44" s="38">
        <f>IF($A44&gt;LastT,0,-V44+Y45/(1+Policy_Sched!$K44))</f>
        <v/>
      </c>
      <c r="Z44" s="42">
        <f>W44+Y44+X44</f>
        <v/>
      </c>
      <c r="AA44" s="38">
        <f>IF($A44&gt;LastT,0,N44-V44-Q44/(1+Policy_Sched!$K44)+Z45/(1+Policy_Sched!$K44))</f>
        <v/>
      </c>
    </row>
    <row r="45">
      <c r="A45" s="30">
        <f>A44+1</f>
        <v/>
      </c>
      <c r="B45" s="31">
        <f>IF($A45&gt;LastT,0,IF($B$3="exps",B44*(1+InflRate+IF($A45&gt;=T0,$G$3,0)),B44/(1+InflRate)))</f>
        <v/>
      </c>
      <c r="C45" s="31">
        <f>IF($A45&gt;LastT,0,IF(AND($D$3&lt;&gt;0,$A45&gt;=T0,Policy_Sched!$B45&lt;LastAge),1+$D$3*$E$3,1))</f>
        <v/>
      </c>
      <c r="D45" s="36">
        <f>IF($A45&gt;LastT,0,IF($C$3="up",MIN(Policy_Sched!$E45*(1+IF($A45&gt;=T0,$E$3,0)),$F$3),IF($C$3="down",MAX(Policy_Sched!$E45*(1-IF($A45&gt;=T0,$E$3,0)),Policy_Sched!$E45-$F$3),Policy_Sched!$E45)))</f>
        <v/>
      </c>
      <c r="E45" s="37">
        <f>IF($A45&gt;LastT,0,J44-K44-L44)</f>
        <v/>
      </c>
      <c r="F45" s="37">
        <f>IF($A45&gt;LastT,0,IF($A45=PolicyTerm,E45,0))</f>
        <v/>
      </c>
      <c r="G45" s="37">
        <f>IF($A45&gt;LastT,0,E45-F45)</f>
        <v/>
      </c>
      <c r="H45" s="37">
        <f>IF($A45=0,PolicyCount,0)</f>
        <v/>
      </c>
      <c r="I45" s="37">
        <f>IF($A45&gt;LastT,0,IF(AND($C$3="mass",$A45=T0),(G45+H45)*$E$3,0))</f>
        <v/>
      </c>
      <c r="J45" s="37">
        <f>IF($A45&gt;LastT,0,G45+H45-I45)</f>
        <v/>
      </c>
      <c r="K45" s="37">
        <f>IF($A45&gt;LastT,0,J45*Policy_Sched!$C45*Policy_Sched!$D45*C45)</f>
        <v/>
      </c>
      <c r="L45" s="41">
        <f>J45*D45</f>
        <v/>
      </c>
      <c r="M45" s="38">
        <f>IF($A45&gt;LastT,0,(SizeAnnPrem*ExpsMaintAnnPrem+(SumAssured*ExpsMaintSA+ExpsMaintPol)*B45)*(1+IF($B$3="exps",$E$3,0)))</f>
        <v/>
      </c>
      <c r="N45" s="38">
        <f>SizePremium*J45</f>
        <v/>
      </c>
      <c r="O45" s="38">
        <f>SumAssured*K45</f>
        <v/>
      </c>
      <c r="P45" s="38">
        <f>Policy_Sched!$I45*(L45+I45)</f>
        <v/>
      </c>
      <c r="Q45" s="42">
        <f>O45+P45</f>
        <v/>
      </c>
      <c r="R45" s="38">
        <f>IF($A45=0,SizeExpsAcq0*H45,0)</f>
        <v/>
      </c>
      <c r="S45" s="38">
        <f>IF($A45=0,SizeExpsCommInit0*J45,0)</f>
        <v/>
      </c>
      <c r="T45" s="38">
        <f>Policy_Sched!$J45*J45</f>
        <v/>
      </c>
      <c r="U45" s="42">
        <f>M45*J45</f>
        <v/>
      </c>
      <c r="V45" s="42">
        <f>S45+T45+R45+U45</f>
        <v/>
      </c>
      <c r="W45" s="38">
        <f>IF($A45&gt;LastT,0,N45+W46/(1+Policy_Sched!$K45))</f>
        <v/>
      </c>
      <c r="X45" s="38">
        <f>IF($A45&gt;LastT,0,(-Q45+X46)/(1+Policy_Sched!$K45))</f>
        <v/>
      </c>
      <c r="Y45" s="38">
        <f>IF($A45&gt;LastT,0,-V45+Y46/(1+Policy_Sched!$K45))</f>
        <v/>
      </c>
      <c r="Z45" s="42">
        <f>W45+Y45+X45</f>
        <v/>
      </c>
      <c r="AA45" s="38">
        <f>IF($A45&gt;LastT,0,N45-V45-Q45/(1+Policy_Sched!$K45)+Z46/(1+Policy_Sched!$K45))</f>
        <v/>
      </c>
    </row>
    <row r="46">
      <c r="A46" s="30">
        <f>A45+1</f>
        <v/>
      </c>
      <c r="B46" s="31">
        <f>IF($A46&gt;LastT,0,IF($B$3="exps",B45*(1+InflRate+IF($A46&gt;=T0,$G$3,0)),B45/(1+InflRate)))</f>
        <v/>
      </c>
      <c r="C46" s="31">
        <f>IF($A46&gt;LastT,0,IF(AND($D$3&lt;&gt;0,$A46&gt;=T0,Policy_Sched!$B46&lt;LastAge),1+$D$3*$E$3,1))</f>
        <v/>
      </c>
      <c r="D46" s="36">
        <f>IF($A46&gt;LastT,0,IF($C$3="up",MIN(Policy_Sched!$E46*(1+IF($A46&gt;=T0,$E$3,0)),$F$3),IF($C$3="down",MAX(Policy_Sched!$E46*(1-IF($A46&gt;=T0,$E$3,0)),Policy_Sched!$E46-$F$3),Policy_Sched!$E46)))</f>
        <v/>
      </c>
      <c r="E46" s="37">
        <f>IF($A46&gt;LastT,0,J45-K45-L45)</f>
        <v/>
      </c>
      <c r="F46" s="37">
        <f>IF($A46&gt;LastT,0,IF($A46=PolicyTerm,E46,0))</f>
        <v/>
      </c>
      <c r="G46" s="37">
        <f>IF($A46&gt;LastT,0,E46-F46)</f>
        <v/>
      </c>
      <c r="H46" s="37">
        <f>IF($A46=0,PolicyCount,0)</f>
        <v/>
      </c>
      <c r="I46" s="37">
        <f>IF($A46&gt;LastT,0,IF(AND($C$3="mass",$A46=T0),(G46+H46)*$E$3,0))</f>
        <v/>
      </c>
      <c r="J46" s="37">
        <f>IF($A46&gt;LastT,0,G46+H46-I46)</f>
        <v/>
      </c>
      <c r="K46" s="37">
        <f>IF($A46&gt;LastT,0,J46*Policy_Sched!$C46*Policy_Sched!$D46*C46)</f>
        <v/>
      </c>
      <c r="L46" s="41">
        <f>J46*D46</f>
        <v/>
      </c>
      <c r="M46" s="38">
        <f>IF($A46&gt;LastT,0,(SizeAnnPrem*ExpsMaintAnnPrem+(SumAssured*ExpsMaintSA+ExpsMaintPol)*B46)*(1+IF($B$3="exps",$E$3,0)))</f>
        <v/>
      </c>
      <c r="N46" s="38">
        <f>SizePremium*J46</f>
        <v/>
      </c>
      <c r="O46" s="38">
        <f>SumAssured*K46</f>
        <v/>
      </c>
      <c r="P46" s="38">
        <f>Policy_Sched!$I46*(L46+I46)</f>
        <v/>
      </c>
      <c r="Q46" s="42">
        <f>O46+P46</f>
        <v/>
      </c>
      <c r="R46" s="38">
        <f>IF($A46=0,SizeExpsAcq0*H46,0)</f>
        <v/>
      </c>
      <c r="S46" s="38">
        <f>IF($A46=0,SizeExpsCommInit0*J46,0)</f>
        <v/>
      </c>
      <c r="T46" s="38">
        <f>Policy_Sched!$J46*J46</f>
        <v/>
      </c>
      <c r="U46" s="42">
        <f>M46*J46</f>
        <v/>
      </c>
      <c r="V46" s="42">
        <f>S46+T46+R46+U46</f>
        <v/>
      </c>
      <c r="W46" s="38">
        <f>IF($A46&gt;LastT,0,N46+W47/(1+Policy_Sched!$K46))</f>
        <v/>
      </c>
      <c r="X46" s="38">
        <f>IF($A46&gt;LastT,0,(-Q46+X47)/(1+Policy_Sched!$K46))</f>
        <v/>
      </c>
      <c r="Y46" s="38">
        <f>IF($A46&gt;LastT,0,-V46+Y47/(1+Policy_Sched!$K46))</f>
        <v/>
      </c>
      <c r="Z46" s="42">
        <f>W46+Y46+X46</f>
        <v/>
      </c>
      <c r="AA46" s="38">
        <f>IF($A46&gt;LastT,0,N46-V46-Q46/(1+Policy_Sched!$K46)+Z47/(1+Policy_Sched!$K46))</f>
        <v/>
      </c>
    </row>
    <row r="47">
      <c r="A47" s="30">
        <f>A46+1</f>
        <v/>
      </c>
      <c r="B47" s="31">
        <f>IF($A47&gt;LastT,0,IF($B$3="exps",B46*(1+InflRate+IF($A47&gt;=T0,$G$3,0)),B46/(1+InflRate)))</f>
        <v/>
      </c>
      <c r="C47" s="31">
        <f>IF($A47&gt;LastT,0,IF(AND($D$3&lt;&gt;0,$A47&gt;=T0,Policy_Sched!$B47&lt;LastAge),1+$D$3*$E$3,1))</f>
        <v/>
      </c>
      <c r="D47" s="36">
        <f>IF($A47&gt;LastT,0,IF($C$3="up",MIN(Policy_Sched!$E47*(1+IF($A47&gt;=T0,$E$3,0)),$F$3),IF($C$3="down",MAX(Policy_Sched!$E47*(1-IF($A47&gt;=T0,$E$3,0)),Policy_Sched!$E47-$F$3),Policy_Sched!$E47)))</f>
        <v/>
      </c>
      <c r="E47" s="37">
        <f>IF($A47&gt;LastT,0,J46-K46-L46)</f>
        <v/>
      </c>
      <c r="F47" s="37">
        <f>IF($A47&gt;LastT,0,IF($A47=PolicyTerm,E47,0))</f>
        <v/>
      </c>
      <c r="G47" s="37">
        <f>IF($A47&gt;LastT,0,E47-F47)</f>
        <v/>
      </c>
      <c r="H47" s="37">
        <f>IF($A47=0,PolicyCount,0)</f>
        <v/>
      </c>
      <c r="I47" s="37">
        <f>IF($A47&gt;LastT,0,IF(AND($C$3="mass",$A47=T0),(G47+H47)*$E$3,0))</f>
        <v/>
      </c>
      <c r="J47" s="37">
        <f>IF($A47&gt;LastT,0,G47+H47-I47)</f>
        <v/>
      </c>
      <c r="K47" s="37">
        <f>IF($A47&gt;LastT,0,J47*Policy_Sched!$C47*Policy_Sched!$D47*C47)</f>
        <v/>
      </c>
      <c r="L47" s="41">
        <f>J47*D47</f>
        <v/>
      </c>
      <c r="M47" s="38">
        <f>IF($A47&gt;LastT,0,(SizeAnnPrem*ExpsMaintAnnPrem+(SumAssured*ExpsMaintSA+ExpsMaintPol)*B47)*(1+IF($B$3="exps",$E$3,0)))</f>
        <v/>
      </c>
      <c r="N47" s="38">
        <f>SizePremium*J47</f>
        <v/>
      </c>
      <c r="O47" s="38">
        <f>SumAssured*K47</f>
        <v/>
      </c>
      <c r="P47" s="38">
        <f>Policy_Sched!$I47*(L47+I47)</f>
        <v/>
      </c>
      <c r="Q47" s="42">
        <f>O47+P47</f>
        <v/>
      </c>
      <c r="R47" s="38">
        <f>IF($A47=0,SizeExpsAcq0*H47,0)</f>
        <v/>
      </c>
      <c r="S47" s="38">
        <f>IF($A47=0,SizeExpsCommInit0*J47,0)</f>
        <v/>
      </c>
      <c r="T47" s="38">
        <f>Policy_Sched!$J47*J47</f>
        <v/>
      </c>
      <c r="U47" s="42">
        <f>M47*J47</f>
        <v/>
      </c>
      <c r="V47" s="42">
        <f>S47+T47+R47+U47</f>
        <v/>
      </c>
      <c r="W47" s="38">
        <f>IF($A47&gt;LastT,0,N47+W48/(1+Policy_Sched!$K47))</f>
        <v/>
      </c>
      <c r="X47" s="38">
        <f>IF($A47&gt;LastT,0,(-Q47+X48)/(1+Policy_Sched!$K47))</f>
        <v/>
      </c>
      <c r="Y47" s="38">
        <f>IF($A47&gt;LastT,0,-V47+Y48/(1+Policy_Sched!$K47))</f>
        <v/>
      </c>
      <c r="Z47" s="42">
        <f>W47+Y47+X47</f>
        <v/>
      </c>
      <c r="AA47" s="38">
        <f>IF($A47&gt;LastT,0,N47-V47-Q47/(1+Policy_Sched!$K47)+Z48/(1+Policy_Sched!$K47))</f>
        <v/>
      </c>
    </row>
    <row r="48">
      <c r="A48" s="30">
        <f>A47+1</f>
        <v/>
      </c>
      <c r="B48" s="31">
        <f>IF($A48&gt;LastT,0,IF($B$3="exps",B47*(1+InflRate+IF($A48&gt;=T0,$G$3,0)),B47/(1+InflRate)))</f>
        <v/>
      </c>
      <c r="C48" s="31">
        <f>IF($A48&gt;LastT,0,IF(AND($D$3&lt;&gt;0,$A48&gt;=T0,Policy_Sched!$B48&lt;LastAge),1+$D$3*$E$3,1))</f>
        <v/>
      </c>
      <c r="D48" s="36">
        <f>IF($A48&gt;LastT,0,IF($C$3="up",MIN(Policy_Sched!$E48*(1+IF($A48&gt;=T0,$E$3,0)),$F$3),IF($C$3="down",MAX(Policy_Sched!$E48*(1-IF($A48&gt;=T0,$E$3,0)),Policy_Sched!$E48-$F$3),Policy_Sched!$E48)))</f>
        <v/>
      </c>
      <c r="E48" s="37">
        <f>IF($A48&gt;LastT,0,J47-K47-L47)</f>
        <v/>
      </c>
      <c r="F48" s="37">
        <f>IF($A48&gt;LastT,0,IF($A48=PolicyTerm,E48,0))</f>
        <v/>
      </c>
      <c r="G48" s="37">
        <f>IF($A48&gt;LastT,0,E48-F48)</f>
        <v/>
      </c>
      <c r="H48" s="37">
        <f>IF($A48=0,PolicyCount,0)</f>
        <v/>
      </c>
      <c r="I48" s="37">
        <f>IF($A48&gt;LastT,0,IF(AND($C$3="mass",$A48=T0),(G48+H48)*$E$3,0))</f>
        <v/>
      </c>
      <c r="J48" s="37">
        <f>IF($A48&gt;LastT,0,G48+H48-I48)</f>
        <v/>
      </c>
      <c r="K48" s="37">
        <f>IF($A48&gt;LastT,0,J48*Policy_Sched!$C48*Policy_Sched!$D48*C48)</f>
        <v/>
      </c>
      <c r="L48" s="41">
        <f>J48*D48</f>
        <v/>
      </c>
      <c r="M48" s="38">
        <f>IF($A48&gt;LastT,0,(SizeAnnPrem*ExpsMaintAnnPrem+(SumAssured*ExpsMaintSA+ExpsMaintPol)*B48)*(1+IF($B$3="exps",$E$3,0)))</f>
        <v/>
      </c>
      <c r="N48" s="38">
        <f>SizePremium*J48</f>
        <v/>
      </c>
      <c r="O48" s="38">
        <f>SumAssured*K48</f>
        <v/>
      </c>
      <c r="P48" s="38">
        <f>Policy_Sched!$I48*(L48+I48)</f>
        <v/>
      </c>
      <c r="Q48" s="42">
        <f>O48+P48</f>
        <v/>
      </c>
      <c r="R48" s="38">
        <f>IF($A48=0,SizeExpsAcq0*H48,0)</f>
        <v/>
      </c>
      <c r="S48" s="38">
        <f>IF($A48=0,SizeExpsCommInit0*J48,0)</f>
        <v/>
      </c>
      <c r="T48" s="38">
        <f>Policy_Sched!$J48*J48</f>
        <v/>
      </c>
      <c r="U48" s="42">
        <f>M48*J48</f>
        <v/>
      </c>
      <c r="V48" s="42">
        <f>S48+T48+R48+U48</f>
        <v/>
      </c>
      <c r="W48" s="38">
        <f>IF($A48&gt;LastT,0,N48+W49/(1+Policy_Sched!$K48))</f>
        <v/>
      </c>
      <c r="X48" s="38">
        <f>IF($A48&gt;LastT,0,(-Q48+X49)/(1+Policy_Sched!$K48))</f>
        <v/>
      </c>
      <c r="Y48" s="38">
        <f>IF($A48&gt;LastT,0,-V48+Y49/(1+Policy_Sched!$K48))</f>
        <v/>
      </c>
      <c r="Z48" s="42">
        <f>W48+Y48+X48</f>
        <v/>
      </c>
      <c r="AA48" s="38">
        <f>IF($A48&gt;LastT,0,N48-V48-Q48/(1+Policy_Sched!$K48)+Z49/(1+Policy_Sched!$K48))</f>
        <v/>
      </c>
    </row>
    <row r="49">
      <c r="A49" s="30">
        <f>A48+1</f>
        <v/>
      </c>
      <c r="B49" s="31">
        <f>IF($A49&gt;LastT,0,IF($B$3="exps",B48*(1+InflRate+IF($A49&gt;=T0,$G$3,0)),B48/(1+InflRate)))</f>
        <v/>
      </c>
      <c r="C49" s="31">
        <f>IF($A49&gt;LastT,0,IF(AND($D$3&lt;&gt;0,$A49&gt;=T0,Policy_Sched!$B49&lt;LastAge),1+$D$3*$E$3,1))</f>
        <v/>
      </c>
      <c r="D49" s="36">
        <f>IF($A49&gt;LastT,0,IF($C$3="up",MIN(Policy_Sched!$E49*(1+IF($A49&gt;=T0,$E$3,0)),$F$3),IF($C$3="down",MAX(Policy_Sched!$E49*(1-IF($A49&gt;=T0,$E$3,0)),Policy_Sched!$E49-$F$3),Policy_Sched!$E49)))</f>
        <v/>
      </c>
      <c r="E49" s="37">
        <f>IF($A49&gt;LastT,0,J48-K48-L48)</f>
        <v/>
      </c>
      <c r="F49" s="37">
        <f>IF($A49&gt;LastT,0,IF($A49=PolicyTerm,E49,0))</f>
        <v/>
      </c>
      <c r="G49" s="37">
        <f>IF($A49&gt;LastT,0,E49-F49)</f>
        <v/>
      </c>
      <c r="H49" s="37">
        <f>IF($A49=0,PolicyCount,0)</f>
        <v/>
      </c>
      <c r="I49" s="37">
        <f>IF($A49&gt;LastT,0,IF(AND($C$3="mass",$A49=T0),(G49+H49)*$E$3,0))</f>
        <v/>
      </c>
      <c r="J49" s="37">
        <f>IF($A49&gt;LastT,0,G49+H49-I49)</f>
        <v/>
      </c>
      <c r="K49" s="37">
        <f>IF($A49&gt;LastT,0,J49*Policy_Sched!$C49*Policy_Sched!$D49*C49)</f>
        <v/>
      </c>
      <c r="L49" s="41">
        <f>J49*D49</f>
        <v/>
      </c>
      <c r="M49" s="38">
        <f>IF($A49&gt;LastT,0,(SizeAnnPrem*ExpsMaintAnnPrem+(SumAssured*ExpsMaintSA+ExpsMaintPol)*B49)*(1+IF($B$3="exps",$E$3,0)))</f>
        <v/>
      </c>
      <c r="N49" s="38">
        <f>SizePremium*J49</f>
        <v/>
      </c>
      <c r="O49" s="38">
        <f>SumAssured*K49</f>
        <v/>
      </c>
      <c r="P49" s="38">
        <f>Policy_Sched!$I49*(L49+I49)</f>
        <v/>
      </c>
      <c r="Q49" s="42">
        <f>O49+P49</f>
        <v/>
      </c>
      <c r="R49" s="38">
        <f>IF($A49=0,SizeExpsAcq0*H49,0)</f>
        <v/>
      </c>
      <c r="S49" s="38">
        <f>IF($A49=0,SizeExpsCommInit0*J49,0)</f>
        <v/>
      </c>
      <c r="T49" s="38">
        <f>Policy_Sched!$J49*J49</f>
        <v/>
      </c>
      <c r="U49" s="42">
        <f>M49*J49</f>
        <v/>
      </c>
      <c r="V49" s="42">
        <f>S49+T49+R49+U49</f>
        <v/>
      </c>
      <c r="W49" s="38">
        <f>IF($A49&gt;LastT,0,N49+W50/(1+Policy_Sched!$K49))</f>
        <v/>
      </c>
      <c r="X49" s="38">
        <f>IF($A49&gt;LastT,0,(-Q49+X50)/(1+Policy_Sched!$K49))</f>
        <v/>
      </c>
      <c r="Y49" s="38">
        <f>IF($A49&gt;LastT,0,-V49+Y50/(1+Policy_Sched!$K49))</f>
        <v/>
      </c>
      <c r="Z49" s="42">
        <f>W49+Y49+X49</f>
        <v/>
      </c>
      <c r="AA49" s="38">
        <f>IF($A49&gt;LastT,0,N49-V49-Q49/(1+Policy_Sched!$K49)+Z50/(1+Policy_Sched!$K49))</f>
        <v/>
      </c>
    </row>
    <row r="50">
      <c r="A50" s="30">
        <f>A49+1</f>
        <v/>
      </c>
      <c r="B50" s="31">
        <f>IF($A50&gt;LastT,0,IF($B$3="exps",B49*(1+InflRate+IF($A50&gt;=T0,$G$3,0)),B49/(1+InflRate)))</f>
        <v/>
      </c>
      <c r="C50" s="31">
        <f>IF($A50&gt;LastT,0,IF(AND($D$3&lt;&gt;0,$A50&gt;=T0,Policy_Sched!$B50&lt;LastAge),1+$D$3*$E$3,1))</f>
        <v/>
      </c>
      <c r="D50" s="36">
        <f>IF($A50&gt;LastT,0,IF($C$3="up",MIN(Policy_Sched!$E50*(1+IF($A50&gt;=T0,$E$3,0)),$F$3),IF($C$3="down",MAX(Policy_Sched!$E50*(1-IF($A50&gt;=T0,$E$3,0)),Policy_Sched!$E50-$F$3),Policy_Sched!$E50)))</f>
        <v/>
      </c>
      <c r="E50" s="37">
        <f>IF($A50&gt;LastT,0,J49-K49-L49)</f>
        <v/>
      </c>
      <c r="F50" s="37">
        <f>IF($A50&gt;LastT,0,IF($A50=PolicyTerm,E50,0))</f>
        <v/>
      </c>
      <c r="G50" s="37">
        <f>IF($A50&gt;LastT,0,E50-F50)</f>
        <v/>
      </c>
      <c r="H50" s="37">
        <f>IF($A50=0,PolicyCount,0)</f>
        <v/>
      </c>
      <c r="I50" s="37">
        <f>IF($A50&gt;LastT,0,IF(AND($C$3="mass",$A50=T0),(G50+H50)*$E$3,0))</f>
        <v/>
      </c>
      <c r="J50" s="37">
        <f>IF($A50&gt;LastT,0,G50+H50-I50)</f>
        <v/>
      </c>
      <c r="K50" s="37">
        <f>IF($A50&gt;LastT,0,J50*Policy_Sched!$C50*Policy_Sched!$D50*C50)</f>
        <v/>
      </c>
      <c r="L50" s="41">
        <f>J50*D50</f>
        <v/>
      </c>
      <c r="M50" s="38">
        <f>IF($A50&gt;LastT,0,(SizeAnnPrem*ExpsMaintAnnPrem+(SumAssured*ExpsMaintSA+ExpsMaintPol)*B50)*(1+IF($B$3="exps",$E$3,0)))</f>
        <v/>
      </c>
      <c r="N50" s="38">
        <f>SizePremium*J50</f>
        <v/>
      </c>
      <c r="O50" s="38">
        <f>SumAssured*K50</f>
        <v/>
      </c>
      <c r="P50" s="38">
        <f>Policy_Sched!$I50*(L50+I50)</f>
        <v/>
      </c>
      <c r="Q50" s="42">
        <f>O50+P50</f>
        <v/>
      </c>
      <c r="R50" s="38">
        <f>IF($A50=0,SizeExpsAcq0*H50,0)</f>
        <v/>
      </c>
      <c r="S50" s="38">
        <f>IF($A50=0,SizeExpsCommInit0*J50,0)</f>
        <v/>
      </c>
      <c r="T50" s="38">
        <f>Policy_Sched!$J50*J50</f>
        <v/>
      </c>
      <c r="U50" s="42">
        <f>M50*J50</f>
        <v/>
      </c>
      <c r="V50" s="42">
        <f>S50+T50+R50+U50</f>
        <v/>
      </c>
      <c r="W50" s="38">
        <f>IF($A50&gt;LastT,0,N50+W51/(1+Policy_Sched!$K50))</f>
        <v/>
      </c>
      <c r="X50" s="38">
        <f>IF($A50&gt;LastT,0,(-Q50+X51)/(1+Policy_Sched!$K50))</f>
        <v/>
      </c>
      <c r="Y50" s="38">
        <f>IF($A50&gt;LastT,0,-V50+Y51/(1+Policy_Sched!$K50))</f>
        <v/>
      </c>
      <c r="Z50" s="42">
        <f>W50+Y50+X50</f>
        <v/>
      </c>
      <c r="AA50" s="38">
        <f>IF($A50&gt;LastT,0,N50-V50-Q50/(1+Policy_Sched!$K50)+Z51/(1+Policy_Sched!$K50))</f>
        <v/>
      </c>
    </row>
    <row r="51">
      <c r="A51" s="30">
        <f>A50+1</f>
        <v/>
      </c>
      <c r="B51" s="31">
        <f>IF($A51&gt;LastT,0,IF($B$3="exps",B50*(1+InflRate+IF($A51&gt;=T0,$G$3,0)),B50/(1+InflRate)))</f>
        <v/>
      </c>
      <c r="C51" s="31">
        <f>IF($A51&gt;LastT,0,IF(AND($D$3&lt;&gt;0,$A51&gt;=T0,Policy_Sched!$B51&lt;LastAge),1+$D$3*$E$3,1))</f>
        <v/>
      </c>
      <c r="D51" s="36">
        <f>IF($A51&gt;LastT,0,IF($C$3="up",MIN(Policy_Sched!$E51*(1+IF($A51&gt;=T0,$E$3,0)),$F$3),IF($C$3="down",MAX(Policy_Sched!$E51*(1-IF($A51&gt;=T0,$E$3,0)),Policy_Sched!$E51-$F$3),Policy_Sched!$E51)))</f>
        <v/>
      </c>
      <c r="E51" s="37">
        <f>IF($A51&gt;LastT,0,J50-K50-L50)</f>
        <v/>
      </c>
      <c r="F51" s="37">
        <f>IF($A51&gt;LastT,0,IF($A51=PolicyTerm,E51,0))</f>
        <v/>
      </c>
      <c r="G51" s="37">
        <f>IF($A51&gt;LastT,0,E51-F51)</f>
        <v/>
      </c>
      <c r="H51" s="37">
        <f>IF($A51=0,PolicyCount,0)</f>
        <v/>
      </c>
      <c r="I51" s="37">
        <f>IF($A51&gt;LastT,0,IF(AND($C$3="mass",$A51=T0),(G51+H51)*$E$3,0))</f>
        <v/>
      </c>
      <c r="J51" s="37">
        <f>IF($A51&gt;LastT,0,G51+H51-I51)</f>
        <v/>
      </c>
      <c r="K51" s="37">
        <f>IF($A51&gt;LastT,0,J51*Policy_Sched!$C51*Policy_Sched!$D51*C51)</f>
        <v/>
      </c>
      <c r="L51" s="41">
        <f>J51*D51</f>
        <v/>
      </c>
      <c r="M51" s="38">
        <f>IF($A51&gt;LastT,0,(SizeAnnPrem*ExpsMaintAnnPrem+(SumAssured*ExpsMaintSA+ExpsMaintPol)*B51)*(1+IF($B$3="exps",$E$3,0)))</f>
        <v/>
      </c>
      <c r="N51" s="38">
        <f>SizePremium*J51</f>
        <v/>
      </c>
      <c r="O51" s="38">
        <f>SumAssured*K51</f>
        <v/>
      </c>
      <c r="P51" s="38">
        <f>Policy_Sched!$I51*(L51+I51)</f>
        <v/>
      </c>
      <c r="Q51" s="42">
        <f>O51+P51</f>
        <v/>
      </c>
      <c r="R51" s="38">
        <f>IF($A51=0,SizeExpsAcq0*H51,0)</f>
        <v/>
      </c>
      <c r="S51" s="38">
        <f>IF($A51=0,SizeExpsCommInit0*J51,0)</f>
        <v/>
      </c>
      <c r="T51" s="38">
        <f>Policy_Sched!$J51*J51</f>
        <v/>
      </c>
      <c r="U51" s="42">
        <f>M51*J51</f>
        <v/>
      </c>
      <c r="V51" s="42">
        <f>S51+T51+R51+U51</f>
        <v/>
      </c>
      <c r="W51" s="38">
        <f>IF($A51&gt;LastT,0,N51+W52/(1+Policy_Sched!$K51))</f>
        <v/>
      </c>
      <c r="X51" s="38">
        <f>IF($A51&gt;LastT,0,(-Q51+X52)/(1+Policy_Sched!$K51))</f>
        <v/>
      </c>
      <c r="Y51" s="38">
        <f>IF($A51&gt;LastT,0,-V51+Y52/(1+Policy_Sched!$K51))</f>
        <v/>
      </c>
      <c r="Z51" s="42">
        <f>W51+Y51+X51</f>
        <v/>
      </c>
      <c r="AA51" s="38">
        <f>IF($A51&gt;LastT,0,N51-V51-Q51/(1+Policy_Sched!$K51)+Z52/(1+Policy_Sched!$K51))</f>
        <v/>
      </c>
    </row>
    <row r="52">
      <c r="A52" s="30">
        <f>A51+1</f>
        <v/>
      </c>
      <c r="B52" s="31">
        <f>IF($A52&gt;LastT,0,IF($B$3="exps",B51*(1+InflRate+IF($A52&gt;=T0,$G$3,0)),B51/(1+InflRate)))</f>
        <v/>
      </c>
      <c r="C52" s="31">
        <f>IF($A52&gt;LastT,0,IF(AND($D$3&lt;&gt;0,$A52&gt;=T0,Policy_Sched!$B52&lt;LastAge),1+$D$3*$E$3,1))</f>
        <v/>
      </c>
      <c r="D52" s="36">
        <f>IF($A52&gt;LastT,0,IF($C$3="up",MIN(Policy_Sched!$E52*(1+IF($A52&gt;=T0,$E$3,0)),$F$3),IF($C$3="down",MAX(Policy_Sched!$E52*(1-IF($A52&gt;=T0,$E$3,0)),Policy_Sched!$E52-$F$3),Policy_Sched!$E52)))</f>
        <v/>
      </c>
      <c r="E52" s="37">
        <f>IF($A52&gt;LastT,0,J51-K51-L51)</f>
        <v/>
      </c>
      <c r="F52" s="37">
        <f>IF($A52&gt;LastT,0,IF($A52=PolicyTerm,E52,0))</f>
        <v/>
      </c>
      <c r="G52" s="37">
        <f>IF($A52&gt;LastT,0,E52-F52)</f>
        <v/>
      </c>
      <c r="H52" s="37">
        <f>IF($A52=0,PolicyCount,0)</f>
        <v/>
      </c>
      <c r="I52" s="37">
        <f>IF($A52&gt;LastT,0,IF(AND($C$3="mass",$A52=T0),(G52+H52)*$E$3,0))</f>
        <v/>
      </c>
      <c r="J52" s="37">
        <f>IF($A52&gt;LastT,0,G52+H52-I52)</f>
        <v/>
      </c>
      <c r="K52" s="37">
        <f>IF($A52&gt;LastT,0,J52*Policy_Sched!$C52*Policy_Sched!$D52*C52)</f>
        <v/>
      </c>
      <c r="L52" s="41">
        <f>J52*D52</f>
        <v/>
      </c>
      <c r="M52" s="38">
        <f>IF($A52&gt;LastT,0,(SizeAnnPrem*ExpsMaintAnnPrem+(SumAssured*ExpsMaintSA+ExpsMaintPol)*B52)*(1+IF($B$3="exps",$E$3,0)))</f>
        <v/>
      </c>
      <c r="N52" s="38">
        <f>SizePremium*J52</f>
        <v/>
      </c>
      <c r="O52" s="38">
        <f>SumAssured*K52</f>
        <v/>
      </c>
      <c r="P52" s="38">
        <f>Policy_Sched!$I52*(L52+I52)</f>
        <v/>
      </c>
      <c r="Q52" s="42">
        <f>O52+P52</f>
        <v/>
      </c>
      <c r="R52" s="38">
        <f>IF($A52=0,SizeExpsAcq0*H52,0)</f>
        <v/>
      </c>
      <c r="S52" s="38">
        <f>IF($A52=0,SizeExpsCommInit0*J52,0)</f>
        <v/>
      </c>
      <c r="T52" s="38">
        <f>Policy_Sched!$J52*J52</f>
        <v/>
      </c>
      <c r="U52" s="42">
        <f>M52*J52</f>
        <v/>
      </c>
      <c r="V52" s="42">
        <f>S52+T52+R52+U52</f>
        <v/>
      </c>
      <c r="W52" s="38">
        <f>IF($A52&gt;LastT,0,N52+W53/(1+Policy_Sched!$K52))</f>
        <v/>
      </c>
      <c r="X52" s="38">
        <f>IF($A52&gt;LastT,0,(-Q52+X53)/(1+Policy_Sched!$K52))</f>
        <v/>
      </c>
      <c r="Y52" s="38">
        <f>IF($A52&gt;LastT,0,-V52+Y53/(1+Policy_Sched!$K52))</f>
        <v/>
      </c>
      <c r="Z52" s="42">
        <f>W52+Y52+X52</f>
        <v/>
      </c>
      <c r="AA52" s="38">
        <f>IF($A52&gt;LastT,0,N52-V52-Q52/(1+Policy_Sched!$K52)+Z53/(1+Policy_Sched!$K52))</f>
        <v/>
      </c>
    </row>
    <row r="53">
      <c r="A53" s="30">
        <f>A52+1</f>
        <v/>
      </c>
      <c r="B53" s="31">
        <f>IF($A53&gt;LastT,0,IF($B$3="exps",B52*(1+InflRate+IF($A53&gt;=T0,$G$3,0)),B52/(1+InflRate)))</f>
        <v/>
      </c>
      <c r="C53" s="31">
        <f>IF($A53&gt;LastT,0,IF(AND($D$3&lt;&gt;0,$A53&gt;=T0,Policy_Sched!$B53&lt;LastAge),1+$D$3*$E$3,1))</f>
        <v/>
      </c>
      <c r="D53" s="36">
        <f>IF($A53&gt;LastT,0,IF($C$3="up",MIN(Policy_Sched!$E53*(1+IF($A53&gt;=T0,$E$3,0)),$F$3),IF($C$3="down",MAX(Policy_Sched!$E53*(1-IF($A53&gt;=T0,$E$3,0)),Policy_Sched!$E53-$F$3),Policy_Sched!$E53)))</f>
        <v/>
      </c>
      <c r="E53" s="37">
        <f>IF($A53&gt;LastT,0,J52-K52-L52)</f>
        <v/>
      </c>
      <c r="F53" s="37">
        <f>IF($A53&gt;LastT,0,IF($A53=PolicyTerm,E53,0))</f>
        <v/>
      </c>
      <c r="G53" s="37">
        <f>IF($A53&gt;LastT,0,E53-F53)</f>
        <v/>
      </c>
      <c r="H53" s="37">
        <f>IF($A53=0,PolicyCount,0)</f>
        <v/>
      </c>
      <c r="I53" s="37">
        <f>IF($A53&gt;LastT,0,IF(AND($C$3="mass",$A53=T0),(G53+H53)*$E$3,0))</f>
        <v/>
      </c>
      <c r="J53" s="37">
        <f>IF($A53&gt;LastT,0,G53+H53-I53)</f>
        <v/>
      </c>
      <c r="K53" s="37">
        <f>IF($A53&gt;LastT,0,J53*Policy_Sched!$C53*Policy_Sched!$D53*C53)</f>
        <v/>
      </c>
      <c r="L53" s="41">
        <f>J53*D53</f>
        <v/>
      </c>
      <c r="M53" s="38">
        <f>IF($A53&gt;LastT,0,(SizeAnnPrem*ExpsMaintAnnPrem+(SumAssured*ExpsMaintSA+ExpsMaintPol)*B53)*(1+IF($B$3="exps",$E$3,0)))</f>
        <v/>
      </c>
      <c r="N53" s="38">
        <f>SizePremium*J53</f>
        <v/>
      </c>
      <c r="O53" s="38">
        <f>SumAssured*K53</f>
        <v/>
      </c>
      <c r="P53" s="38">
        <f>Policy_Sched!$I53*(L53+I53)</f>
        <v/>
      </c>
      <c r="Q53" s="42">
        <f>O53+P53</f>
        <v/>
      </c>
      <c r="R53" s="38">
        <f>IF($A53=0,SizeExpsAcq0*H53,0)</f>
        <v/>
      </c>
      <c r="S53" s="38">
        <f>IF($A53=0,SizeExpsCommInit0*J53,0)</f>
        <v/>
      </c>
      <c r="T53" s="38">
        <f>Policy_Sched!$J53*J53</f>
        <v/>
      </c>
      <c r="U53" s="42">
        <f>M53*J53</f>
        <v/>
      </c>
      <c r="V53" s="42">
        <f>S53+T53+R53+U53</f>
        <v/>
      </c>
      <c r="W53" s="38">
        <f>IF($A53&gt;LastT,0,N53+W54/(1+Policy_Sched!$K53))</f>
        <v/>
      </c>
      <c r="X53" s="38">
        <f>IF($A53&gt;LastT,0,(-Q53+X54)/(1+Policy_Sched!$K53))</f>
        <v/>
      </c>
      <c r="Y53" s="38">
        <f>IF($A53&gt;LastT,0,-V53+Y54/(1+Policy_Sched!$K53))</f>
        <v/>
      </c>
      <c r="Z53" s="42">
        <f>W53+Y53+X53</f>
        <v/>
      </c>
      <c r="AA53" s="38">
        <f>IF($A53&gt;LastT,0,N53-V53-Q53/(1+Policy_Sched!$K53)+Z54/(1+Policy_Sched!$K53))</f>
        <v/>
      </c>
    </row>
    <row r="54">
      <c r="A54" s="30">
        <f>A53+1</f>
        <v/>
      </c>
      <c r="B54" s="31">
        <f>IF($A54&gt;LastT,0,IF($B$3="exps",B53*(1+InflRate+IF($A54&gt;=T0,$G$3,0)),B53/(1+InflRate)))</f>
        <v/>
      </c>
      <c r="C54" s="31">
        <f>IF($A54&gt;LastT,0,IF(AND($D$3&lt;&gt;0,$A54&gt;=T0,Policy_Sched!$B54&lt;LastAge),1+$D$3*$E$3,1))</f>
        <v/>
      </c>
      <c r="D54" s="36">
        <f>IF($A54&gt;LastT,0,IF($C$3="up",MIN(Policy_Sched!$E54*(1+IF($A54&gt;=T0,$E$3,0)),$F$3),IF($C$3="down",MAX(Policy_Sched!$E54*(1-IF($A54&gt;=T0,$E$3,0)),Policy_Sched!$E54-$F$3),Policy_Sched!$E54)))</f>
        <v/>
      </c>
      <c r="E54" s="37">
        <f>IF($A54&gt;LastT,0,J53-K53-L53)</f>
        <v/>
      </c>
      <c r="F54" s="37">
        <f>IF($A54&gt;LastT,0,IF($A54=PolicyTerm,E54,0))</f>
        <v/>
      </c>
      <c r="G54" s="37">
        <f>IF($A54&gt;LastT,0,E54-F54)</f>
        <v/>
      </c>
      <c r="H54" s="37">
        <f>IF($A54=0,PolicyCount,0)</f>
        <v/>
      </c>
      <c r="I54" s="37">
        <f>IF($A54&gt;LastT,0,IF(AND($C$3="mass",$A54=T0),(G54+H54)*$E$3,0))</f>
        <v/>
      </c>
      <c r="J54" s="37">
        <f>IF($A54&gt;LastT,0,G54+H54-I54)</f>
        <v/>
      </c>
      <c r="K54" s="37">
        <f>IF($A54&gt;LastT,0,J54*Policy_Sched!$C54*Policy_Sched!$D54*C54)</f>
        <v/>
      </c>
      <c r="L54" s="41">
        <f>J54*D54</f>
        <v/>
      </c>
      <c r="M54" s="38">
        <f>IF($A54&gt;LastT,0,(SizeAnnPrem*ExpsMaintAnnPrem+(SumAssured*ExpsMaintSA+ExpsMaintPol)*B54)*(1+IF($B$3="exps",$E$3,0)))</f>
        <v/>
      </c>
      <c r="N54" s="38">
        <f>SizePremium*J54</f>
        <v/>
      </c>
      <c r="O54" s="38">
        <f>SumAssured*K54</f>
        <v/>
      </c>
      <c r="P54" s="38">
        <f>Policy_Sched!$I54*(L54+I54)</f>
        <v/>
      </c>
      <c r="Q54" s="42">
        <f>O54+P54</f>
        <v/>
      </c>
      <c r="R54" s="38">
        <f>IF($A54=0,SizeExpsAcq0*H54,0)</f>
        <v/>
      </c>
      <c r="S54" s="38">
        <f>IF($A54=0,SizeExpsCommInit0*J54,0)</f>
        <v/>
      </c>
      <c r="T54" s="38">
        <f>Policy_Sched!$J54*J54</f>
        <v/>
      </c>
      <c r="U54" s="42">
        <f>M54*J54</f>
        <v/>
      </c>
      <c r="V54" s="42">
        <f>S54+T54+R54+U54</f>
        <v/>
      </c>
      <c r="W54" s="38">
        <f>IF($A54&gt;LastT,0,N54+W55/(1+Policy_Sched!$K54))</f>
        <v/>
      </c>
      <c r="X54" s="38">
        <f>IF($A54&gt;LastT,0,(-Q54+X55)/(1+Policy_Sched!$K54))</f>
        <v/>
      </c>
      <c r="Y54" s="38">
        <f>IF($A54&gt;LastT,0,-V54+Y55/(1+Policy_Sched!$K54))</f>
        <v/>
      </c>
      <c r="Z54" s="42">
        <f>W54+Y54+X54</f>
        <v/>
      </c>
      <c r="AA54" s="38">
        <f>IF($A54&gt;LastT,0,N54-V54-Q54/(1+Policy_Sched!$K54)+Z55/(1+Policy_Sched!$K54))</f>
        <v/>
      </c>
    </row>
    <row r="55">
      <c r="A55" s="30">
        <f>A54+1</f>
        <v/>
      </c>
      <c r="B55" s="31">
        <f>IF($A55&gt;LastT,0,IF($B$3="exps",B54*(1+InflRate+IF($A55&gt;=T0,$G$3,0)),B54/(1+InflRate)))</f>
        <v/>
      </c>
      <c r="C55" s="31">
        <f>IF($A55&gt;LastT,0,IF(AND($D$3&lt;&gt;0,$A55&gt;=T0,Policy_Sched!$B55&lt;LastAge),1+$D$3*$E$3,1))</f>
        <v/>
      </c>
      <c r="D55" s="36">
        <f>IF($A55&gt;LastT,0,IF($C$3="up",MIN(Policy_Sched!$E55*(1+IF($A55&gt;=T0,$E$3,0)),$F$3),IF($C$3="down",MAX(Policy_Sched!$E55*(1-IF($A55&gt;=T0,$E$3,0)),Policy_Sched!$E55-$F$3),Policy_Sched!$E55)))</f>
        <v/>
      </c>
      <c r="E55" s="37">
        <f>IF($A55&gt;LastT,0,J54-K54-L54)</f>
        <v/>
      </c>
      <c r="F55" s="37">
        <f>IF($A55&gt;LastT,0,IF($A55=PolicyTerm,E55,0))</f>
        <v/>
      </c>
      <c r="G55" s="37">
        <f>IF($A55&gt;LastT,0,E55-F55)</f>
        <v/>
      </c>
      <c r="H55" s="37">
        <f>IF($A55=0,PolicyCount,0)</f>
        <v/>
      </c>
      <c r="I55" s="37">
        <f>IF($A55&gt;LastT,0,IF(AND($C$3="mass",$A55=T0),(G55+H55)*$E$3,0))</f>
        <v/>
      </c>
      <c r="J55" s="37">
        <f>IF($A55&gt;LastT,0,G55+H55-I55)</f>
        <v/>
      </c>
      <c r="K55" s="37">
        <f>IF($A55&gt;LastT,0,J55*Policy_Sched!$C55*Policy_Sched!$D55*C55)</f>
        <v/>
      </c>
      <c r="L55" s="41">
        <f>J55*D55</f>
        <v/>
      </c>
      <c r="M55" s="38">
        <f>IF($A55&gt;LastT,0,(SizeAnnPrem*ExpsMaintAnnPrem+(SumAssured*ExpsMaintSA+ExpsMaintPol)*B55)*(1+IF($B$3="exps",$E$3,0)))</f>
        <v/>
      </c>
      <c r="N55" s="38">
        <f>SizePremium*J55</f>
        <v/>
      </c>
      <c r="O55" s="38">
        <f>SumAssured*K55</f>
        <v/>
      </c>
      <c r="P55" s="38">
        <f>Policy_Sched!$I55*(L55+I55)</f>
        <v/>
      </c>
      <c r="Q55" s="42">
        <f>O55+P55</f>
        <v/>
      </c>
      <c r="R55" s="38">
        <f>IF($A55=0,SizeExpsAcq0*H55,0)</f>
        <v/>
      </c>
      <c r="S55" s="38">
        <f>IF($A55=0,SizeExpsCommInit0*J55,0)</f>
        <v/>
      </c>
      <c r="T55" s="38">
        <f>Policy_Sched!$J55*J55</f>
        <v/>
      </c>
      <c r="U55" s="42">
        <f>M55*J55</f>
        <v/>
      </c>
      <c r="V55" s="42">
        <f>S55+T55+R55+U55</f>
        <v/>
      </c>
      <c r="W55" s="38">
        <f>IF($A55&gt;LastT,0,N55+W56/(1+Policy_Sched!$K55))</f>
        <v/>
      </c>
      <c r="X55" s="38">
        <f>IF($A55&gt;LastT,0,(-Q55+X56)/(1+Policy_Sched!$K55))</f>
        <v/>
      </c>
      <c r="Y55" s="38">
        <f>IF($A55&gt;LastT,0,-V55+Y56/(1+Policy_Sched!$K55))</f>
        <v/>
      </c>
      <c r="Z55" s="42">
        <f>W55+Y55+X55</f>
        <v/>
      </c>
      <c r="AA55" s="38">
        <f>IF($A55&gt;LastT,0,N55-V55-Q55/(1+Policy_Sched!$K55)+Z56/(1+Policy_Sched!$K55))</f>
        <v/>
      </c>
    </row>
    <row r="56">
      <c r="A56" s="30">
        <f>A55+1</f>
        <v/>
      </c>
      <c r="B56" s="31">
        <f>IF($A56&gt;LastT,0,IF($B$3="exps",B55*(1+InflRate+IF($A56&gt;=T0,$G$3,0)),B55/(1+InflRate)))</f>
        <v/>
      </c>
      <c r="C56" s="31">
        <f>IF($A56&gt;LastT,0,IF(AND($D$3&lt;&gt;0,$A56&gt;=T0,Policy_Sched!$B56&lt;LastAge),1+$D$3*$E$3,1))</f>
        <v/>
      </c>
      <c r="D56" s="36">
        <f>IF($A56&gt;LastT,0,IF($C$3="up",MIN(Policy_Sched!$E56*(1+IF($A56&gt;=T0,$E$3,0)),$F$3),IF($C$3="down",MAX(Policy_Sched!$E56*(1-IF($A56&gt;=T0,$E$3,0)),Policy_Sched!$E56-$F$3),Policy_Sched!$E56)))</f>
        <v/>
      </c>
      <c r="E56" s="37">
        <f>IF($A56&gt;LastT,0,J55-K55-L55)</f>
        <v/>
      </c>
      <c r="F56" s="37">
        <f>IF($A56&gt;LastT,0,IF($A56=PolicyTerm,E56,0))</f>
        <v/>
      </c>
      <c r="G56" s="37">
        <f>IF($A56&gt;LastT,0,E56-F56)</f>
        <v/>
      </c>
      <c r="H56" s="37">
        <f>IF($A56=0,PolicyCount,0)</f>
        <v/>
      </c>
      <c r="I56" s="37">
        <f>IF($A56&gt;LastT,0,IF(AND($C$3="mass",$A56=T0),(G56+H56)*$E$3,0))</f>
        <v/>
      </c>
      <c r="J56" s="37">
        <f>IF($A56&gt;LastT,0,G56+H56-I56)</f>
        <v/>
      </c>
      <c r="K56" s="37">
        <f>IF($A56&gt;LastT,0,J56*Policy_Sched!$C56*Policy_Sched!$D56*C56)</f>
        <v/>
      </c>
      <c r="L56" s="41">
        <f>J56*D56</f>
        <v/>
      </c>
      <c r="M56" s="38">
        <f>IF($A56&gt;LastT,0,(SizeAnnPrem*ExpsMaintAnnPrem+(SumAssured*ExpsMaintSA+ExpsMaintPol)*B56)*(1+IF($B$3="exps",$E$3,0)))</f>
        <v/>
      </c>
      <c r="N56" s="38">
        <f>SizePremium*J56</f>
        <v/>
      </c>
      <c r="O56" s="38">
        <f>SumAssured*K56</f>
        <v/>
      </c>
      <c r="P56" s="38">
        <f>Policy_Sched!$I56*(L56+I56)</f>
        <v/>
      </c>
      <c r="Q56" s="42">
        <f>O56+P56</f>
        <v/>
      </c>
      <c r="R56" s="38">
        <f>IF($A56=0,SizeExpsAcq0*H56,0)</f>
        <v/>
      </c>
      <c r="S56" s="38">
        <f>IF($A56=0,SizeExpsCommInit0*J56,0)</f>
        <v/>
      </c>
      <c r="T56" s="38">
        <f>Policy_Sched!$J56*J56</f>
        <v/>
      </c>
      <c r="U56" s="42">
        <f>M56*J56</f>
        <v/>
      </c>
      <c r="V56" s="42">
        <f>S56+T56+R56+U56</f>
        <v/>
      </c>
      <c r="W56" s="38">
        <f>IF($A56&gt;LastT,0,N56+W57/(1+Policy_Sched!$K56))</f>
        <v/>
      </c>
      <c r="X56" s="38">
        <f>IF($A56&gt;LastT,0,(-Q56+X57)/(1+Policy_Sched!$K56))</f>
        <v/>
      </c>
      <c r="Y56" s="38">
        <f>IF($A56&gt;LastT,0,-V56+Y57/(1+Policy_Sched!$K56))</f>
        <v/>
      </c>
      <c r="Z56" s="42">
        <f>W56+Y56+X56</f>
        <v/>
      </c>
      <c r="AA56" s="38">
        <f>IF($A56&gt;LastT,0,N56-V56-Q56/(1+Policy_Sched!$K56)+Z57/(1+Policy_Sched!$K56))</f>
        <v/>
      </c>
    </row>
    <row r="57">
      <c r="A57" s="30">
        <f>A56+1</f>
        <v/>
      </c>
      <c r="B57" s="31">
        <f>IF($A57&gt;LastT,0,IF($B$3="exps",B56*(1+InflRate+IF($A57&gt;=T0,$G$3,0)),B56/(1+InflRate)))</f>
        <v/>
      </c>
      <c r="C57" s="31">
        <f>IF($A57&gt;LastT,0,IF(AND($D$3&lt;&gt;0,$A57&gt;=T0,Policy_Sched!$B57&lt;LastAge),1+$D$3*$E$3,1))</f>
        <v/>
      </c>
      <c r="D57" s="36">
        <f>IF($A57&gt;LastT,0,IF($C$3="up",MIN(Policy_Sched!$E57*(1+IF($A57&gt;=T0,$E$3,0)),$F$3),IF($C$3="down",MAX(Policy_Sched!$E57*(1-IF($A57&gt;=T0,$E$3,0)),Policy_Sched!$E57-$F$3),Policy_Sched!$E57)))</f>
        <v/>
      </c>
      <c r="E57" s="37">
        <f>IF($A57&gt;LastT,0,J56-K56-L56)</f>
        <v/>
      </c>
      <c r="F57" s="37">
        <f>IF($A57&gt;LastT,0,IF($A57=PolicyTerm,E57,0))</f>
        <v/>
      </c>
      <c r="G57" s="37">
        <f>IF($A57&gt;LastT,0,E57-F57)</f>
        <v/>
      </c>
      <c r="H57" s="37">
        <f>IF($A57=0,PolicyCount,0)</f>
        <v/>
      </c>
      <c r="I57" s="37">
        <f>IF($A57&gt;LastT,0,IF(AND($C$3="mass",$A57=T0),(G57+H57)*$E$3,0))</f>
        <v/>
      </c>
      <c r="J57" s="37">
        <f>IF($A57&gt;LastT,0,G57+H57-I57)</f>
        <v/>
      </c>
      <c r="K57" s="37">
        <f>IF($A57&gt;LastT,0,J57*Policy_Sched!$C57*Policy_Sched!$D57*C57)</f>
        <v/>
      </c>
      <c r="L57" s="41">
        <f>J57*D57</f>
        <v/>
      </c>
      <c r="M57" s="38">
        <f>IF($A57&gt;LastT,0,(SizeAnnPrem*ExpsMaintAnnPrem+(SumAssured*ExpsMaintSA+ExpsMaintPol)*B57)*(1+IF($B$3="exps",$E$3,0)))</f>
        <v/>
      </c>
      <c r="N57" s="38">
        <f>SizePremium*J57</f>
        <v/>
      </c>
      <c r="O57" s="38">
        <f>SumAssured*K57</f>
        <v/>
      </c>
      <c r="P57" s="38">
        <f>Policy_Sched!$I57*(L57+I57)</f>
        <v/>
      </c>
      <c r="Q57" s="42">
        <f>O57+P57</f>
        <v/>
      </c>
      <c r="R57" s="38">
        <f>IF($A57=0,SizeExpsAcq0*H57,0)</f>
        <v/>
      </c>
      <c r="S57" s="38">
        <f>IF($A57=0,SizeExpsCommInit0*J57,0)</f>
        <v/>
      </c>
      <c r="T57" s="38">
        <f>Policy_Sched!$J57*J57</f>
        <v/>
      </c>
      <c r="U57" s="42">
        <f>M57*J57</f>
        <v/>
      </c>
      <c r="V57" s="42">
        <f>S57+T57+R57+U57</f>
        <v/>
      </c>
      <c r="W57" s="38">
        <f>IF($A57&gt;LastT,0,N57+W58/(1+Policy_Sched!$K57))</f>
        <v/>
      </c>
      <c r="X57" s="38">
        <f>IF($A57&gt;LastT,0,(-Q57+X58)/(1+Policy_Sched!$K57))</f>
        <v/>
      </c>
      <c r="Y57" s="38">
        <f>IF($A57&gt;LastT,0,-V57+Y58/(1+Policy_Sched!$K57))</f>
        <v/>
      </c>
      <c r="Z57" s="42">
        <f>W57+Y57+X57</f>
        <v/>
      </c>
      <c r="AA57" s="38">
        <f>IF($A57&gt;LastT,0,N57-V57-Q57/(1+Policy_Sched!$K57)+Z58/(1+Policy_Sched!$K57))</f>
        <v/>
      </c>
    </row>
    <row r="58">
      <c r="A58" s="30">
        <f>A57+1</f>
        <v/>
      </c>
      <c r="B58" s="31">
        <f>IF($A58&gt;LastT,0,IF($B$3="exps",B57*(1+InflRate+IF($A58&gt;=T0,$G$3,0)),B57/(1+InflRate)))</f>
        <v/>
      </c>
      <c r="C58" s="31">
        <f>IF($A58&gt;LastT,0,IF(AND($D$3&lt;&gt;0,$A58&gt;=T0,Policy_Sched!$B58&lt;LastAge),1+$D$3*$E$3,1))</f>
        <v/>
      </c>
      <c r="D58" s="36">
        <f>IF($A58&gt;LastT,0,IF($C$3="up",MIN(Policy_Sched!$E58*(1+IF($A58&gt;=T0,$E$3,0)),$F$3),IF($C$3="down",MAX(Policy_Sched!$E58*(1-IF($A58&gt;=T0,$E$3,0)),Policy_Sched!$E58-$F$3),Policy_Sched!$E58)))</f>
        <v/>
      </c>
      <c r="E58" s="37">
        <f>IF($A58&gt;LastT,0,J57-K57-L57)</f>
        <v/>
      </c>
      <c r="F58" s="37">
        <f>IF($A58&gt;LastT,0,IF($A58=PolicyTerm,E58,0))</f>
        <v/>
      </c>
      <c r="G58" s="37">
        <f>IF($A58&gt;LastT,0,E58-F58)</f>
        <v/>
      </c>
      <c r="H58" s="37">
        <f>IF($A58=0,PolicyCount,0)</f>
        <v/>
      </c>
      <c r="I58" s="37">
        <f>IF($A58&gt;LastT,0,IF(AND($C$3="mass",$A58=T0),(G58+H58)*$E$3,0))</f>
        <v/>
      </c>
      <c r="J58" s="37">
        <f>IF($A58&gt;LastT,0,G58+H58-I58)</f>
        <v/>
      </c>
      <c r="K58" s="37">
        <f>IF($A58&gt;LastT,0,J58*Policy_Sched!$C58*Policy_Sched!$D58*C58)</f>
        <v/>
      </c>
      <c r="L58" s="41">
        <f>J58*D58</f>
        <v/>
      </c>
      <c r="M58" s="38">
        <f>IF($A58&gt;LastT,0,(SizeAnnPrem*ExpsMaintAnnPrem+(SumAssured*ExpsMaintSA+ExpsMaintPol)*B58)*(1+IF($B$3="exps",$E$3,0)))</f>
        <v/>
      </c>
      <c r="N58" s="38">
        <f>SizePremium*J58</f>
        <v/>
      </c>
      <c r="O58" s="38">
        <f>SumAssured*K58</f>
        <v/>
      </c>
      <c r="P58" s="38">
        <f>Policy_Sched!$I58*(L58+I58)</f>
        <v/>
      </c>
      <c r="Q58" s="42">
        <f>O58+P58</f>
        <v/>
      </c>
      <c r="R58" s="38">
        <f>IF($A58=0,SizeExpsAcq0*H58,0)</f>
        <v/>
      </c>
      <c r="S58" s="38">
        <f>IF($A58=0,SizeExpsCommInit0*J58,0)</f>
        <v/>
      </c>
      <c r="T58" s="38">
        <f>Policy_Sched!$J58*J58</f>
        <v/>
      </c>
      <c r="U58" s="42">
        <f>M58*J58</f>
        <v/>
      </c>
      <c r="V58" s="42">
        <f>S58+T58+R58+U58</f>
        <v/>
      </c>
      <c r="W58" s="38">
        <f>IF($A58&gt;LastT,0,N58+W59/(1+Policy_Sched!$K58))</f>
        <v/>
      </c>
      <c r="X58" s="38">
        <f>IF($A58&gt;LastT,0,(-Q58+X59)/(1+Policy_Sched!$K58))</f>
        <v/>
      </c>
      <c r="Y58" s="38">
        <f>IF($A58&gt;LastT,0,-V58+Y59/(1+Policy_Sched!$K58))</f>
        <v/>
      </c>
      <c r="Z58" s="42">
        <f>W58+Y58+X58</f>
        <v/>
      </c>
      <c r="AA58" s="38">
        <f>IF($A58&gt;LastT,0,N58-V58-Q58/(1+Policy_Sched!$K58)+Z59/(1+Policy_Sched!$K58))</f>
        <v/>
      </c>
    </row>
    <row r="59">
      <c r="A59" s="30">
        <f>A58+1</f>
        <v/>
      </c>
      <c r="B59" s="31">
        <f>IF($A59&gt;LastT,0,IF($B$3="exps",B58*(1+InflRate+IF($A59&gt;=T0,$G$3,0)),B58/(1+InflRate)))</f>
        <v/>
      </c>
      <c r="C59" s="31">
        <f>IF($A59&gt;LastT,0,IF(AND($D$3&lt;&gt;0,$A59&gt;=T0,Policy_Sched!$B59&lt;LastAge),1+$D$3*$E$3,1))</f>
        <v/>
      </c>
      <c r="D59" s="36">
        <f>IF($A59&gt;LastT,0,IF($C$3="up",MIN(Policy_Sched!$E59*(1+IF($A59&gt;=T0,$E$3,0)),$F$3),IF($C$3="down",MAX(Policy_Sched!$E59*(1-IF($A59&gt;=T0,$E$3,0)),Policy_Sched!$E59-$F$3),Policy_Sched!$E59)))</f>
        <v/>
      </c>
      <c r="E59" s="37">
        <f>IF($A59&gt;LastT,0,J58-K58-L58)</f>
        <v/>
      </c>
      <c r="F59" s="37">
        <f>IF($A59&gt;LastT,0,IF($A59=PolicyTerm,E59,0))</f>
        <v/>
      </c>
      <c r="G59" s="37">
        <f>IF($A59&gt;LastT,0,E59-F59)</f>
        <v/>
      </c>
      <c r="H59" s="37">
        <f>IF($A59=0,PolicyCount,0)</f>
        <v/>
      </c>
      <c r="I59" s="37">
        <f>IF($A59&gt;LastT,0,IF(AND($C$3="mass",$A59=T0),(G59+H59)*$E$3,0))</f>
        <v/>
      </c>
      <c r="J59" s="37">
        <f>IF($A59&gt;LastT,0,G59+H59-I59)</f>
        <v/>
      </c>
      <c r="K59" s="37">
        <f>IF($A59&gt;LastT,0,J59*Policy_Sched!$C59*Policy_Sched!$D59*C59)</f>
        <v/>
      </c>
      <c r="L59" s="41">
        <f>J59*D59</f>
        <v/>
      </c>
      <c r="M59" s="38">
        <f>IF($A59&gt;LastT,0,(SizeAnnPrem*ExpsMaintAnnPrem+(SumAssured*ExpsMaintSA+ExpsMaintPol)*B59)*(1+IF($B$3="exps",$E$3,0)))</f>
        <v/>
      </c>
      <c r="N59" s="38">
        <f>SizePremium*J59</f>
        <v/>
      </c>
      <c r="O59" s="38">
        <f>SumAssured*K59</f>
        <v/>
      </c>
      <c r="P59" s="38">
        <f>Policy_Sched!$I59*(L59+I59)</f>
        <v/>
      </c>
      <c r="Q59" s="42">
        <f>O59+P59</f>
        <v/>
      </c>
      <c r="R59" s="38">
        <f>IF($A59=0,SizeExpsAcq0*H59,0)</f>
        <v/>
      </c>
      <c r="S59" s="38">
        <f>IF($A59=0,SizeExpsCommInit0*J59,0)</f>
        <v/>
      </c>
      <c r="T59" s="38">
        <f>Policy_Sched!$J59*J59</f>
        <v/>
      </c>
      <c r="U59" s="42">
        <f>M59*J59</f>
        <v/>
      </c>
      <c r="V59" s="42">
        <f>S59+T59+R59+U59</f>
        <v/>
      </c>
      <c r="W59" s="38">
        <f>IF($A59&gt;LastT,0,N59+W60/(1+Policy_Sched!$K59))</f>
        <v/>
      </c>
      <c r="X59" s="38">
        <f>IF($A59&gt;LastT,0,(-Q59+X60)/(1+Policy_Sched!$K59))</f>
        <v/>
      </c>
      <c r="Y59" s="38">
        <f>IF($A59&gt;LastT,0,-V59+Y60/(1+Policy_Sched!$K59))</f>
        <v/>
      </c>
      <c r="Z59" s="42">
        <f>W59+Y59+X59</f>
        <v/>
      </c>
      <c r="AA59" s="38">
        <f>IF($A59&gt;LastT,0,N59-V59-Q59/(1+Policy_Sched!$K59)+Z60/(1+Policy_Sched!$K59))</f>
        <v/>
      </c>
    </row>
    <row r="60">
      <c r="A60" s="30">
        <f>A59+1</f>
        <v/>
      </c>
      <c r="B60" s="31">
        <f>IF($A60&gt;LastT,0,IF($B$3="exps",B59*(1+InflRate+IF($A60&gt;=T0,$G$3,0)),B59/(1+InflRate)))</f>
        <v/>
      </c>
      <c r="C60" s="31">
        <f>IF($A60&gt;LastT,0,IF(AND($D$3&lt;&gt;0,$A60&gt;=T0,Policy_Sched!$B60&lt;LastAge),1+$D$3*$E$3,1))</f>
        <v/>
      </c>
      <c r="D60" s="36">
        <f>IF($A60&gt;LastT,0,IF($C$3="up",MIN(Policy_Sched!$E60*(1+IF($A60&gt;=T0,$E$3,0)),$F$3),IF($C$3="down",MAX(Policy_Sched!$E60*(1-IF($A60&gt;=T0,$E$3,0)),Policy_Sched!$E60-$F$3),Policy_Sched!$E60)))</f>
        <v/>
      </c>
      <c r="E60" s="37">
        <f>IF($A60&gt;LastT,0,J59-K59-L59)</f>
        <v/>
      </c>
      <c r="F60" s="37">
        <f>IF($A60&gt;LastT,0,IF($A60=PolicyTerm,E60,0))</f>
        <v/>
      </c>
      <c r="G60" s="37">
        <f>IF($A60&gt;LastT,0,E60-F60)</f>
        <v/>
      </c>
      <c r="H60" s="37">
        <f>IF($A60=0,PolicyCount,0)</f>
        <v/>
      </c>
      <c r="I60" s="37">
        <f>IF($A60&gt;LastT,0,IF(AND($C$3="mass",$A60=T0),(G60+H60)*$E$3,0))</f>
        <v/>
      </c>
      <c r="J60" s="37">
        <f>IF($A60&gt;LastT,0,G60+H60-I60)</f>
        <v/>
      </c>
      <c r="K60" s="37">
        <f>IF($A60&gt;LastT,0,J60*Policy_Sched!$C60*Policy_Sched!$D60*C60)</f>
        <v/>
      </c>
      <c r="L60" s="41">
        <f>J60*D60</f>
        <v/>
      </c>
      <c r="M60" s="38">
        <f>IF($A60&gt;LastT,0,(SizeAnnPrem*ExpsMaintAnnPrem+(SumAssured*ExpsMaintSA+ExpsMaintPol)*B60)*(1+IF($B$3="exps",$E$3,0)))</f>
        <v/>
      </c>
      <c r="N60" s="38">
        <f>SizePremium*J60</f>
        <v/>
      </c>
      <c r="O60" s="38">
        <f>SumAssured*K60</f>
        <v/>
      </c>
      <c r="P60" s="38">
        <f>Policy_Sched!$I60*(L60+I60)</f>
        <v/>
      </c>
      <c r="Q60" s="42">
        <f>O60+P60</f>
        <v/>
      </c>
      <c r="R60" s="38">
        <f>IF($A60=0,SizeExpsAcq0*H60,0)</f>
        <v/>
      </c>
      <c r="S60" s="38">
        <f>IF($A60=0,SizeExpsCommInit0*J60,0)</f>
        <v/>
      </c>
      <c r="T60" s="38">
        <f>Policy_Sched!$J60*J60</f>
        <v/>
      </c>
      <c r="U60" s="42">
        <f>M60*J60</f>
        <v/>
      </c>
      <c r="V60" s="42">
        <f>S60+T60+R60+U60</f>
        <v/>
      </c>
      <c r="W60" s="38">
        <f>IF($A60&gt;LastT,0,N60+W61/(1+Policy_Sched!$K60))</f>
        <v/>
      </c>
      <c r="X60" s="38">
        <f>IF($A60&gt;LastT,0,(-Q60+X61)/(1+Policy_Sched!$K60))</f>
        <v/>
      </c>
      <c r="Y60" s="38">
        <f>IF($A60&gt;LastT,0,-V60+Y61/(1+Policy_Sched!$K60))</f>
        <v/>
      </c>
      <c r="Z60" s="42">
        <f>W60+Y60+X60</f>
        <v/>
      </c>
      <c r="AA60" s="38">
        <f>IF($A60&gt;LastT,0,N60-V60-Q60/(1+Policy_Sched!$K60)+Z61/(1+Policy_Sched!$K60))</f>
        <v/>
      </c>
    </row>
    <row r="61">
      <c r="A61" s="30">
        <f>A60+1</f>
        <v/>
      </c>
      <c r="B61" s="31">
        <f>IF($A61&gt;LastT,0,IF($B$3="exps",B60*(1+InflRate+IF($A61&gt;=T0,$G$3,0)),B60/(1+InflRate)))</f>
        <v/>
      </c>
      <c r="C61" s="31">
        <f>IF($A61&gt;LastT,0,IF(AND($D$3&lt;&gt;0,$A61&gt;=T0,Policy_Sched!$B61&lt;LastAge),1+$D$3*$E$3,1))</f>
        <v/>
      </c>
      <c r="D61" s="36">
        <f>IF($A61&gt;LastT,0,IF($C$3="up",MIN(Policy_Sched!$E61*(1+IF($A61&gt;=T0,$E$3,0)),$F$3),IF($C$3="down",MAX(Policy_Sched!$E61*(1-IF($A61&gt;=T0,$E$3,0)),Policy_Sched!$E61-$F$3),Policy_Sched!$E61)))</f>
        <v/>
      </c>
      <c r="E61" s="37">
        <f>IF($A61&gt;LastT,0,J60-K60-L60)</f>
        <v/>
      </c>
      <c r="F61" s="37">
        <f>IF($A61&gt;LastT,0,IF($A61=PolicyTerm,E61,0))</f>
        <v/>
      </c>
      <c r="G61" s="37">
        <f>IF($A61&gt;LastT,0,E61-F61)</f>
        <v/>
      </c>
      <c r="H61" s="37">
        <f>IF($A61=0,PolicyCount,0)</f>
        <v/>
      </c>
      <c r="I61" s="37">
        <f>IF($A61&gt;LastT,0,IF(AND($C$3="mass",$A61=T0),(G61+H61)*$E$3,0))</f>
        <v/>
      </c>
      <c r="J61" s="37">
        <f>IF($A61&gt;LastT,0,G61+H61-I61)</f>
        <v/>
      </c>
      <c r="K61" s="37">
        <f>IF($A61&gt;LastT,0,J61*Policy_Sched!$C61*Policy_Sched!$D61*C61)</f>
        <v/>
      </c>
      <c r="L61" s="41">
        <f>J61*D61</f>
        <v/>
      </c>
      <c r="M61" s="38">
        <f>IF($A61&gt;LastT,0,(SizeAnnPrem*ExpsMaintAnnPrem+(SumAssured*ExpsMaintSA+ExpsMaintPol)*B61)*(1+IF($B$3="exps",$E$3,0)))</f>
        <v/>
      </c>
      <c r="N61" s="38">
        <f>SizePremium*J61</f>
        <v/>
      </c>
      <c r="O61" s="38">
        <f>SumAssured*K61</f>
        <v/>
      </c>
      <c r="P61" s="38">
        <f>Policy_Sched!$I61*(L61+I61)</f>
        <v/>
      </c>
      <c r="Q61" s="42">
        <f>O61+P61</f>
        <v/>
      </c>
      <c r="R61" s="38">
        <f>IF($A61=0,SizeExpsAcq0*H61,0)</f>
        <v/>
      </c>
      <c r="S61" s="38">
        <f>IF($A61=0,SizeExpsCommInit0*J61,0)</f>
        <v/>
      </c>
      <c r="T61" s="38">
        <f>Policy_Sched!$J61*J61</f>
        <v/>
      </c>
      <c r="U61" s="42">
        <f>M61*J61</f>
        <v/>
      </c>
      <c r="V61" s="42">
        <f>S61+T61+R61+U61</f>
        <v/>
      </c>
      <c r="W61" s="38">
        <f>IF($A61&gt;LastT,0,N61+W62/(1+Policy_Sched!$K61))</f>
        <v/>
      </c>
      <c r="X61" s="38">
        <f>IF($A61&gt;LastT,0,(-Q61+X62)/(1+Policy_Sched!$K61))</f>
        <v/>
      </c>
      <c r="Y61" s="38">
        <f>IF($A61&gt;LastT,0,-V61+Y62/(1+Policy_Sched!$K61))</f>
        <v/>
      </c>
      <c r="Z61" s="42">
        <f>W61+Y61+X61</f>
        <v/>
      </c>
      <c r="AA61" s="38">
        <f>IF($A61&gt;LastT,0,N61-V61-Q61/(1+Policy_Sched!$K61)+Z62/(1+Policy_Sched!$K61))</f>
        <v/>
      </c>
    </row>
    <row r="62">
      <c r="A62" s="30">
        <f>A61+1</f>
        <v/>
      </c>
      <c r="B62" s="31">
        <f>IF($A62&gt;LastT,0,IF($B$3="exps",B61*(1+InflRate+IF($A62&gt;=T0,$G$3,0)),B61/(1+InflRate)))</f>
        <v/>
      </c>
      <c r="C62" s="31">
        <f>IF($A62&gt;LastT,0,IF(AND($D$3&lt;&gt;0,$A62&gt;=T0,Policy_Sched!$B62&lt;LastAge),1+$D$3*$E$3,1))</f>
        <v/>
      </c>
      <c r="D62" s="36">
        <f>IF($A62&gt;LastT,0,IF($C$3="up",MIN(Policy_Sched!$E62*(1+IF($A62&gt;=T0,$E$3,0)),$F$3),IF($C$3="down",MAX(Policy_Sched!$E62*(1-IF($A62&gt;=T0,$E$3,0)),Policy_Sched!$E62-$F$3),Policy_Sched!$E62)))</f>
        <v/>
      </c>
      <c r="E62" s="37">
        <f>IF($A62&gt;LastT,0,J61-K61-L61)</f>
        <v/>
      </c>
      <c r="F62" s="37">
        <f>IF($A62&gt;LastT,0,IF($A62=PolicyTerm,E62,0))</f>
        <v/>
      </c>
      <c r="G62" s="37">
        <f>IF($A62&gt;LastT,0,E62-F62)</f>
        <v/>
      </c>
      <c r="H62" s="37">
        <f>IF($A62=0,PolicyCount,0)</f>
        <v/>
      </c>
      <c r="I62" s="37">
        <f>IF($A62&gt;LastT,0,IF(AND($C$3="mass",$A62=T0),(G62+H62)*$E$3,0))</f>
        <v/>
      </c>
      <c r="J62" s="37">
        <f>IF($A62&gt;LastT,0,G62+H62-I62)</f>
        <v/>
      </c>
      <c r="K62" s="37">
        <f>IF($A62&gt;LastT,0,J62*Policy_Sched!$C62*Policy_Sched!$D62*C62)</f>
        <v/>
      </c>
      <c r="L62" s="41">
        <f>J62*D62</f>
        <v/>
      </c>
      <c r="M62" s="38">
        <f>IF($A62&gt;LastT,0,(SizeAnnPrem*ExpsMaintAnnPrem+(SumAssured*ExpsMaintSA+ExpsMaintPol)*B62)*(1+IF($B$3="exps",$E$3,0)))</f>
        <v/>
      </c>
      <c r="N62" s="38">
        <f>SizePremium*J62</f>
        <v/>
      </c>
      <c r="O62" s="38">
        <f>SumAssured*K62</f>
        <v/>
      </c>
      <c r="P62" s="38">
        <f>Policy_Sched!$I62*(L62+I62)</f>
        <v/>
      </c>
      <c r="Q62" s="42">
        <f>O62+P62</f>
        <v/>
      </c>
      <c r="R62" s="38">
        <f>IF($A62=0,SizeExpsAcq0*H62,0)</f>
        <v/>
      </c>
      <c r="S62" s="38">
        <f>IF($A62=0,SizeExpsCommInit0*J62,0)</f>
        <v/>
      </c>
      <c r="T62" s="38">
        <f>Policy_Sched!$J62*J62</f>
        <v/>
      </c>
      <c r="U62" s="42">
        <f>M62*J62</f>
        <v/>
      </c>
      <c r="V62" s="42">
        <f>S62+T62+R62+U62</f>
        <v/>
      </c>
      <c r="W62" s="38">
        <f>IF($A62&gt;LastT,0,N62+W63/(1+Policy_Sched!$K62))</f>
        <v/>
      </c>
      <c r="X62" s="38">
        <f>IF($A62&gt;LastT,0,(-Q62+X63)/(1+Policy_Sched!$K62))</f>
        <v/>
      </c>
      <c r="Y62" s="38">
        <f>IF($A62&gt;LastT,0,-V62+Y63/(1+Policy_Sched!$K62))</f>
        <v/>
      </c>
      <c r="Z62" s="42">
        <f>W62+Y62+X62</f>
        <v/>
      </c>
      <c r="AA62" s="38">
        <f>IF($A62&gt;LastT,0,N62-V62-Q62/(1+Policy_Sched!$K62)+Z63/(1+Policy_Sched!$K62))</f>
        <v/>
      </c>
    </row>
    <row r="63">
      <c r="A63" s="30">
        <f>A62+1</f>
        <v/>
      </c>
      <c r="B63" s="31">
        <f>IF($A63&gt;LastT,0,IF($B$3="exps",B62*(1+InflRate+IF($A63&gt;=T0,$G$3,0)),B62/(1+InflRate)))</f>
        <v/>
      </c>
      <c r="C63" s="31">
        <f>IF($A63&gt;LastT,0,IF(AND($D$3&lt;&gt;0,$A63&gt;=T0,Policy_Sched!$B63&lt;LastAge),1+$D$3*$E$3,1))</f>
        <v/>
      </c>
      <c r="D63" s="36">
        <f>IF($A63&gt;LastT,0,IF($C$3="up",MIN(Policy_Sched!$E63*(1+IF($A63&gt;=T0,$E$3,0)),$F$3),IF($C$3="down",MAX(Policy_Sched!$E63*(1-IF($A63&gt;=T0,$E$3,0)),Policy_Sched!$E63-$F$3),Policy_Sched!$E63)))</f>
        <v/>
      </c>
      <c r="E63" s="37">
        <f>IF($A63&gt;LastT,0,J62-K62-L62)</f>
        <v/>
      </c>
      <c r="F63" s="37">
        <f>IF($A63&gt;LastT,0,IF($A63=PolicyTerm,E63,0))</f>
        <v/>
      </c>
      <c r="G63" s="37">
        <f>IF($A63&gt;LastT,0,E63-F63)</f>
        <v/>
      </c>
      <c r="H63" s="37">
        <f>IF($A63=0,PolicyCount,0)</f>
        <v/>
      </c>
      <c r="I63" s="37">
        <f>IF($A63&gt;LastT,0,IF(AND($C$3="mass",$A63=T0),(G63+H63)*$E$3,0))</f>
        <v/>
      </c>
      <c r="J63" s="37">
        <f>IF($A63&gt;LastT,0,G63+H63-I63)</f>
        <v/>
      </c>
      <c r="K63" s="37">
        <f>IF($A63&gt;LastT,0,J63*Policy_Sched!$C63*Policy_Sched!$D63*C63)</f>
        <v/>
      </c>
      <c r="L63" s="41">
        <f>J63*D63</f>
        <v/>
      </c>
      <c r="M63" s="38">
        <f>IF($A63&gt;LastT,0,(SizeAnnPrem*ExpsMaintAnnPrem+(SumAssured*ExpsMaintSA+ExpsMaintPol)*B63)*(1+IF($B$3="exps",$E$3,0)))</f>
        <v/>
      </c>
      <c r="N63" s="38">
        <f>SizePremium*J63</f>
        <v/>
      </c>
      <c r="O63" s="38">
        <f>SumAssured*K63</f>
        <v/>
      </c>
      <c r="P63" s="38">
        <f>Policy_Sched!$I63*(L63+I63)</f>
        <v/>
      </c>
      <c r="Q63" s="42">
        <f>O63+P63</f>
        <v/>
      </c>
      <c r="R63" s="38">
        <f>IF($A63=0,SizeExpsAcq0*H63,0)</f>
        <v/>
      </c>
      <c r="S63" s="38">
        <f>IF($A63=0,SizeExpsCommInit0*J63,0)</f>
        <v/>
      </c>
      <c r="T63" s="38">
        <f>Policy_Sched!$J63*J63</f>
        <v/>
      </c>
      <c r="U63" s="42">
        <f>M63*J63</f>
        <v/>
      </c>
      <c r="V63" s="42">
        <f>S63+T63+R63+U63</f>
        <v/>
      </c>
      <c r="W63" s="38">
        <f>IF($A63&gt;LastT,0,N63+W64/(1+Policy_Sched!$K63))</f>
        <v/>
      </c>
      <c r="X63" s="38">
        <f>IF($A63&gt;LastT,0,(-Q63+X64)/(1+Policy_Sched!$K63))</f>
        <v/>
      </c>
      <c r="Y63" s="38">
        <f>IF($A63&gt;LastT,0,-V63+Y64/(1+Policy_Sched!$K63))</f>
        <v/>
      </c>
      <c r="Z63" s="42">
        <f>W63+Y63+X63</f>
        <v/>
      </c>
      <c r="AA63" s="38">
        <f>IF($A63&gt;LastT,0,N63-V63-Q63/(1+Policy_Sched!$K63)+Z64/(1+Policy_Sched!$K63))</f>
        <v/>
      </c>
    </row>
    <row r="64">
      <c r="A64" s="30">
        <f>A63+1</f>
        <v/>
      </c>
      <c r="B64" s="31">
        <f>IF($A64&gt;LastT,0,IF($B$3="exps",B63*(1+InflRate+IF($A64&gt;=T0,$G$3,0)),B63/(1+InflRate)))</f>
        <v/>
      </c>
      <c r="C64" s="31">
        <f>IF($A64&gt;LastT,0,IF(AND($D$3&lt;&gt;0,$A64&gt;=T0,Policy_Sched!$B64&lt;LastAge),1+$D$3*$E$3,1))</f>
        <v/>
      </c>
      <c r="D64" s="36">
        <f>IF($A64&gt;LastT,0,IF($C$3="up",MIN(Policy_Sched!$E64*(1+IF($A64&gt;=T0,$E$3,0)),$F$3),IF($C$3="down",MAX(Policy_Sched!$E64*(1-IF($A64&gt;=T0,$E$3,0)),Policy_Sched!$E64-$F$3),Policy_Sched!$E64)))</f>
        <v/>
      </c>
      <c r="E64" s="37">
        <f>IF($A64&gt;LastT,0,J63-K63-L63)</f>
        <v/>
      </c>
      <c r="F64" s="37">
        <f>IF($A64&gt;LastT,0,IF($A64=PolicyTerm,E64,0))</f>
        <v/>
      </c>
      <c r="G64" s="37">
        <f>IF($A64&gt;LastT,0,E64-F64)</f>
        <v/>
      </c>
      <c r="H64" s="37">
        <f>IF($A64=0,PolicyCount,0)</f>
        <v/>
      </c>
      <c r="I64" s="37">
        <f>IF($A64&gt;LastT,0,IF(AND($C$3="mass",$A64=T0),(G64+H64)*$E$3,0))</f>
        <v/>
      </c>
      <c r="J64" s="37">
        <f>IF($A64&gt;LastT,0,G64+H64-I64)</f>
        <v/>
      </c>
      <c r="K64" s="37">
        <f>IF($A64&gt;LastT,0,J64*Policy_Sched!$C64*Policy_Sched!$D64*C64)</f>
        <v/>
      </c>
      <c r="L64" s="41">
        <f>J64*D64</f>
        <v/>
      </c>
      <c r="M64" s="38">
        <f>IF($A64&gt;LastT,0,(SizeAnnPrem*ExpsMaintAnnPrem+(SumAssured*ExpsMaintSA+ExpsMaintPol)*B64)*(1+IF($B$3="exps",$E$3,0)))</f>
        <v/>
      </c>
      <c r="N64" s="38">
        <f>SizePremium*J64</f>
        <v/>
      </c>
      <c r="O64" s="38">
        <f>SumAssured*K64</f>
        <v/>
      </c>
      <c r="P64" s="38">
        <f>Policy_Sched!$I64*(L64+I64)</f>
        <v/>
      </c>
      <c r="Q64" s="42">
        <f>O64+P64</f>
        <v/>
      </c>
      <c r="R64" s="38">
        <f>IF($A64=0,SizeExpsAcq0*H64,0)</f>
        <v/>
      </c>
      <c r="S64" s="38">
        <f>IF($A64=0,SizeExpsCommInit0*J64,0)</f>
        <v/>
      </c>
      <c r="T64" s="38">
        <f>Policy_Sched!$J64*J64</f>
        <v/>
      </c>
      <c r="U64" s="42">
        <f>M64*J64</f>
        <v/>
      </c>
      <c r="V64" s="42">
        <f>S64+T64+R64+U64</f>
        <v/>
      </c>
      <c r="W64" s="38">
        <f>IF($A64&gt;LastT,0,N64+W65/(1+Policy_Sched!$K64))</f>
        <v/>
      </c>
      <c r="X64" s="38">
        <f>IF($A64&gt;LastT,0,(-Q64+X65)/(1+Policy_Sched!$K64))</f>
        <v/>
      </c>
      <c r="Y64" s="38">
        <f>IF($A64&gt;LastT,0,-V64+Y65/(1+Policy_Sched!$K64))</f>
        <v/>
      </c>
      <c r="Z64" s="42">
        <f>W64+Y64+X64</f>
        <v/>
      </c>
      <c r="AA64" s="38">
        <f>IF($A64&gt;LastT,0,N64-V64-Q64/(1+Policy_Sched!$K64)+Z65/(1+Policy_Sched!$K64))</f>
        <v/>
      </c>
    </row>
    <row r="65">
      <c r="A65" s="30">
        <f>A64+1</f>
        <v/>
      </c>
      <c r="B65" s="31">
        <f>IF($A65&gt;LastT,0,IF($B$3="exps",B64*(1+InflRate+IF($A65&gt;=T0,$G$3,0)),B64/(1+InflRate)))</f>
        <v/>
      </c>
      <c r="C65" s="31">
        <f>IF($A65&gt;LastT,0,IF(AND($D$3&lt;&gt;0,$A65&gt;=T0,Policy_Sched!$B65&lt;LastAge),1+$D$3*$E$3,1))</f>
        <v/>
      </c>
      <c r="D65" s="36">
        <f>IF($A65&gt;LastT,0,IF($C$3="up",MIN(Policy_Sched!$E65*(1+IF($A65&gt;=T0,$E$3,0)),$F$3),IF($C$3="down",MAX(Policy_Sched!$E65*(1-IF($A65&gt;=T0,$E$3,0)),Policy_Sched!$E65-$F$3),Policy_Sched!$E65)))</f>
        <v/>
      </c>
      <c r="E65" s="37">
        <f>IF($A65&gt;LastT,0,J64-K64-L64)</f>
        <v/>
      </c>
      <c r="F65" s="37">
        <f>IF($A65&gt;LastT,0,IF($A65=PolicyTerm,E65,0))</f>
        <v/>
      </c>
      <c r="G65" s="37">
        <f>IF($A65&gt;LastT,0,E65-F65)</f>
        <v/>
      </c>
      <c r="H65" s="37">
        <f>IF($A65=0,PolicyCount,0)</f>
        <v/>
      </c>
      <c r="I65" s="37">
        <f>IF($A65&gt;LastT,0,IF(AND($C$3="mass",$A65=T0),(G65+H65)*$E$3,0))</f>
        <v/>
      </c>
      <c r="J65" s="37">
        <f>IF($A65&gt;LastT,0,G65+H65-I65)</f>
        <v/>
      </c>
      <c r="K65" s="37">
        <f>IF($A65&gt;LastT,0,J65*Policy_Sched!$C65*Policy_Sched!$D65*C65)</f>
        <v/>
      </c>
      <c r="L65" s="41">
        <f>J65*D65</f>
        <v/>
      </c>
      <c r="M65" s="38">
        <f>IF($A65&gt;LastT,0,(SizeAnnPrem*ExpsMaintAnnPrem+(SumAssured*ExpsMaintSA+ExpsMaintPol)*B65)*(1+IF($B$3="exps",$E$3,0)))</f>
        <v/>
      </c>
      <c r="N65" s="38">
        <f>SizePremium*J65</f>
        <v/>
      </c>
      <c r="O65" s="38">
        <f>SumAssured*K65</f>
        <v/>
      </c>
      <c r="P65" s="38">
        <f>Policy_Sched!$I65*(L65+I65)</f>
        <v/>
      </c>
      <c r="Q65" s="42">
        <f>O65+P65</f>
        <v/>
      </c>
      <c r="R65" s="38">
        <f>IF($A65=0,SizeExpsAcq0*H65,0)</f>
        <v/>
      </c>
      <c r="S65" s="38">
        <f>IF($A65=0,SizeExpsCommInit0*J65,0)</f>
        <v/>
      </c>
      <c r="T65" s="38">
        <f>Policy_Sched!$J65*J65</f>
        <v/>
      </c>
      <c r="U65" s="42">
        <f>M65*J65</f>
        <v/>
      </c>
      <c r="V65" s="42">
        <f>S65+T65+R65+U65</f>
        <v/>
      </c>
      <c r="W65" s="38">
        <f>IF($A65&gt;LastT,0,N65+W66/(1+Policy_Sched!$K65))</f>
        <v/>
      </c>
      <c r="X65" s="38">
        <f>IF($A65&gt;LastT,0,(-Q65+X66)/(1+Policy_Sched!$K65))</f>
        <v/>
      </c>
      <c r="Y65" s="38">
        <f>IF($A65&gt;LastT,0,-V65+Y66/(1+Policy_Sched!$K65))</f>
        <v/>
      </c>
      <c r="Z65" s="42">
        <f>W65+Y65+X65</f>
        <v/>
      </c>
      <c r="AA65" s="38">
        <f>IF($A65&gt;LastT,0,N65-V65-Q65/(1+Policy_Sched!$K65)+Z66/(1+Policy_Sched!$K65))</f>
        <v/>
      </c>
    </row>
    <row r="66">
      <c r="A66" s="30">
        <f>A65+1</f>
        <v/>
      </c>
      <c r="B66" s="31">
        <f>IF($A66&gt;LastT,0,IF($B$3="exps",B65*(1+InflRate+IF($A66&gt;=T0,$G$3,0)),B65/(1+InflRate)))</f>
        <v/>
      </c>
      <c r="C66" s="31">
        <f>IF($A66&gt;LastT,0,IF(AND($D$3&lt;&gt;0,$A66&gt;=T0,Policy_Sched!$B66&lt;LastAge),1+$D$3*$E$3,1))</f>
        <v/>
      </c>
      <c r="D66" s="36">
        <f>IF($A66&gt;LastT,0,IF($C$3="up",MIN(Policy_Sched!$E66*(1+IF($A66&gt;=T0,$E$3,0)),$F$3),IF($C$3="down",MAX(Policy_Sched!$E66*(1-IF($A66&gt;=T0,$E$3,0)),Policy_Sched!$E66-$F$3),Policy_Sched!$E66)))</f>
        <v/>
      </c>
      <c r="E66" s="37">
        <f>IF($A66&gt;LastT,0,J65-K65-L65)</f>
        <v/>
      </c>
      <c r="F66" s="37">
        <f>IF($A66&gt;LastT,0,IF($A66=PolicyTerm,E66,0))</f>
        <v/>
      </c>
      <c r="G66" s="37">
        <f>IF($A66&gt;LastT,0,E66-F66)</f>
        <v/>
      </c>
      <c r="H66" s="37">
        <f>IF($A66=0,PolicyCount,0)</f>
        <v/>
      </c>
      <c r="I66" s="37">
        <f>IF($A66&gt;LastT,0,IF(AND($C$3="mass",$A66=T0),(G66+H66)*$E$3,0))</f>
        <v/>
      </c>
      <c r="J66" s="37">
        <f>IF($A66&gt;LastT,0,G66+H66-I66)</f>
        <v/>
      </c>
      <c r="K66" s="37">
        <f>IF($A66&gt;LastT,0,J66*Policy_Sched!$C66*Policy_Sched!$D66*C66)</f>
        <v/>
      </c>
      <c r="L66" s="41">
        <f>J66*D66</f>
        <v/>
      </c>
      <c r="M66" s="38">
        <f>IF($A66&gt;LastT,0,(SizeAnnPrem*ExpsMaintAnnPrem+(SumAssured*ExpsMaintSA+ExpsMaintPol)*B66)*(1+IF($B$3="exps",$E$3,0)))</f>
        <v/>
      </c>
      <c r="N66" s="38">
        <f>SizePremium*J66</f>
        <v/>
      </c>
      <c r="O66" s="38">
        <f>SumAssured*K66</f>
        <v/>
      </c>
      <c r="P66" s="38">
        <f>Policy_Sched!$I66*(L66+I66)</f>
        <v/>
      </c>
      <c r="Q66" s="42">
        <f>O66+P66</f>
        <v/>
      </c>
      <c r="R66" s="38">
        <f>IF($A66=0,SizeExpsAcq0*H66,0)</f>
        <v/>
      </c>
      <c r="S66" s="38">
        <f>IF($A66=0,SizeExpsCommInit0*J66,0)</f>
        <v/>
      </c>
      <c r="T66" s="38">
        <f>Policy_Sched!$J66*J66</f>
        <v/>
      </c>
      <c r="U66" s="42">
        <f>M66*J66</f>
        <v/>
      </c>
      <c r="V66" s="42">
        <f>S66+T66+R66+U66</f>
        <v/>
      </c>
      <c r="W66" s="38">
        <f>IF($A66&gt;LastT,0,N66+W67/(1+Policy_Sched!$K66))</f>
        <v/>
      </c>
      <c r="X66" s="38">
        <f>IF($A66&gt;LastT,0,(-Q66+X67)/(1+Policy_Sched!$K66))</f>
        <v/>
      </c>
      <c r="Y66" s="38">
        <f>IF($A66&gt;LastT,0,-V66+Y67/(1+Policy_Sched!$K66))</f>
        <v/>
      </c>
      <c r="Z66" s="42">
        <f>W66+Y66+X66</f>
        <v/>
      </c>
      <c r="AA66" s="38">
        <f>IF($A66&gt;LastT,0,N66-V66-Q66/(1+Policy_Sched!$K66)+Z67/(1+Policy_Sched!$K66))</f>
        <v/>
      </c>
    </row>
    <row r="67">
      <c r="A67" s="30">
        <f>A66+1</f>
        <v/>
      </c>
      <c r="B67" s="31">
        <f>IF($A67&gt;LastT,0,IF($B$3="exps",B66*(1+InflRate+IF($A67&gt;=T0,$G$3,0)),B66/(1+InflRate)))</f>
        <v/>
      </c>
      <c r="C67" s="31">
        <f>IF($A67&gt;LastT,0,IF(AND($D$3&lt;&gt;0,$A67&gt;=T0,Policy_Sched!$B67&lt;LastAge),1+$D$3*$E$3,1))</f>
        <v/>
      </c>
      <c r="D67" s="36">
        <f>IF($A67&gt;LastT,0,IF($C$3="up",MIN(Policy_Sched!$E67*(1+IF($A67&gt;=T0,$E$3,0)),$F$3),IF($C$3="down",MAX(Policy_Sched!$E67*(1-IF($A67&gt;=T0,$E$3,0)),Policy_Sched!$E67-$F$3),Policy_Sched!$E67)))</f>
        <v/>
      </c>
      <c r="E67" s="37">
        <f>IF($A67&gt;LastT,0,J66-K66-L66)</f>
        <v/>
      </c>
      <c r="F67" s="37">
        <f>IF($A67&gt;LastT,0,IF($A67=PolicyTerm,E67,0))</f>
        <v/>
      </c>
      <c r="G67" s="37">
        <f>IF($A67&gt;LastT,0,E67-F67)</f>
        <v/>
      </c>
      <c r="H67" s="37">
        <f>IF($A67=0,PolicyCount,0)</f>
        <v/>
      </c>
      <c r="I67" s="37">
        <f>IF($A67&gt;LastT,0,IF(AND($C$3="mass",$A67=T0),(G67+H67)*$E$3,0))</f>
        <v/>
      </c>
      <c r="J67" s="37">
        <f>IF($A67&gt;LastT,0,G67+H67-I67)</f>
        <v/>
      </c>
      <c r="K67" s="37">
        <f>IF($A67&gt;LastT,0,J67*Policy_Sched!$C67*Policy_Sched!$D67*C67)</f>
        <v/>
      </c>
      <c r="L67" s="41">
        <f>J67*D67</f>
        <v/>
      </c>
      <c r="M67" s="38">
        <f>IF($A67&gt;LastT,0,(SizeAnnPrem*ExpsMaintAnnPrem+(SumAssured*ExpsMaintSA+ExpsMaintPol)*B67)*(1+IF($B$3="exps",$E$3,0)))</f>
        <v/>
      </c>
      <c r="N67" s="38">
        <f>SizePremium*J67</f>
        <v/>
      </c>
      <c r="O67" s="38">
        <f>SumAssured*K67</f>
        <v/>
      </c>
      <c r="P67" s="38">
        <f>Policy_Sched!$I67*(L67+I67)</f>
        <v/>
      </c>
      <c r="Q67" s="42">
        <f>O67+P67</f>
        <v/>
      </c>
      <c r="R67" s="38">
        <f>IF($A67=0,SizeExpsAcq0*H67,0)</f>
        <v/>
      </c>
      <c r="S67" s="38">
        <f>IF($A67=0,SizeExpsCommInit0*J67,0)</f>
        <v/>
      </c>
      <c r="T67" s="38">
        <f>Policy_Sched!$J67*J67</f>
        <v/>
      </c>
      <c r="U67" s="42">
        <f>M67*J67</f>
        <v/>
      </c>
      <c r="V67" s="42">
        <f>S67+T67+R67+U67</f>
        <v/>
      </c>
      <c r="W67" s="38">
        <f>IF($A67&gt;LastT,0,N67+W68/(1+Policy_Sched!$K67))</f>
        <v/>
      </c>
      <c r="X67" s="38">
        <f>IF($A67&gt;LastT,0,(-Q67+X68)/(1+Policy_Sched!$K67))</f>
        <v/>
      </c>
      <c r="Y67" s="38">
        <f>IF($A67&gt;LastT,0,-V67+Y68/(1+Policy_Sched!$K67))</f>
        <v/>
      </c>
      <c r="Z67" s="42">
        <f>W67+Y67+X67</f>
        <v/>
      </c>
      <c r="AA67" s="38">
        <f>IF($A67&gt;LastT,0,N67-V67-Q67/(1+Policy_Sched!$K67)+Z68/(1+Policy_Sched!$K67))</f>
        <v/>
      </c>
    </row>
    <row r="68">
      <c r="A68" s="30">
        <f>A67+1</f>
        <v/>
      </c>
      <c r="B68" s="31">
        <f>IF($A68&gt;LastT,0,IF($B$3="exps",B67*(1+InflRate+IF($A68&gt;=T0,$G$3,0)),B67/(1+InflRate)))</f>
        <v/>
      </c>
      <c r="C68" s="31">
        <f>IF($A68&gt;LastT,0,IF(AND($D$3&lt;&gt;0,$A68&gt;=T0,Policy_Sched!$B68&lt;LastAge),1+$D$3*$E$3,1))</f>
        <v/>
      </c>
      <c r="D68" s="36">
        <f>IF($A68&gt;LastT,0,IF($C$3="up",MIN(Policy_Sched!$E68*(1+IF($A68&gt;=T0,$E$3,0)),$F$3),IF($C$3="down",MAX(Policy_Sched!$E68*(1-IF($A68&gt;=T0,$E$3,0)),Policy_Sched!$E68-$F$3),Policy_Sched!$E68)))</f>
        <v/>
      </c>
      <c r="E68" s="37">
        <f>IF($A68&gt;LastT,0,J67-K67-L67)</f>
        <v/>
      </c>
      <c r="F68" s="37">
        <f>IF($A68&gt;LastT,0,IF($A68=PolicyTerm,E68,0))</f>
        <v/>
      </c>
      <c r="G68" s="37">
        <f>IF($A68&gt;LastT,0,E68-F68)</f>
        <v/>
      </c>
      <c r="H68" s="37">
        <f>IF($A68=0,PolicyCount,0)</f>
        <v/>
      </c>
      <c r="I68" s="37">
        <f>IF($A68&gt;LastT,0,IF(AND($C$3="mass",$A68=T0),(G68+H68)*$E$3,0))</f>
        <v/>
      </c>
      <c r="J68" s="37">
        <f>IF($A68&gt;LastT,0,G68+H68-I68)</f>
        <v/>
      </c>
      <c r="K68" s="37">
        <f>IF($A68&gt;LastT,0,J68*Policy_Sched!$C68*Policy_Sched!$D68*C68)</f>
        <v/>
      </c>
      <c r="L68" s="41">
        <f>J68*D68</f>
        <v/>
      </c>
      <c r="M68" s="38">
        <f>IF($A68&gt;LastT,0,(SizeAnnPrem*ExpsMaintAnnPrem+(SumAssured*ExpsMaintSA+ExpsMaintPol)*B68)*(1+IF($B$3="exps",$E$3,0)))</f>
        <v/>
      </c>
      <c r="N68" s="38">
        <f>SizePremium*J68</f>
        <v/>
      </c>
      <c r="O68" s="38">
        <f>SumAssured*K68</f>
        <v/>
      </c>
      <c r="P68" s="38">
        <f>Policy_Sched!$I68*(L68+I68)</f>
        <v/>
      </c>
      <c r="Q68" s="42">
        <f>O68+P68</f>
        <v/>
      </c>
      <c r="R68" s="38">
        <f>IF($A68=0,SizeExpsAcq0*H68,0)</f>
        <v/>
      </c>
      <c r="S68" s="38">
        <f>IF($A68=0,SizeExpsCommInit0*J68,0)</f>
        <v/>
      </c>
      <c r="T68" s="38">
        <f>Policy_Sched!$J68*J68</f>
        <v/>
      </c>
      <c r="U68" s="42">
        <f>M68*J68</f>
        <v/>
      </c>
      <c r="V68" s="42">
        <f>S68+T68+R68+U68</f>
        <v/>
      </c>
      <c r="W68" s="38">
        <f>IF($A68&gt;LastT,0,N68+W69/(1+Policy_Sched!$K68))</f>
        <v/>
      </c>
      <c r="X68" s="38">
        <f>IF($A68&gt;LastT,0,(-Q68+X69)/(1+Policy_Sched!$K68))</f>
        <v/>
      </c>
      <c r="Y68" s="38">
        <f>IF($A68&gt;LastT,0,-V68+Y69/(1+Policy_Sched!$K68))</f>
        <v/>
      </c>
      <c r="Z68" s="42">
        <f>W68+Y68+X68</f>
        <v/>
      </c>
      <c r="AA68" s="38">
        <f>IF($A68&gt;LastT,0,N68-V68-Q68/(1+Policy_Sched!$K68)+Z69/(1+Policy_Sched!$K68))</f>
        <v/>
      </c>
    </row>
    <row r="69">
      <c r="A69" s="30">
        <f>A68+1</f>
        <v/>
      </c>
      <c r="B69" s="31">
        <f>IF($A69&gt;LastT,0,IF($B$3="exps",B68*(1+InflRate+IF($A69&gt;=T0,$G$3,0)),B68/(1+InflRate)))</f>
        <v/>
      </c>
      <c r="C69" s="31">
        <f>IF($A69&gt;LastT,0,IF(AND($D$3&lt;&gt;0,$A69&gt;=T0,Policy_Sched!$B69&lt;LastAge),1+$D$3*$E$3,1))</f>
        <v/>
      </c>
      <c r="D69" s="36">
        <f>IF($A69&gt;LastT,0,IF($C$3="up",MIN(Policy_Sched!$E69*(1+IF($A69&gt;=T0,$E$3,0)),$F$3),IF($C$3="down",MAX(Policy_Sched!$E69*(1-IF($A69&gt;=T0,$E$3,0)),Policy_Sched!$E69-$F$3),Policy_Sched!$E69)))</f>
        <v/>
      </c>
      <c r="E69" s="37">
        <f>IF($A69&gt;LastT,0,J68-K68-L68)</f>
        <v/>
      </c>
      <c r="F69" s="37">
        <f>IF($A69&gt;LastT,0,IF($A69=PolicyTerm,E69,0))</f>
        <v/>
      </c>
      <c r="G69" s="37">
        <f>IF($A69&gt;LastT,0,E69-F69)</f>
        <v/>
      </c>
      <c r="H69" s="37">
        <f>IF($A69=0,PolicyCount,0)</f>
        <v/>
      </c>
      <c r="I69" s="37">
        <f>IF($A69&gt;LastT,0,IF(AND($C$3="mass",$A69=T0),(G69+H69)*$E$3,0))</f>
        <v/>
      </c>
      <c r="J69" s="37">
        <f>IF($A69&gt;LastT,0,G69+H69-I69)</f>
        <v/>
      </c>
      <c r="K69" s="37">
        <f>IF($A69&gt;LastT,0,J69*Policy_Sched!$C69*Policy_Sched!$D69*C69)</f>
        <v/>
      </c>
      <c r="L69" s="41">
        <f>J69*D69</f>
        <v/>
      </c>
      <c r="M69" s="38">
        <f>IF($A69&gt;LastT,0,(SizeAnnPrem*ExpsMaintAnnPrem+(SumAssured*ExpsMaintSA+ExpsMaintPol)*B69)*(1+IF($B$3="exps",$E$3,0)))</f>
        <v/>
      </c>
      <c r="N69" s="38">
        <f>SizePremium*J69</f>
        <v/>
      </c>
      <c r="O69" s="38">
        <f>SumAssured*K69</f>
        <v/>
      </c>
      <c r="P69" s="38">
        <f>Policy_Sched!$I69*(L69+I69)</f>
        <v/>
      </c>
      <c r="Q69" s="42">
        <f>O69+P69</f>
        <v/>
      </c>
      <c r="R69" s="38">
        <f>IF($A69=0,SizeExpsAcq0*H69,0)</f>
        <v/>
      </c>
      <c r="S69" s="38">
        <f>IF($A69=0,SizeExpsCommInit0*J69,0)</f>
        <v/>
      </c>
      <c r="T69" s="38">
        <f>Policy_Sched!$J69*J69</f>
        <v/>
      </c>
      <c r="U69" s="42">
        <f>M69*J69</f>
        <v/>
      </c>
      <c r="V69" s="42">
        <f>S69+T69+R69+U69</f>
        <v/>
      </c>
      <c r="W69" s="38">
        <f>IF($A69&gt;LastT,0,N69+W70/(1+Policy_Sched!$K69))</f>
        <v/>
      </c>
      <c r="X69" s="38">
        <f>IF($A69&gt;LastT,0,(-Q69+X70)/(1+Policy_Sched!$K69))</f>
        <v/>
      </c>
      <c r="Y69" s="38">
        <f>IF($A69&gt;LastT,0,-V69+Y70/(1+Policy_Sched!$K69))</f>
        <v/>
      </c>
      <c r="Z69" s="42">
        <f>W69+Y69+X69</f>
        <v/>
      </c>
      <c r="AA69" s="38">
        <f>IF($A69&gt;LastT,0,N69-V69-Q69/(1+Policy_Sched!$K69)+Z70/(1+Policy_Sched!$K69))</f>
        <v/>
      </c>
    </row>
    <row r="70">
      <c r="A70" s="30">
        <f>A69+1</f>
        <v/>
      </c>
      <c r="B70" s="31">
        <f>IF($A70&gt;LastT,0,IF($B$3="exps",B69*(1+InflRate+IF($A70&gt;=T0,$G$3,0)),B69/(1+InflRate)))</f>
        <v/>
      </c>
      <c r="C70" s="31">
        <f>IF($A70&gt;LastT,0,IF(AND($D$3&lt;&gt;0,$A70&gt;=T0,Policy_Sched!$B70&lt;LastAge),1+$D$3*$E$3,1))</f>
        <v/>
      </c>
      <c r="D70" s="36">
        <f>IF($A70&gt;LastT,0,IF($C$3="up",MIN(Policy_Sched!$E70*(1+IF($A70&gt;=T0,$E$3,0)),$F$3),IF($C$3="down",MAX(Policy_Sched!$E70*(1-IF($A70&gt;=T0,$E$3,0)),Policy_Sched!$E70-$F$3),Policy_Sched!$E70)))</f>
        <v/>
      </c>
      <c r="E70" s="37">
        <f>IF($A70&gt;LastT,0,J69-K69-L69)</f>
        <v/>
      </c>
      <c r="F70" s="37">
        <f>IF($A70&gt;LastT,0,IF($A70=PolicyTerm,E70,0))</f>
        <v/>
      </c>
      <c r="G70" s="37">
        <f>IF($A70&gt;LastT,0,E70-F70)</f>
        <v/>
      </c>
      <c r="H70" s="37">
        <f>IF($A70=0,PolicyCount,0)</f>
        <v/>
      </c>
      <c r="I70" s="37">
        <f>IF($A70&gt;LastT,0,IF(AND($C$3="mass",$A70=T0),(G70+H70)*$E$3,0))</f>
        <v/>
      </c>
      <c r="J70" s="37">
        <f>IF($A70&gt;LastT,0,G70+H70-I70)</f>
        <v/>
      </c>
      <c r="K70" s="37">
        <f>IF($A70&gt;LastT,0,J70*Policy_Sched!$C70*Policy_Sched!$D70*C70)</f>
        <v/>
      </c>
      <c r="L70" s="41">
        <f>J70*D70</f>
        <v/>
      </c>
      <c r="M70" s="38">
        <f>IF($A70&gt;LastT,0,(SizeAnnPrem*ExpsMaintAnnPrem+(SumAssured*ExpsMaintSA+ExpsMaintPol)*B70)*(1+IF($B$3="exps",$E$3,0)))</f>
        <v/>
      </c>
      <c r="N70" s="38">
        <f>SizePremium*J70</f>
        <v/>
      </c>
      <c r="O70" s="38">
        <f>SumAssured*K70</f>
        <v/>
      </c>
      <c r="P70" s="38">
        <f>Policy_Sched!$I70*(L70+I70)</f>
        <v/>
      </c>
      <c r="Q70" s="42">
        <f>O70+P70</f>
        <v/>
      </c>
      <c r="R70" s="38">
        <f>IF($A70=0,SizeExpsAcq0*H70,0)</f>
        <v/>
      </c>
      <c r="S70" s="38">
        <f>IF($A70=0,SizeExpsCommInit0*J70,0)</f>
        <v/>
      </c>
      <c r="T70" s="38">
        <f>Policy_Sched!$J70*J70</f>
        <v/>
      </c>
      <c r="U70" s="42">
        <f>M70*J70</f>
        <v/>
      </c>
      <c r="V70" s="42">
        <f>S70+T70+R70+U70</f>
        <v/>
      </c>
      <c r="W70" s="38">
        <f>IF($A70&gt;LastT,0,N70+W71/(1+Policy_Sched!$K70))</f>
        <v/>
      </c>
      <c r="X70" s="38">
        <f>IF($A70&gt;LastT,0,(-Q70+X71)/(1+Policy_Sched!$K70))</f>
        <v/>
      </c>
      <c r="Y70" s="38">
        <f>IF($A70&gt;LastT,0,-V70+Y71/(1+Policy_Sched!$K70))</f>
        <v/>
      </c>
      <c r="Z70" s="42">
        <f>W70+Y70+X70</f>
        <v/>
      </c>
      <c r="AA70" s="38">
        <f>IF($A70&gt;LastT,0,N70-V70-Q70/(1+Policy_Sched!$K70)+Z71/(1+Policy_Sched!$K70))</f>
        <v/>
      </c>
    </row>
    <row r="71">
      <c r="A71" s="30">
        <f>A70+1</f>
        <v/>
      </c>
      <c r="B71" s="31">
        <f>IF($A71&gt;LastT,0,IF($B$3="exps",B70*(1+InflRate+IF($A71&gt;=T0,$G$3,0)),B70/(1+InflRate)))</f>
        <v/>
      </c>
      <c r="C71" s="31">
        <f>IF($A71&gt;LastT,0,IF(AND($D$3&lt;&gt;0,$A71&gt;=T0,Policy_Sched!$B71&lt;LastAge),1+$D$3*$E$3,1))</f>
        <v/>
      </c>
      <c r="D71" s="36">
        <f>IF($A71&gt;LastT,0,IF($C$3="up",MIN(Policy_Sched!$E71*(1+IF($A71&gt;=T0,$E$3,0)),$F$3),IF($C$3="down",MAX(Policy_Sched!$E71*(1-IF($A71&gt;=T0,$E$3,0)),Policy_Sched!$E71-$F$3),Policy_Sched!$E71)))</f>
        <v/>
      </c>
      <c r="E71" s="37">
        <f>IF($A71&gt;LastT,0,J70-K70-L70)</f>
        <v/>
      </c>
      <c r="F71" s="37">
        <f>IF($A71&gt;LastT,0,IF($A71=PolicyTerm,E71,0))</f>
        <v/>
      </c>
      <c r="G71" s="37">
        <f>IF($A71&gt;LastT,0,E71-F71)</f>
        <v/>
      </c>
      <c r="H71" s="37">
        <f>IF($A71=0,PolicyCount,0)</f>
        <v/>
      </c>
      <c r="I71" s="37">
        <f>IF($A71&gt;LastT,0,IF(AND($C$3="mass",$A71=T0),(G71+H71)*$E$3,0))</f>
        <v/>
      </c>
      <c r="J71" s="37">
        <f>IF($A71&gt;LastT,0,G71+H71-I71)</f>
        <v/>
      </c>
      <c r="K71" s="37">
        <f>IF($A71&gt;LastT,0,J71*Policy_Sched!$C71*Policy_Sched!$D71*C71)</f>
        <v/>
      </c>
      <c r="L71" s="41">
        <f>J71*D71</f>
        <v/>
      </c>
      <c r="M71" s="38">
        <f>IF($A71&gt;LastT,0,(SizeAnnPrem*ExpsMaintAnnPrem+(SumAssured*ExpsMaintSA+ExpsMaintPol)*B71)*(1+IF($B$3="exps",$E$3,0)))</f>
        <v/>
      </c>
      <c r="N71" s="38">
        <f>SizePremium*J71</f>
        <v/>
      </c>
      <c r="O71" s="38">
        <f>SumAssured*K71</f>
        <v/>
      </c>
      <c r="P71" s="38">
        <f>Policy_Sched!$I71*(L71+I71)</f>
        <v/>
      </c>
      <c r="Q71" s="42">
        <f>O71+P71</f>
        <v/>
      </c>
      <c r="R71" s="38">
        <f>IF($A71=0,SizeExpsAcq0*H71,0)</f>
        <v/>
      </c>
      <c r="S71" s="38">
        <f>IF($A71=0,SizeExpsCommInit0*J71,0)</f>
        <v/>
      </c>
      <c r="T71" s="38">
        <f>Policy_Sched!$J71*J71</f>
        <v/>
      </c>
      <c r="U71" s="42">
        <f>M71*J71</f>
        <v/>
      </c>
      <c r="V71" s="42">
        <f>S71+T71+R71+U71</f>
        <v/>
      </c>
      <c r="W71" s="38">
        <f>IF($A71&gt;LastT,0,N71+W72/(1+Policy_Sched!$K71))</f>
        <v/>
      </c>
      <c r="X71" s="38">
        <f>IF($A71&gt;LastT,0,(-Q71+X72)/(1+Policy_Sched!$K71))</f>
        <v/>
      </c>
      <c r="Y71" s="38">
        <f>IF($A71&gt;LastT,0,-V71+Y72/(1+Policy_Sched!$K71))</f>
        <v/>
      </c>
      <c r="Z71" s="42">
        <f>W71+Y71+X71</f>
        <v/>
      </c>
      <c r="AA71" s="38">
        <f>IF($A71&gt;LastT,0,N71-V71-Q71/(1+Policy_Sched!$K71)+Z72/(1+Policy_Sched!$K71))</f>
        <v/>
      </c>
    </row>
    <row r="72">
      <c r="A72" s="30">
        <f>A71+1</f>
        <v/>
      </c>
      <c r="B72" s="31">
        <f>IF($A72&gt;LastT,0,IF($B$3="exps",B71*(1+InflRate+IF($A72&gt;=T0,$G$3,0)),B71/(1+InflRate)))</f>
        <v/>
      </c>
      <c r="C72" s="31">
        <f>IF($A72&gt;LastT,0,IF(AND($D$3&lt;&gt;0,$A72&gt;=T0,Policy_Sched!$B72&lt;LastAge),1+$D$3*$E$3,1))</f>
        <v/>
      </c>
      <c r="D72" s="36">
        <f>IF($A72&gt;LastT,0,IF($C$3="up",MIN(Policy_Sched!$E72*(1+IF($A72&gt;=T0,$E$3,0)),$F$3),IF($C$3="down",MAX(Policy_Sched!$E72*(1-IF($A72&gt;=T0,$E$3,0)),Policy_Sched!$E72-$F$3),Policy_Sched!$E72)))</f>
        <v/>
      </c>
      <c r="E72" s="37">
        <f>IF($A72&gt;LastT,0,J71-K71-L71)</f>
        <v/>
      </c>
      <c r="F72" s="37">
        <f>IF($A72&gt;LastT,0,IF($A72=PolicyTerm,E72,0))</f>
        <v/>
      </c>
      <c r="G72" s="37">
        <f>IF($A72&gt;LastT,0,E72-F72)</f>
        <v/>
      </c>
      <c r="H72" s="37">
        <f>IF($A72=0,PolicyCount,0)</f>
        <v/>
      </c>
      <c r="I72" s="37">
        <f>IF($A72&gt;LastT,0,IF(AND($C$3="mass",$A72=T0),(G72+H72)*$E$3,0))</f>
        <v/>
      </c>
      <c r="J72" s="37">
        <f>IF($A72&gt;LastT,0,G72+H72-I72)</f>
        <v/>
      </c>
      <c r="K72" s="37">
        <f>IF($A72&gt;LastT,0,J72*Policy_Sched!$C72*Policy_Sched!$D72*C72)</f>
        <v/>
      </c>
      <c r="L72" s="41">
        <f>J72*D72</f>
        <v/>
      </c>
      <c r="M72" s="38">
        <f>IF($A72&gt;LastT,0,(SizeAnnPrem*ExpsMaintAnnPrem+(SumAssured*ExpsMaintSA+ExpsMaintPol)*B72)*(1+IF($B$3="exps",$E$3,0)))</f>
        <v/>
      </c>
      <c r="N72" s="38">
        <f>SizePremium*J72</f>
        <v/>
      </c>
      <c r="O72" s="38">
        <f>SumAssured*K72</f>
        <v/>
      </c>
      <c r="P72" s="38">
        <f>Policy_Sched!$I72*(L72+I72)</f>
        <v/>
      </c>
      <c r="Q72" s="42">
        <f>O72+P72</f>
        <v/>
      </c>
      <c r="R72" s="38">
        <f>IF($A72=0,SizeExpsAcq0*H72,0)</f>
        <v/>
      </c>
      <c r="S72" s="38">
        <f>IF($A72=0,SizeExpsCommInit0*J72,0)</f>
        <v/>
      </c>
      <c r="T72" s="38">
        <f>Policy_Sched!$J72*J72</f>
        <v/>
      </c>
      <c r="U72" s="42">
        <f>M72*J72</f>
        <v/>
      </c>
      <c r="V72" s="42">
        <f>S72+T72+R72+U72</f>
        <v/>
      </c>
      <c r="W72" s="38">
        <f>IF($A72&gt;LastT,0,N72+W73/(1+Policy_Sched!$K72))</f>
        <v/>
      </c>
      <c r="X72" s="38">
        <f>IF($A72&gt;LastT,0,(-Q72+X73)/(1+Policy_Sched!$K72))</f>
        <v/>
      </c>
      <c r="Y72" s="38">
        <f>IF($A72&gt;LastT,0,-V72+Y73/(1+Policy_Sched!$K72))</f>
        <v/>
      </c>
      <c r="Z72" s="42">
        <f>W72+Y72+X72</f>
        <v/>
      </c>
      <c r="AA72" s="38">
        <f>IF($A72&gt;LastT,0,N72-V72-Q72/(1+Policy_Sched!$K72)+Z73/(1+Policy_Sched!$K72))</f>
        <v/>
      </c>
    </row>
    <row r="73">
      <c r="A73" s="30">
        <f>A72+1</f>
        <v/>
      </c>
      <c r="B73" s="31">
        <f>IF($A73&gt;LastT,0,IF($B$3="exps",B72*(1+InflRate+IF($A73&gt;=T0,$G$3,0)),B72/(1+InflRate)))</f>
        <v/>
      </c>
      <c r="C73" s="31">
        <f>IF($A73&gt;LastT,0,IF(AND($D$3&lt;&gt;0,$A73&gt;=T0,Policy_Sched!$B73&lt;LastAge),1+$D$3*$E$3,1))</f>
        <v/>
      </c>
      <c r="D73" s="36">
        <f>IF($A73&gt;LastT,0,IF($C$3="up",MIN(Policy_Sched!$E73*(1+IF($A73&gt;=T0,$E$3,0)),$F$3),IF($C$3="down",MAX(Policy_Sched!$E73*(1-IF($A73&gt;=T0,$E$3,0)),Policy_Sched!$E73-$F$3),Policy_Sched!$E73)))</f>
        <v/>
      </c>
      <c r="E73" s="37">
        <f>IF($A73&gt;LastT,0,J72-K72-L72)</f>
        <v/>
      </c>
      <c r="F73" s="37">
        <f>IF($A73&gt;LastT,0,IF($A73=PolicyTerm,E73,0))</f>
        <v/>
      </c>
      <c r="G73" s="37">
        <f>IF($A73&gt;LastT,0,E73-F73)</f>
        <v/>
      </c>
      <c r="H73" s="37">
        <f>IF($A73=0,PolicyCount,0)</f>
        <v/>
      </c>
      <c r="I73" s="37">
        <f>IF($A73&gt;LastT,0,IF(AND($C$3="mass",$A73=T0),(G73+H73)*$E$3,0))</f>
        <v/>
      </c>
      <c r="J73" s="37">
        <f>IF($A73&gt;LastT,0,G73+H73-I73)</f>
        <v/>
      </c>
      <c r="K73" s="37">
        <f>IF($A73&gt;LastT,0,J73*Policy_Sched!$C73*Policy_Sched!$D73*C73)</f>
        <v/>
      </c>
      <c r="L73" s="41">
        <f>J73*D73</f>
        <v/>
      </c>
      <c r="M73" s="38">
        <f>IF($A73&gt;LastT,0,(SizeAnnPrem*ExpsMaintAnnPrem+(SumAssured*ExpsMaintSA+ExpsMaintPol)*B73)*(1+IF($B$3="exps",$E$3,0)))</f>
        <v/>
      </c>
      <c r="N73" s="38">
        <f>SizePremium*J73</f>
        <v/>
      </c>
      <c r="O73" s="38">
        <f>SumAssured*K73</f>
        <v/>
      </c>
      <c r="P73" s="38">
        <f>Policy_Sched!$I73*(L73+I73)</f>
        <v/>
      </c>
      <c r="Q73" s="42">
        <f>O73+P73</f>
        <v/>
      </c>
      <c r="R73" s="38">
        <f>IF($A73=0,SizeExpsAcq0*H73,0)</f>
        <v/>
      </c>
      <c r="S73" s="38">
        <f>IF($A73=0,SizeExpsCommInit0*J73,0)</f>
        <v/>
      </c>
      <c r="T73" s="38">
        <f>Policy_Sched!$J73*J73</f>
        <v/>
      </c>
      <c r="U73" s="42">
        <f>M73*J73</f>
        <v/>
      </c>
      <c r="V73" s="42">
        <f>S73+T73+R73+U73</f>
        <v/>
      </c>
      <c r="W73" s="38">
        <f>IF($A73&gt;LastT,0,N73+W74/(1+Policy_Sched!$K73))</f>
        <v/>
      </c>
      <c r="X73" s="38">
        <f>IF($A73&gt;LastT,0,(-Q73+X74)/(1+Policy_Sched!$K73))</f>
        <v/>
      </c>
      <c r="Y73" s="38">
        <f>IF($A73&gt;LastT,0,-V73+Y74/(1+Policy_Sched!$K73))</f>
        <v/>
      </c>
      <c r="Z73" s="42">
        <f>W73+Y73+X73</f>
        <v/>
      </c>
      <c r="AA73" s="38">
        <f>IF($A73&gt;LastT,0,N73-V73-Q73/(1+Policy_Sched!$K73)+Z74/(1+Policy_Sched!$K73))</f>
        <v/>
      </c>
    </row>
    <row r="74">
      <c r="A74" s="30">
        <f>A73+1</f>
        <v/>
      </c>
      <c r="B74" s="31">
        <f>IF($A74&gt;LastT,0,IF($B$3="exps",B73*(1+InflRate+IF($A74&gt;=T0,$G$3,0)),B73/(1+InflRate)))</f>
        <v/>
      </c>
      <c r="C74" s="31">
        <f>IF($A74&gt;LastT,0,IF(AND($D$3&lt;&gt;0,$A74&gt;=T0,Policy_Sched!$B74&lt;LastAge),1+$D$3*$E$3,1))</f>
        <v/>
      </c>
      <c r="D74" s="36">
        <f>IF($A74&gt;LastT,0,IF($C$3="up",MIN(Policy_Sched!$E74*(1+IF($A74&gt;=T0,$E$3,0)),$F$3),IF($C$3="down",MAX(Policy_Sched!$E74*(1-IF($A74&gt;=T0,$E$3,0)),Policy_Sched!$E74-$F$3),Policy_Sched!$E74)))</f>
        <v/>
      </c>
      <c r="E74" s="37">
        <f>IF($A74&gt;LastT,0,J73-K73-L73)</f>
        <v/>
      </c>
      <c r="F74" s="37">
        <f>IF($A74&gt;LastT,0,IF($A74=PolicyTerm,E74,0))</f>
        <v/>
      </c>
      <c r="G74" s="37">
        <f>IF($A74&gt;LastT,0,E74-F74)</f>
        <v/>
      </c>
      <c r="H74" s="37">
        <f>IF($A74=0,PolicyCount,0)</f>
        <v/>
      </c>
      <c r="I74" s="37">
        <f>IF($A74&gt;LastT,0,IF(AND($C$3="mass",$A74=T0),(G74+H74)*$E$3,0))</f>
        <v/>
      </c>
      <c r="J74" s="37">
        <f>IF($A74&gt;LastT,0,G74+H74-I74)</f>
        <v/>
      </c>
      <c r="K74" s="37">
        <f>IF($A74&gt;LastT,0,J74*Policy_Sched!$C74*Policy_Sched!$D74*C74)</f>
        <v/>
      </c>
      <c r="L74" s="41">
        <f>J74*D74</f>
        <v/>
      </c>
      <c r="M74" s="38">
        <f>IF($A74&gt;LastT,0,(SizeAnnPrem*ExpsMaintAnnPrem+(SumAssured*ExpsMaintSA+ExpsMaintPol)*B74)*(1+IF($B$3="exps",$E$3,0)))</f>
        <v/>
      </c>
      <c r="N74" s="38">
        <f>SizePremium*J74</f>
        <v/>
      </c>
      <c r="O74" s="38">
        <f>SumAssured*K74</f>
        <v/>
      </c>
      <c r="P74" s="38">
        <f>Policy_Sched!$I74*(L74+I74)</f>
        <v/>
      </c>
      <c r="Q74" s="42">
        <f>O74+P74</f>
        <v/>
      </c>
      <c r="R74" s="38">
        <f>IF($A74=0,SizeExpsAcq0*H74,0)</f>
        <v/>
      </c>
      <c r="S74" s="38">
        <f>IF($A74=0,SizeExpsCommInit0*J74,0)</f>
        <v/>
      </c>
      <c r="T74" s="38">
        <f>Policy_Sched!$J74*J74</f>
        <v/>
      </c>
      <c r="U74" s="42">
        <f>M74*J74</f>
        <v/>
      </c>
      <c r="V74" s="42">
        <f>S74+T74+R74+U74</f>
        <v/>
      </c>
      <c r="W74" s="38">
        <f>IF($A74&gt;LastT,0,N74+W75/(1+Policy_Sched!$K74))</f>
        <v/>
      </c>
      <c r="X74" s="38">
        <f>IF($A74&gt;LastT,0,(-Q74+X75)/(1+Policy_Sched!$K74))</f>
        <v/>
      </c>
      <c r="Y74" s="38">
        <f>IF($A74&gt;LastT,0,-V74+Y75/(1+Policy_Sched!$K74))</f>
        <v/>
      </c>
      <c r="Z74" s="42">
        <f>W74+Y74+X74</f>
        <v/>
      </c>
      <c r="AA74" s="38">
        <f>IF($A74&gt;LastT,0,N74-V74-Q74/(1+Policy_Sched!$K74)+Z75/(1+Policy_Sched!$K74))</f>
        <v/>
      </c>
    </row>
    <row r="75">
      <c r="A75" s="30">
        <f>A74+1</f>
        <v/>
      </c>
      <c r="B75" s="31">
        <f>IF($A75&gt;LastT,0,IF($B$3="exps",B74*(1+InflRate+IF($A75&gt;=T0,$G$3,0)),B74/(1+InflRate)))</f>
        <v/>
      </c>
      <c r="C75" s="31">
        <f>IF($A75&gt;LastT,0,IF(AND($D$3&lt;&gt;0,$A75&gt;=T0,Policy_Sched!$B75&lt;LastAge),1+$D$3*$E$3,1))</f>
        <v/>
      </c>
      <c r="D75" s="36">
        <f>IF($A75&gt;LastT,0,IF($C$3="up",MIN(Policy_Sched!$E75*(1+IF($A75&gt;=T0,$E$3,0)),$F$3),IF($C$3="down",MAX(Policy_Sched!$E75*(1-IF($A75&gt;=T0,$E$3,0)),Policy_Sched!$E75-$F$3),Policy_Sched!$E75)))</f>
        <v/>
      </c>
      <c r="E75" s="37">
        <f>IF($A75&gt;LastT,0,J74-K74-L74)</f>
        <v/>
      </c>
      <c r="F75" s="37">
        <f>IF($A75&gt;LastT,0,IF($A75=PolicyTerm,E75,0))</f>
        <v/>
      </c>
      <c r="G75" s="37">
        <f>IF($A75&gt;LastT,0,E75-F75)</f>
        <v/>
      </c>
      <c r="H75" s="37">
        <f>IF($A75=0,PolicyCount,0)</f>
        <v/>
      </c>
      <c r="I75" s="37">
        <f>IF($A75&gt;LastT,0,IF(AND($C$3="mass",$A75=T0),(G75+H75)*$E$3,0))</f>
        <v/>
      </c>
      <c r="J75" s="37">
        <f>IF($A75&gt;LastT,0,G75+H75-I75)</f>
        <v/>
      </c>
      <c r="K75" s="37">
        <f>IF($A75&gt;LastT,0,J75*Policy_Sched!$C75*Policy_Sched!$D75*C75)</f>
        <v/>
      </c>
      <c r="L75" s="41">
        <f>J75*D75</f>
        <v/>
      </c>
      <c r="M75" s="38">
        <f>IF($A75&gt;LastT,0,(SizeAnnPrem*ExpsMaintAnnPrem+(SumAssured*ExpsMaintSA+ExpsMaintPol)*B75)*(1+IF($B$3="exps",$E$3,0)))</f>
        <v/>
      </c>
      <c r="N75" s="38">
        <f>SizePremium*J75</f>
        <v/>
      </c>
      <c r="O75" s="38">
        <f>SumAssured*K75</f>
        <v/>
      </c>
      <c r="P75" s="38">
        <f>Policy_Sched!$I75*(L75+I75)</f>
        <v/>
      </c>
      <c r="Q75" s="42">
        <f>O75+P75</f>
        <v/>
      </c>
      <c r="R75" s="38">
        <f>IF($A75=0,SizeExpsAcq0*H75,0)</f>
        <v/>
      </c>
      <c r="S75" s="38">
        <f>IF($A75=0,SizeExpsCommInit0*J75,0)</f>
        <v/>
      </c>
      <c r="T75" s="38">
        <f>Policy_Sched!$J75*J75</f>
        <v/>
      </c>
      <c r="U75" s="42">
        <f>M75*J75</f>
        <v/>
      </c>
      <c r="V75" s="42">
        <f>S75+T75+R75+U75</f>
        <v/>
      </c>
      <c r="W75" s="38">
        <f>IF($A75&gt;LastT,0,N75+W76/(1+Policy_Sched!$K75))</f>
        <v/>
      </c>
      <c r="X75" s="38">
        <f>IF($A75&gt;LastT,0,(-Q75+X76)/(1+Policy_Sched!$K75))</f>
        <v/>
      </c>
      <c r="Y75" s="38">
        <f>IF($A75&gt;LastT,0,-V75+Y76/(1+Policy_Sched!$K75))</f>
        <v/>
      </c>
      <c r="Z75" s="42">
        <f>W75+Y75+X75</f>
        <v/>
      </c>
      <c r="AA75" s="38">
        <f>IF($A75&gt;LastT,0,N75-V75-Q75/(1+Policy_Sched!$K75)+Z76/(1+Policy_Sched!$K75))</f>
        <v/>
      </c>
    </row>
    <row r="76">
      <c r="A76" s="30">
        <f>A75+1</f>
        <v/>
      </c>
      <c r="B76" s="31">
        <f>IF($A76&gt;LastT,0,IF($B$3="exps",B75*(1+InflRate+IF($A76&gt;=T0,$G$3,0)),B75/(1+InflRate)))</f>
        <v/>
      </c>
      <c r="C76" s="31">
        <f>IF($A76&gt;LastT,0,IF(AND($D$3&lt;&gt;0,$A76&gt;=T0,Policy_Sched!$B76&lt;LastAge),1+$D$3*$E$3,1))</f>
        <v/>
      </c>
      <c r="D76" s="36">
        <f>IF($A76&gt;LastT,0,IF($C$3="up",MIN(Policy_Sched!$E76*(1+IF($A76&gt;=T0,$E$3,0)),$F$3),IF($C$3="down",MAX(Policy_Sched!$E76*(1-IF($A76&gt;=T0,$E$3,0)),Policy_Sched!$E76-$F$3),Policy_Sched!$E76)))</f>
        <v/>
      </c>
      <c r="E76" s="37">
        <f>IF($A76&gt;LastT,0,J75-K75-L75)</f>
        <v/>
      </c>
      <c r="F76" s="37">
        <f>IF($A76&gt;LastT,0,IF($A76=PolicyTerm,E76,0))</f>
        <v/>
      </c>
      <c r="G76" s="37">
        <f>IF($A76&gt;LastT,0,E76-F76)</f>
        <v/>
      </c>
      <c r="H76" s="37">
        <f>IF($A76=0,PolicyCount,0)</f>
        <v/>
      </c>
      <c r="I76" s="37">
        <f>IF($A76&gt;LastT,0,IF(AND($C$3="mass",$A76=T0),(G76+H76)*$E$3,0))</f>
        <v/>
      </c>
      <c r="J76" s="37">
        <f>IF($A76&gt;LastT,0,G76+H76-I76)</f>
        <v/>
      </c>
      <c r="K76" s="37">
        <f>IF($A76&gt;LastT,0,J76*Policy_Sched!$C76*Policy_Sched!$D76*C76)</f>
        <v/>
      </c>
      <c r="L76" s="41">
        <f>J76*D76</f>
        <v/>
      </c>
      <c r="M76" s="38">
        <f>IF($A76&gt;LastT,0,(SizeAnnPrem*ExpsMaintAnnPrem+(SumAssured*ExpsMaintSA+ExpsMaintPol)*B76)*(1+IF($B$3="exps",$E$3,0)))</f>
        <v/>
      </c>
      <c r="N76" s="38">
        <f>SizePremium*J76</f>
        <v/>
      </c>
      <c r="O76" s="38">
        <f>SumAssured*K76</f>
        <v/>
      </c>
      <c r="P76" s="38">
        <f>Policy_Sched!$I76*(L76+I76)</f>
        <v/>
      </c>
      <c r="Q76" s="42">
        <f>O76+P76</f>
        <v/>
      </c>
      <c r="R76" s="38">
        <f>IF($A76=0,SizeExpsAcq0*H76,0)</f>
        <v/>
      </c>
      <c r="S76" s="38">
        <f>IF($A76=0,SizeExpsCommInit0*J76,0)</f>
        <v/>
      </c>
      <c r="T76" s="38">
        <f>Policy_Sched!$J76*J76</f>
        <v/>
      </c>
      <c r="U76" s="42">
        <f>M76*J76</f>
        <v/>
      </c>
      <c r="V76" s="42">
        <f>S76+T76+R76+U76</f>
        <v/>
      </c>
      <c r="W76" s="38">
        <f>IF($A76&gt;LastT,0,N76+W77/(1+Policy_Sched!$K76))</f>
        <v/>
      </c>
      <c r="X76" s="38">
        <f>IF($A76&gt;LastT,0,(-Q76+X77)/(1+Policy_Sched!$K76))</f>
        <v/>
      </c>
      <c r="Y76" s="38">
        <f>IF($A76&gt;LastT,0,-V76+Y77/(1+Policy_Sched!$K76))</f>
        <v/>
      </c>
      <c r="Z76" s="42">
        <f>W76+Y76+X76</f>
        <v/>
      </c>
      <c r="AA76" s="38">
        <f>IF($A76&gt;LastT,0,N76-V76-Q76/(1+Policy_Sched!$K76)+Z77/(1+Policy_Sched!$K76))</f>
        <v/>
      </c>
    </row>
    <row r="77">
      <c r="A77" s="30">
        <f>A76+1</f>
        <v/>
      </c>
      <c r="B77" s="31">
        <f>IF($A77&gt;LastT,0,IF($B$3="exps",B76*(1+InflRate+IF($A77&gt;=T0,$G$3,0)),B76/(1+InflRate)))</f>
        <v/>
      </c>
      <c r="C77" s="31">
        <f>IF($A77&gt;LastT,0,IF(AND($D$3&lt;&gt;0,$A77&gt;=T0,Policy_Sched!$B77&lt;LastAge),1+$D$3*$E$3,1))</f>
        <v/>
      </c>
      <c r="D77" s="36">
        <f>IF($A77&gt;LastT,0,IF($C$3="up",MIN(Policy_Sched!$E77*(1+IF($A77&gt;=T0,$E$3,0)),$F$3),IF($C$3="down",MAX(Policy_Sched!$E77*(1-IF($A77&gt;=T0,$E$3,0)),Policy_Sched!$E77-$F$3),Policy_Sched!$E77)))</f>
        <v/>
      </c>
      <c r="E77" s="37">
        <f>IF($A77&gt;LastT,0,J76-K76-L76)</f>
        <v/>
      </c>
      <c r="F77" s="37">
        <f>IF($A77&gt;LastT,0,IF($A77=PolicyTerm,E77,0))</f>
        <v/>
      </c>
      <c r="G77" s="37">
        <f>IF($A77&gt;LastT,0,E77-F77)</f>
        <v/>
      </c>
      <c r="H77" s="37">
        <f>IF($A77=0,PolicyCount,0)</f>
        <v/>
      </c>
      <c r="I77" s="37">
        <f>IF($A77&gt;LastT,0,IF(AND($C$3="mass",$A77=T0),(G77+H77)*$E$3,0))</f>
        <v/>
      </c>
      <c r="J77" s="37">
        <f>IF($A77&gt;LastT,0,G77+H77-I77)</f>
        <v/>
      </c>
      <c r="K77" s="37">
        <f>IF($A77&gt;LastT,0,J77*Policy_Sched!$C77*Policy_Sched!$D77*C77)</f>
        <v/>
      </c>
      <c r="L77" s="41">
        <f>J77*D77</f>
        <v/>
      </c>
      <c r="M77" s="38">
        <f>IF($A77&gt;LastT,0,(SizeAnnPrem*ExpsMaintAnnPrem+(SumAssured*ExpsMaintSA+ExpsMaintPol)*B77)*(1+IF($B$3="exps",$E$3,0)))</f>
        <v/>
      </c>
      <c r="N77" s="38">
        <f>SizePremium*J77</f>
        <v/>
      </c>
      <c r="O77" s="38">
        <f>SumAssured*K77</f>
        <v/>
      </c>
      <c r="P77" s="38">
        <f>Policy_Sched!$I77*(L77+I77)</f>
        <v/>
      </c>
      <c r="Q77" s="42">
        <f>O77+P77</f>
        <v/>
      </c>
      <c r="R77" s="38">
        <f>IF($A77=0,SizeExpsAcq0*H77,0)</f>
        <v/>
      </c>
      <c r="S77" s="38">
        <f>IF($A77=0,SizeExpsCommInit0*J77,0)</f>
        <v/>
      </c>
      <c r="T77" s="38">
        <f>Policy_Sched!$J77*J77</f>
        <v/>
      </c>
      <c r="U77" s="42">
        <f>M77*J77</f>
        <v/>
      </c>
      <c r="V77" s="42">
        <f>S77+T77+R77+U77</f>
        <v/>
      </c>
      <c r="W77" s="38">
        <f>IF($A77&gt;LastT,0,N77+W78/(1+Policy_Sched!$K77))</f>
        <v/>
      </c>
      <c r="X77" s="38">
        <f>IF($A77&gt;LastT,0,(-Q77+X78)/(1+Policy_Sched!$K77))</f>
        <v/>
      </c>
      <c r="Y77" s="38">
        <f>IF($A77&gt;LastT,0,-V77+Y78/(1+Policy_Sched!$K77))</f>
        <v/>
      </c>
      <c r="Z77" s="42">
        <f>W77+Y77+X77</f>
        <v/>
      </c>
      <c r="AA77" s="38">
        <f>IF($A77&gt;LastT,0,N77-V77-Q77/(1+Policy_Sched!$K77)+Z78/(1+Policy_Sched!$K77))</f>
        <v/>
      </c>
    </row>
    <row r="78">
      <c r="A78" s="30">
        <f>A77+1</f>
        <v/>
      </c>
      <c r="B78" s="31">
        <f>IF($A78&gt;LastT,0,IF($B$3="exps",B77*(1+InflRate+IF($A78&gt;=T0,$G$3,0)),B77/(1+InflRate)))</f>
        <v/>
      </c>
      <c r="C78" s="31">
        <f>IF($A78&gt;LastT,0,IF(AND($D$3&lt;&gt;0,$A78&gt;=T0,Policy_Sched!$B78&lt;LastAge),1+$D$3*$E$3,1))</f>
        <v/>
      </c>
      <c r="D78" s="36">
        <f>IF($A78&gt;LastT,0,IF($C$3="up",MIN(Policy_Sched!$E78*(1+IF($A78&gt;=T0,$E$3,0)),$F$3),IF($C$3="down",MAX(Policy_Sched!$E78*(1-IF($A78&gt;=T0,$E$3,0)),Policy_Sched!$E78-$F$3),Policy_Sched!$E78)))</f>
        <v/>
      </c>
      <c r="E78" s="37">
        <f>IF($A78&gt;LastT,0,J77-K77-L77)</f>
        <v/>
      </c>
      <c r="F78" s="37">
        <f>IF($A78&gt;LastT,0,IF($A78=PolicyTerm,E78,0))</f>
        <v/>
      </c>
      <c r="G78" s="37">
        <f>IF($A78&gt;LastT,0,E78-F78)</f>
        <v/>
      </c>
      <c r="H78" s="37">
        <f>IF($A78=0,PolicyCount,0)</f>
        <v/>
      </c>
      <c r="I78" s="37">
        <f>IF($A78&gt;LastT,0,IF(AND($C$3="mass",$A78=T0),(G78+H78)*$E$3,0))</f>
        <v/>
      </c>
      <c r="J78" s="37">
        <f>IF($A78&gt;LastT,0,G78+H78-I78)</f>
        <v/>
      </c>
      <c r="K78" s="37">
        <f>IF($A78&gt;LastT,0,J78*Policy_Sched!$C78*Policy_Sched!$D78*C78)</f>
        <v/>
      </c>
      <c r="L78" s="41">
        <f>J78*D78</f>
        <v/>
      </c>
      <c r="M78" s="38">
        <f>IF($A78&gt;LastT,0,(SizeAnnPrem*ExpsMaintAnnPrem+(SumAssured*ExpsMaintSA+ExpsMaintPol)*B78)*(1+IF($B$3="exps",$E$3,0)))</f>
        <v/>
      </c>
      <c r="N78" s="38">
        <f>SizePremium*J78</f>
        <v/>
      </c>
      <c r="O78" s="38">
        <f>SumAssured*K78</f>
        <v/>
      </c>
      <c r="P78" s="38">
        <f>Policy_Sched!$I78*(L78+I78)</f>
        <v/>
      </c>
      <c r="Q78" s="42">
        <f>O78+P78</f>
        <v/>
      </c>
      <c r="R78" s="38">
        <f>IF($A78=0,SizeExpsAcq0*H78,0)</f>
        <v/>
      </c>
      <c r="S78" s="38">
        <f>IF($A78=0,SizeExpsCommInit0*J78,0)</f>
        <v/>
      </c>
      <c r="T78" s="38">
        <f>Policy_Sched!$J78*J78</f>
        <v/>
      </c>
      <c r="U78" s="42">
        <f>M78*J78</f>
        <v/>
      </c>
      <c r="V78" s="42">
        <f>S78+T78+R78+U78</f>
        <v/>
      </c>
      <c r="W78" s="38">
        <f>IF($A78&gt;LastT,0,N78+W79/(1+Policy_Sched!$K78))</f>
        <v/>
      </c>
      <c r="X78" s="38">
        <f>IF($A78&gt;LastT,0,(-Q78+X79)/(1+Policy_Sched!$K78))</f>
        <v/>
      </c>
      <c r="Y78" s="38">
        <f>IF($A78&gt;LastT,0,-V78+Y79/(1+Policy_Sched!$K78))</f>
        <v/>
      </c>
      <c r="Z78" s="42">
        <f>W78+Y78+X78</f>
        <v/>
      </c>
      <c r="AA78" s="38">
        <f>IF($A78&gt;LastT,0,N78-V78-Q78/(1+Policy_Sched!$K78)+Z79/(1+Policy_Sched!$K78))</f>
        <v/>
      </c>
    </row>
    <row r="79">
      <c r="A79" s="30">
        <f>A78+1</f>
        <v/>
      </c>
      <c r="B79" s="31">
        <f>IF($A79&gt;LastT,0,IF($B$3="exps",B78*(1+InflRate+IF($A79&gt;=T0,$G$3,0)),B78/(1+InflRate)))</f>
        <v/>
      </c>
      <c r="C79" s="31">
        <f>IF($A79&gt;LastT,0,IF(AND($D$3&lt;&gt;0,$A79&gt;=T0,Policy_Sched!$B79&lt;LastAge),1+$D$3*$E$3,1))</f>
        <v/>
      </c>
      <c r="D79" s="36">
        <f>IF($A79&gt;LastT,0,IF($C$3="up",MIN(Policy_Sched!$E79*(1+IF($A79&gt;=T0,$E$3,0)),$F$3),IF($C$3="down",MAX(Policy_Sched!$E79*(1-IF($A79&gt;=T0,$E$3,0)),Policy_Sched!$E79-$F$3),Policy_Sched!$E79)))</f>
        <v/>
      </c>
      <c r="E79" s="37">
        <f>IF($A79&gt;LastT,0,J78-K78-L78)</f>
        <v/>
      </c>
      <c r="F79" s="37">
        <f>IF($A79&gt;LastT,0,IF($A79=PolicyTerm,E79,0))</f>
        <v/>
      </c>
      <c r="G79" s="37">
        <f>IF($A79&gt;LastT,0,E79-F79)</f>
        <v/>
      </c>
      <c r="H79" s="37">
        <f>IF($A79=0,PolicyCount,0)</f>
        <v/>
      </c>
      <c r="I79" s="37">
        <f>IF($A79&gt;LastT,0,IF(AND($C$3="mass",$A79=T0),(G79+H79)*$E$3,0))</f>
        <v/>
      </c>
      <c r="J79" s="37">
        <f>IF($A79&gt;LastT,0,G79+H79-I79)</f>
        <v/>
      </c>
      <c r="K79" s="37">
        <f>IF($A79&gt;LastT,0,J79*Policy_Sched!$C79*Policy_Sched!$D79*C79)</f>
        <v/>
      </c>
      <c r="L79" s="41">
        <f>J79*D79</f>
        <v/>
      </c>
      <c r="M79" s="38">
        <f>IF($A79&gt;LastT,0,(SizeAnnPrem*ExpsMaintAnnPrem+(SumAssured*ExpsMaintSA+ExpsMaintPol)*B79)*(1+IF($B$3="exps",$E$3,0)))</f>
        <v/>
      </c>
      <c r="N79" s="38">
        <f>SizePremium*J79</f>
        <v/>
      </c>
      <c r="O79" s="38">
        <f>SumAssured*K79</f>
        <v/>
      </c>
      <c r="P79" s="38">
        <f>Policy_Sched!$I79*(L79+I79)</f>
        <v/>
      </c>
      <c r="Q79" s="42">
        <f>O79+P79</f>
        <v/>
      </c>
      <c r="R79" s="38">
        <f>IF($A79=0,SizeExpsAcq0*H79,0)</f>
        <v/>
      </c>
      <c r="S79" s="38">
        <f>IF($A79=0,SizeExpsCommInit0*J79,0)</f>
        <v/>
      </c>
      <c r="T79" s="38">
        <f>Policy_Sched!$J79*J79</f>
        <v/>
      </c>
      <c r="U79" s="42">
        <f>M79*J79</f>
        <v/>
      </c>
      <c r="V79" s="42">
        <f>S79+T79+R79+U79</f>
        <v/>
      </c>
      <c r="W79" s="38">
        <f>IF($A79&gt;LastT,0,N79+W80/(1+Policy_Sched!$K79))</f>
        <v/>
      </c>
      <c r="X79" s="38">
        <f>IF($A79&gt;LastT,0,(-Q79+X80)/(1+Policy_Sched!$K79))</f>
        <v/>
      </c>
      <c r="Y79" s="38">
        <f>IF($A79&gt;LastT,0,-V79+Y80/(1+Policy_Sched!$K79))</f>
        <v/>
      </c>
      <c r="Z79" s="42">
        <f>W79+Y79+X79</f>
        <v/>
      </c>
      <c r="AA79" s="38">
        <f>IF($A79&gt;LastT,0,N79-V79-Q79/(1+Policy_Sched!$K79)+Z80/(1+Policy_Sched!$K79))</f>
        <v/>
      </c>
    </row>
    <row r="80">
      <c r="A80" s="30">
        <f>A79+1</f>
        <v/>
      </c>
      <c r="B80" s="31">
        <f>IF($A80&gt;LastT,0,IF($B$3="exps",B79*(1+InflRate+IF($A80&gt;=T0,$G$3,0)),B79/(1+InflRate)))</f>
        <v/>
      </c>
      <c r="C80" s="31">
        <f>IF($A80&gt;LastT,0,IF(AND($D$3&lt;&gt;0,$A80&gt;=T0,Policy_Sched!$B80&lt;LastAge),1+$D$3*$E$3,1))</f>
        <v/>
      </c>
      <c r="D80" s="36">
        <f>IF($A80&gt;LastT,0,IF($C$3="up",MIN(Policy_Sched!$E80*(1+IF($A80&gt;=T0,$E$3,0)),$F$3),IF($C$3="down",MAX(Policy_Sched!$E80*(1-IF($A80&gt;=T0,$E$3,0)),Policy_Sched!$E80-$F$3),Policy_Sched!$E80)))</f>
        <v/>
      </c>
      <c r="E80" s="37">
        <f>IF($A80&gt;LastT,0,J79-K79-L79)</f>
        <v/>
      </c>
      <c r="F80" s="37">
        <f>IF($A80&gt;LastT,0,IF($A80=PolicyTerm,E80,0))</f>
        <v/>
      </c>
      <c r="G80" s="37">
        <f>IF($A80&gt;LastT,0,E80-F80)</f>
        <v/>
      </c>
      <c r="H80" s="37">
        <f>IF($A80=0,PolicyCount,0)</f>
        <v/>
      </c>
      <c r="I80" s="37">
        <f>IF($A80&gt;LastT,0,IF(AND($C$3="mass",$A80=T0),(G80+H80)*$E$3,0))</f>
        <v/>
      </c>
      <c r="J80" s="37">
        <f>IF($A80&gt;LastT,0,G80+H80-I80)</f>
        <v/>
      </c>
      <c r="K80" s="37">
        <f>IF($A80&gt;LastT,0,J80*Policy_Sched!$C80*Policy_Sched!$D80*C80)</f>
        <v/>
      </c>
      <c r="L80" s="41">
        <f>J80*D80</f>
        <v/>
      </c>
      <c r="M80" s="38">
        <f>IF($A80&gt;LastT,0,(SizeAnnPrem*ExpsMaintAnnPrem+(SumAssured*ExpsMaintSA+ExpsMaintPol)*B80)*(1+IF($B$3="exps",$E$3,0)))</f>
        <v/>
      </c>
      <c r="N80" s="38">
        <f>SizePremium*J80</f>
        <v/>
      </c>
      <c r="O80" s="38">
        <f>SumAssured*K80</f>
        <v/>
      </c>
      <c r="P80" s="38">
        <f>Policy_Sched!$I80*(L80+I80)</f>
        <v/>
      </c>
      <c r="Q80" s="42">
        <f>O80+P80</f>
        <v/>
      </c>
      <c r="R80" s="38">
        <f>IF($A80=0,SizeExpsAcq0*H80,0)</f>
        <v/>
      </c>
      <c r="S80" s="38">
        <f>IF($A80=0,SizeExpsCommInit0*J80,0)</f>
        <v/>
      </c>
      <c r="T80" s="38">
        <f>Policy_Sched!$J80*J80</f>
        <v/>
      </c>
      <c r="U80" s="42">
        <f>M80*J80</f>
        <v/>
      </c>
      <c r="V80" s="42">
        <f>S80+T80+R80+U80</f>
        <v/>
      </c>
      <c r="W80" s="38">
        <f>IF($A80&gt;LastT,0,N80+W81/(1+Policy_Sched!$K80))</f>
        <v/>
      </c>
      <c r="X80" s="38">
        <f>IF($A80&gt;LastT,0,(-Q80+X81)/(1+Policy_Sched!$K80))</f>
        <v/>
      </c>
      <c r="Y80" s="38">
        <f>IF($A80&gt;LastT,0,-V80+Y81/(1+Policy_Sched!$K80))</f>
        <v/>
      </c>
      <c r="Z80" s="42">
        <f>W80+Y80+X80</f>
        <v/>
      </c>
      <c r="AA80" s="38">
        <f>IF($A80&gt;LastT,0,N80-V80-Q80/(1+Policy_Sched!$K80)+Z81/(1+Policy_Sched!$K80))</f>
        <v/>
      </c>
    </row>
    <row r="81">
      <c r="A81" s="30">
        <f>A80+1</f>
        <v/>
      </c>
      <c r="B81" s="31">
        <f>IF($A81&gt;LastT,0,IF($B$3="exps",B80*(1+InflRate+IF($A81&gt;=T0,$G$3,0)),B80/(1+InflRate)))</f>
        <v/>
      </c>
      <c r="C81" s="31">
        <f>IF($A81&gt;LastT,0,IF(AND($D$3&lt;&gt;0,$A81&gt;=T0,Policy_Sched!$B81&lt;LastAge),1+$D$3*$E$3,1))</f>
        <v/>
      </c>
      <c r="D81" s="36">
        <f>IF($A81&gt;LastT,0,IF($C$3="up",MIN(Policy_Sched!$E81*(1+IF($A81&gt;=T0,$E$3,0)),$F$3),IF($C$3="down",MAX(Policy_Sched!$E81*(1-IF($A81&gt;=T0,$E$3,0)),Policy_Sched!$E81-$F$3),Policy_Sched!$E81)))</f>
        <v/>
      </c>
      <c r="E81" s="37">
        <f>IF($A81&gt;LastT,0,J80-K80-L80)</f>
        <v/>
      </c>
      <c r="F81" s="37">
        <f>IF($A81&gt;LastT,0,IF($A81=PolicyTerm,E81,0))</f>
        <v/>
      </c>
      <c r="G81" s="37">
        <f>IF($A81&gt;LastT,0,E81-F81)</f>
        <v/>
      </c>
      <c r="H81" s="37">
        <f>IF($A81=0,PolicyCount,0)</f>
        <v/>
      </c>
      <c r="I81" s="37">
        <f>IF($A81&gt;LastT,0,IF(AND($C$3="mass",$A81=T0),(G81+H81)*$E$3,0))</f>
        <v/>
      </c>
      <c r="J81" s="37">
        <f>IF($A81&gt;LastT,0,G81+H81-I81)</f>
        <v/>
      </c>
      <c r="K81" s="37">
        <f>IF($A81&gt;LastT,0,J81*Policy_Sched!$C81*Policy_Sched!$D81*C81)</f>
        <v/>
      </c>
      <c r="L81" s="41">
        <f>J81*D81</f>
        <v/>
      </c>
      <c r="M81" s="38">
        <f>IF($A81&gt;LastT,0,(SizeAnnPrem*ExpsMaintAnnPrem+(SumAssured*ExpsMaintSA+ExpsMaintPol)*B81)*(1+IF($B$3="exps",$E$3,0)))</f>
        <v/>
      </c>
      <c r="N81" s="38">
        <f>SizePremium*J81</f>
        <v/>
      </c>
      <c r="O81" s="38">
        <f>SumAssured*K81</f>
        <v/>
      </c>
      <c r="P81" s="38">
        <f>Policy_Sched!$I81*(L81+I81)</f>
        <v/>
      </c>
      <c r="Q81" s="42">
        <f>O81+P81</f>
        <v/>
      </c>
      <c r="R81" s="38">
        <f>IF($A81=0,SizeExpsAcq0*H81,0)</f>
        <v/>
      </c>
      <c r="S81" s="38">
        <f>IF($A81=0,SizeExpsCommInit0*J81,0)</f>
        <v/>
      </c>
      <c r="T81" s="38">
        <f>Policy_Sched!$J81*J81</f>
        <v/>
      </c>
      <c r="U81" s="42">
        <f>M81*J81</f>
        <v/>
      </c>
      <c r="V81" s="42">
        <f>S81+T81+R81+U81</f>
        <v/>
      </c>
      <c r="W81" s="38">
        <f>IF($A81&gt;LastT,0,N81+W82/(1+Policy_Sched!$K81))</f>
        <v/>
      </c>
      <c r="X81" s="38">
        <f>IF($A81&gt;LastT,0,(-Q81+X82)/(1+Policy_Sched!$K81))</f>
        <v/>
      </c>
      <c r="Y81" s="38">
        <f>IF($A81&gt;LastT,0,-V81+Y82/(1+Policy_Sched!$K81))</f>
        <v/>
      </c>
      <c r="Z81" s="42">
        <f>W81+Y81+X81</f>
        <v/>
      </c>
      <c r="AA81" s="38">
        <f>IF($A81&gt;LastT,0,N81-V81-Q81/(1+Policy_Sched!$K81)+Z82/(1+Policy_Sched!$K81))</f>
        <v/>
      </c>
    </row>
    <row r="82">
      <c r="A82" s="30">
        <f>A81+1</f>
        <v/>
      </c>
      <c r="B82" s="31">
        <f>IF($A82&gt;LastT,0,IF($B$3="exps",B81*(1+InflRate+IF($A82&gt;=T0,$G$3,0)),B81/(1+InflRate)))</f>
        <v/>
      </c>
      <c r="C82" s="31">
        <f>IF($A82&gt;LastT,0,IF(AND($D$3&lt;&gt;0,$A82&gt;=T0,Policy_Sched!$B82&lt;LastAge),1+$D$3*$E$3,1))</f>
        <v/>
      </c>
      <c r="D82" s="36">
        <f>IF($A82&gt;LastT,0,IF($C$3="up",MIN(Policy_Sched!$E82*(1+IF($A82&gt;=T0,$E$3,0)),$F$3),IF($C$3="down",MAX(Policy_Sched!$E82*(1-IF($A82&gt;=T0,$E$3,0)),Policy_Sched!$E82-$F$3),Policy_Sched!$E82)))</f>
        <v/>
      </c>
      <c r="E82" s="37">
        <f>IF($A82&gt;LastT,0,J81-K81-L81)</f>
        <v/>
      </c>
      <c r="F82" s="37">
        <f>IF($A82&gt;LastT,0,IF($A82=PolicyTerm,E82,0))</f>
        <v/>
      </c>
      <c r="G82" s="37">
        <f>IF($A82&gt;LastT,0,E82-F82)</f>
        <v/>
      </c>
      <c r="H82" s="37">
        <f>IF($A82=0,PolicyCount,0)</f>
        <v/>
      </c>
      <c r="I82" s="37">
        <f>IF($A82&gt;LastT,0,IF(AND($C$3="mass",$A82=T0),(G82+H82)*$E$3,0))</f>
        <v/>
      </c>
      <c r="J82" s="37">
        <f>IF($A82&gt;LastT,0,G82+H82-I82)</f>
        <v/>
      </c>
      <c r="K82" s="37">
        <f>IF($A82&gt;LastT,0,J82*Policy_Sched!$C82*Policy_Sched!$D82*C82)</f>
        <v/>
      </c>
      <c r="L82" s="41">
        <f>J82*D82</f>
        <v/>
      </c>
      <c r="M82" s="38">
        <f>IF($A82&gt;LastT,0,(SizeAnnPrem*ExpsMaintAnnPrem+(SumAssured*ExpsMaintSA+ExpsMaintPol)*B82)*(1+IF($B$3="exps",$E$3,0)))</f>
        <v/>
      </c>
      <c r="N82" s="38">
        <f>SizePremium*J82</f>
        <v/>
      </c>
      <c r="O82" s="38">
        <f>SumAssured*K82</f>
        <v/>
      </c>
      <c r="P82" s="38">
        <f>Policy_Sched!$I82*(L82+I82)</f>
        <v/>
      </c>
      <c r="Q82" s="42">
        <f>O82+P82</f>
        <v/>
      </c>
      <c r="R82" s="38">
        <f>IF($A82=0,SizeExpsAcq0*H82,0)</f>
        <v/>
      </c>
      <c r="S82" s="38">
        <f>IF($A82=0,SizeExpsCommInit0*J82,0)</f>
        <v/>
      </c>
      <c r="T82" s="38">
        <f>Policy_Sched!$J82*J82</f>
        <v/>
      </c>
      <c r="U82" s="42">
        <f>M82*J82</f>
        <v/>
      </c>
      <c r="V82" s="42">
        <f>S82+T82+R82+U82</f>
        <v/>
      </c>
      <c r="W82" s="38">
        <f>IF($A82&gt;LastT,0,N82+W83/(1+Policy_Sched!$K82))</f>
        <v/>
      </c>
      <c r="X82" s="38">
        <f>IF($A82&gt;LastT,0,(-Q82+X83)/(1+Policy_Sched!$K82))</f>
        <v/>
      </c>
      <c r="Y82" s="38">
        <f>IF($A82&gt;LastT,0,-V82+Y83/(1+Policy_Sched!$K82))</f>
        <v/>
      </c>
      <c r="Z82" s="42">
        <f>W82+Y82+X82</f>
        <v/>
      </c>
      <c r="AA82" s="38">
        <f>IF($A82&gt;LastT,0,N82-V82-Q82/(1+Policy_Sched!$K82)+Z83/(1+Policy_Sched!$K82))</f>
        <v/>
      </c>
    </row>
    <row r="83">
      <c r="A83" s="30">
        <f>A82+1</f>
        <v/>
      </c>
      <c r="B83" s="31">
        <f>IF($A83&gt;LastT,0,IF($B$3="exps",B82*(1+InflRate+IF($A83&gt;=T0,$G$3,0)),B82/(1+InflRate)))</f>
        <v/>
      </c>
      <c r="C83" s="31">
        <f>IF($A83&gt;LastT,0,IF(AND($D$3&lt;&gt;0,$A83&gt;=T0,Policy_Sched!$B83&lt;LastAge),1+$D$3*$E$3,1))</f>
        <v/>
      </c>
      <c r="D83" s="36">
        <f>IF($A83&gt;LastT,0,IF($C$3="up",MIN(Policy_Sched!$E83*(1+IF($A83&gt;=T0,$E$3,0)),$F$3),IF($C$3="down",MAX(Policy_Sched!$E83*(1-IF($A83&gt;=T0,$E$3,0)),Policy_Sched!$E83-$F$3),Policy_Sched!$E83)))</f>
        <v/>
      </c>
      <c r="E83" s="37">
        <f>IF($A83&gt;LastT,0,J82-K82-L82)</f>
        <v/>
      </c>
      <c r="F83" s="37">
        <f>IF($A83&gt;LastT,0,IF($A83=PolicyTerm,E83,0))</f>
        <v/>
      </c>
      <c r="G83" s="37">
        <f>IF($A83&gt;LastT,0,E83-F83)</f>
        <v/>
      </c>
      <c r="H83" s="37">
        <f>IF($A83=0,PolicyCount,0)</f>
        <v/>
      </c>
      <c r="I83" s="37">
        <f>IF($A83&gt;LastT,0,IF(AND($C$3="mass",$A83=T0),(G83+H83)*$E$3,0))</f>
        <v/>
      </c>
      <c r="J83" s="37">
        <f>IF($A83&gt;LastT,0,G83+H83-I83)</f>
        <v/>
      </c>
      <c r="K83" s="37">
        <f>IF($A83&gt;LastT,0,J83*Policy_Sched!$C83*Policy_Sched!$D83*C83)</f>
        <v/>
      </c>
      <c r="L83" s="41">
        <f>J83*D83</f>
        <v/>
      </c>
      <c r="M83" s="38">
        <f>IF($A83&gt;LastT,0,(SizeAnnPrem*ExpsMaintAnnPrem+(SumAssured*ExpsMaintSA+ExpsMaintPol)*B83)*(1+IF($B$3="exps",$E$3,0)))</f>
        <v/>
      </c>
      <c r="N83" s="38">
        <f>SizePremium*J83</f>
        <v/>
      </c>
      <c r="O83" s="38">
        <f>SumAssured*K83</f>
        <v/>
      </c>
      <c r="P83" s="38">
        <f>Policy_Sched!$I83*(L83+I83)</f>
        <v/>
      </c>
      <c r="Q83" s="42">
        <f>O83+P83</f>
        <v/>
      </c>
      <c r="R83" s="38">
        <f>IF($A83=0,SizeExpsAcq0*H83,0)</f>
        <v/>
      </c>
      <c r="S83" s="38">
        <f>IF($A83=0,SizeExpsCommInit0*J83,0)</f>
        <v/>
      </c>
      <c r="T83" s="38">
        <f>Policy_Sched!$J83*J83</f>
        <v/>
      </c>
      <c r="U83" s="42">
        <f>M83*J83</f>
        <v/>
      </c>
      <c r="V83" s="42">
        <f>S83+T83+R83+U83</f>
        <v/>
      </c>
      <c r="W83" s="38">
        <f>IF($A83&gt;LastT,0,N83+W84/(1+Policy_Sched!$K83))</f>
        <v/>
      </c>
      <c r="X83" s="38">
        <f>IF($A83&gt;LastT,0,(-Q83+X84)/(1+Policy_Sched!$K83))</f>
        <v/>
      </c>
      <c r="Y83" s="38">
        <f>IF($A83&gt;LastT,0,-V83+Y84/(1+Policy_Sched!$K83))</f>
        <v/>
      </c>
      <c r="Z83" s="42">
        <f>W83+Y83+X83</f>
        <v/>
      </c>
      <c r="AA83" s="38">
        <f>IF($A83&gt;LastT,0,N83-V83-Q83/(1+Policy_Sched!$K83)+Z84/(1+Policy_Sched!$K83))</f>
        <v/>
      </c>
    </row>
    <row r="84">
      <c r="A84" s="30">
        <f>A83+1</f>
        <v/>
      </c>
      <c r="B84" s="31">
        <f>IF($A84&gt;LastT,0,IF($B$3="exps",B83*(1+InflRate+IF($A84&gt;=T0,$G$3,0)),B83/(1+InflRate)))</f>
        <v/>
      </c>
      <c r="C84" s="31">
        <f>IF($A84&gt;LastT,0,IF(AND($D$3&lt;&gt;0,$A84&gt;=T0,Policy_Sched!$B84&lt;LastAge),1+$D$3*$E$3,1))</f>
        <v/>
      </c>
      <c r="D84" s="36">
        <f>IF($A84&gt;LastT,0,IF($C$3="up",MIN(Policy_Sched!$E84*(1+IF($A84&gt;=T0,$E$3,0)),$F$3),IF($C$3="down",MAX(Policy_Sched!$E84*(1-IF($A84&gt;=T0,$E$3,0)),Policy_Sched!$E84-$F$3),Policy_Sched!$E84)))</f>
        <v/>
      </c>
      <c r="E84" s="37">
        <f>IF($A84&gt;LastT,0,J83-K83-L83)</f>
        <v/>
      </c>
      <c r="F84" s="37">
        <f>IF($A84&gt;LastT,0,IF($A84=PolicyTerm,E84,0))</f>
        <v/>
      </c>
      <c r="G84" s="37">
        <f>IF($A84&gt;LastT,0,E84-F84)</f>
        <v/>
      </c>
      <c r="H84" s="37">
        <f>IF($A84=0,PolicyCount,0)</f>
        <v/>
      </c>
      <c r="I84" s="37">
        <f>IF($A84&gt;LastT,0,IF(AND($C$3="mass",$A84=T0),(G84+H84)*$E$3,0))</f>
        <v/>
      </c>
      <c r="J84" s="37">
        <f>IF($A84&gt;LastT,0,G84+H84-I84)</f>
        <v/>
      </c>
      <c r="K84" s="37">
        <f>IF($A84&gt;LastT,0,J84*Policy_Sched!$C84*Policy_Sched!$D84*C84)</f>
        <v/>
      </c>
      <c r="L84" s="41">
        <f>J84*D84</f>
        <v/>
      </c>
      <c r="M84" s="38">
        <f>IF($A84&gt;LastT,0,(SizeAnnPrem*ExpsMaintAnnPrem+(SumAssured*ExpsMaintSA+ExpsMaintPol)*B84)*(1+IF($B$3="exps",$E$3,0)))</f>
        <v/>
      </c>
      <c r="N84" s="38">
        <f>SizePremium*J84</f>
        <v/>
      </c>
      <c r="O84" s="38">
        <f>SumAssured*K84</f>
        <v/>
      </c>
      <c r="P84" s="38">
        <f>Policy_Sched!$I84*(L84+I84)</f>
        <v/>
      </c>
      <c r="Q84" s="42">
        <f>O84+P84</f>
        <v/>
      </c>
      <c r="R84" s="38">
        <f>IF($A84=0,SizeExpsAcq0*H84,0)</f>
        <v/>
      </c>
      <c r="S84" s="38">
        <f>IF($A84=0,SizeExpsCommInit0*J84,0)</f>
        <v/>
      </c>
      <c r="T84" s="38">
        <f>Policy_Sched!$J84*J84</f>
        <v/>
      </c>
      <c r="U84" s="42">
        <f>M84*J84</f>
        <v/>
      </c>
      <c r="V84" s="42">
        <f>S84+T84+R84+U84</f>
        <v/>
      </c>
      <c r="W84" s="38">
        <f>IF($A84&gt;LastT,0,N84+W85/(1+Policy_Sched!$K84))</f>
        <v/>
      </c>
      <c r="X84" s="38">
        <f>IF($A84&gt;LastT,0,(-Q84+X85)/(1+Policy_Sched!$K84))</f>
        <v/>
      </c>
      <c r="Y84" s="38">
        <f>IF($A84&gt;LastT,0,-V84+Y85/(1+Policy_Sched!$K84))</f>
        <v/>
      </c>
      <c r="Z84" s="42">
        <f>W84+Y84+X84</f>
        <v/>
      </c>
      <c r="AA84" s="38">
        <f>IF($A84&gt;LastT,0,N84-V84-Q84/(1+Policy_Sched!$K84)+Z85/(1+Policy_Sched!$K84))</f>
        <v/>
      </c>
    </row>
    <row r="85">
      <c r="A85" s="30">
        <f>A84+1</f>
        <v/>
      </c>
      <c r="B85" s="31">
        <f>IF($A85&gt;LastT,0,IF($B$3="exps",B84*(1+InflRate+IF($A85&gt;=T0,$G$3,0)),B84/(1+InflRate)))</f>
        <v/>
      </c>
      <c r="C85" s="31">
        <f>IF($A85&gt;LastT,0,IF(AND($D$3&lt;&gt;0,$A85&gt;=T0,Policy_Sched!$B85&lt;LastAge),1+$D$3*$E$3,1))</f>
        <v/>
      </c>
      <c r="D85" s="36">
        <f>IF($A85&gt;LastT,0,IF($C$3="up",MIN(Policy_Sched!$E85*(1+IF($A85&gt;=T0,$E$3,0)),$F$3),IF($C$3="down",MAX(Policy_Sched!$E85*(1-IF($A85&gt;=T0,$E$3,0)),Policy_Sched!$E85-$F$3),Policy_Sched!$E85)))</f>
        <v/>
      </c>
      <c r="E85" s="37">
        <f>IF($A85&gt;LastT,0,J84-K84-L84)</f>
        <v/>
      </c>
      <c r="F85" s="37">
        <f>IF($A85&gt;LastT,0,IF($A85=PolicyTerm,E85,0))</f>
        <v/>
      </c>
      <c r="G85" s="37">
        <f>IF($A85&gt;LastT,0,E85-F85)</f>
        <v/>
      </c>
      <c r="H85" s="37">
        <f>IF($A85=0,PolicyCount,0)</f>
        <v/>
      </c>
      <c r="I85" s="37">
        <f>IF($A85&gt;LastT,0,IF(AND($C$3="mass",$A85=T0),(G85+H85)*$E$3,0))</f>
        <v/>
      </c>
      <c r="J85" s="37">
        <f>IF($A85&gt;LastT,0,G85+H85-I85)</f>
        <v/>
      </c>
      <c r="K85" s="37">
        <f>IF($A85&gt;LastT,0,J85*Policy_Sched!$C85*Policy_Sched!$D85*C85)</f>
        <v/>
      </c>
      <c r="L85" s="41">
        <f>J85*D85</f>
        <v/>
      </c>
      <c r="M85" s="38">
        <f>IF($A85&gt;LastT,0,(SizeAnnPrem*ExpsMaintAnnPrem+(SumAssured*ExpsMaintSA+ExpsMaintPol)*B85)*(1+IF($B$3="exps",$E$3,0)))</f>
        <v/>
      </c>
      <c r="N85" s="38">
        <f>SizePremium*J85</f>
        <v/>
      </c>
      <c r="O85" s="38">
        <f>SumAssured*K85</f>
        <v/>
      </c>
      <c r="P85" s="38">
        <f>Policy_Sched!$I85*(L85+I85)</f>
        <v/>
      </c>
      <c r="Q85" s="42">
        <f>O85+P85</f>
        <v/>
      </c>
      <c r="R85" s="38">
        <f>IF($A85=0,SizeExpsAcq0*H85,0)</f>
        <v/>
      </c>
      <c r="S85" s="38">
        <f>IF($A85=0,SizeExpsCommInit0*J85,0)</f>
        <v/>
      </c>
      <c r="T85" s="38">
        <f>Policy_Sched!$J85*J85</f>
        <v/>
      </c>
      <c r="U85" s="42">
        <f>M85*J85</f>
        <v/>
      </c>
      <c r="V85" s="42">
        <f>S85+T85+R85+U85</f>
        <v/>
      </c>
      <c r="W85" s="38">
        <f>IF($A85&gt;LastT,0,N85+W86/(1+Policy_Sched!$K85))</f>
        <v/>
      </c>
      <c r="X85" s="38">
        <f>IF($A85&gt;LastT,0,(-Q85+X86)/(1+Policy_Sched!$K85))</f>
        <v/>
      </c>
      <c r="Y85" s="38">
        <f>IF($A85&gt;LastT,0,-V85+Y86/(1+Policy_Sched!$K85))</f>
        <v/>
      </c>
      <c r="Z85" s="42">
        <f>W85+Y85+X85</f>
        <v/>
      </c>
      <c r="AA85" s="38">
        <f>IF($A85&gt;LastT,0,N85-V85-Q85/(1+Policy_Sched!$K85)+Z86/(1+Policy_Sched!$K85))</f>
        <v/>
      </c>
    </row>
    <row r="86">
      <c r="A86" s="30">
        <f>A85+1</f>
        <v/>
      </c>
      <c r="B86" s="31">
        <f>IF($A86&gt;LastT,0,IF($B$3="exps",B85*(1+InflRate+IF($A86&gt;=T0,$G$3,0)),B85/(1+InflRate)))</f>
        <v/>
      </c>
      <c r="C86" s="31">
        <f>IF($A86&gt;LastT,0,IF(AND($D$3&lt;&gt;0,$A86&gt;=T0,Policy_Sched!$B86&lt;LastAge),1+$D$3*$E$3,1))</f>
        <v/>
      </c>
      <c r="D86" s="36">
        <f>IF($A86&gt;LastT,0,IF($C$3="up",MIN(Policy_Sched!$E86*(1+IF($A86&gt;=T0,$E$3,0)),$F$3),IF($C$3="down",MAX(Policy_Sched!$E86*(1-IF($A86&gt;=T0,$E$3,0)),Policy_Sched!$E86-$F$3),Policy_Sched!$E86)))</f>
        <v/>
      </c>
      <c r="E86" s="37">
        <f>IF($A86&gt;LastT,0,J85-K85-L85)</f>
        <v/>
      </c>
      <c r="F86" s="37">
        <f>IF($A86&gt;LastT,0,IF($A86=PolicyTerm,E86,0))</f>
        <v/>
      </c>
      <c r="G86" s="37">
        <f>IF($A86&gt;LastT,0,E86-F86)</f>
        <v/>
      </c>
      <c r="H86" s="37">
        <f>IF($A86=0,PolicyCount,0)</f>
        <v/>
      </c>
      <c r="I86" s="37">
        <f>IF($A86&gt;LastT,0,IF(AND($C$3="mass",$A86=T0),(G86+H86)*$E$3,0))</f>
        <v/>
      </c>
      <c r="J86" s="37">
        <f>IF($A86&gt;LastT,0,G86+H86-I86)</f>
        <v/>
      </c>
      <c r="K86" s="37">
        <f>IF($A86&gt;LastT,0,J86*Policy_Sched!$C86*Policy_Sched!$D86*C86)</f>
        <v/>
      </c>
      <c r="L86" s="41">
        <f>J86*D86</f>
        <v/>
      </c>
      <c r="M86" s="38">
        <f>IF($A86&gt;LastT,0,(SizeAnnPrem*ExpsMaintAnnPrem+(SumAssured*ExpsMaintSA+ExpsMaintPol)*B86)*(1+IF($B$3="exps",$E$3,0)))</f>
        <v/>
      </c>
      <c r="N86" s="38">
        <f>SizePremium*J86</f>
        <v/>
      </c>
      <c r="O86" s="38">
        <f>SumAssured*K86</f>
        <v/>
      </c>
      <c r="P86" s="38">
        <f>Policy_Sched!$I86*(L86+I86)</f>
        <v/>
      </c>
      <c r="Q86" s="42">
        <f>O86+P86</f>
        <v/>
      </c>
      <c r="R86" s="38">
        <f>IF($A86=0,SizeExpsAcq0*H86,0)</f>
        <v/>
      </c>
      <c r="S86" s="38">
        <f>IF($A86=0,SizeExpsCommInit0*J86,0)</f>
        <v/>
      </c>
      <c r="T86" s="38">
        <f>Policy_Sched!$J86*J86</f>
        <v/>
      </c>
      <c r="U86" s="42">
        <f>M86*J86</f>
        <v/>
      </c>
      <c r="V86" s="42">
        <f>S86+T86+R86+U86</f>
        <v/>
      </c>
      <c r="W86" s="38">
        <f>IF($A86&gt;LastT,0,N86+W87/(1+Policy_Sched!$K86))</f>
        <v/>
      </c>
      <c r="X86" s="38">
        <f>IF($A86&gt;LastT,0,(-Q86+X87)/(1+Policy_Sched!$K86))</f>
        <v/>
      </c>
      <c r="Y86" s="38">
        <f>IF($A86&gt;LastT,0,-V86+Y87/(1+Policy_Sched!$K86))</f>
        <v/>
      </c>
      <c r="Z86" s="42">
        <f>W86+Y86+X86</f>
        <v/>
      </c>
      <c r="AA86" s="38">
        <f>IF($A86&gt;LastT,0,N86-V86-Q86/(1+Policy_Sched!$K86)+Z87/(1+Policy_Sched!$K86))</f>
        <v/>
      </c>
    </row>
    <row r="87">
      <c r="A87" s="30">
        <f>A86+1</f>
        <v/>
      </c>
      <c r="B87" s="31">
        <f>IF($A87&gt;LastT,0,IF($B$3="exps",B86*(1+InflRate+IF($A87&gt;=T0,$G$3,0)),B86/(1+InflRate)))</f>
        <v/>
      </c>
      <c r="C87" s="31">
        <f>IF($A87&gt;LastT,0,IF(AND($D$3&lt;&gt;0,$A87&gt;=T0,Policy_Sched!$B87&lt;LastAge),1+$D$3*$E$3,1))</f>
        <v/>
      </c>
      <c r="D87" s="36">
        <f>IF($A87&gt;LastT,0,IF($C$3="up",MIN(Policy_Sched!$E87*(1+IF($A87&gt;=T0,$E$3,0)),$F$3),IF($C$3="down",MAX(Policy_Sched!$E87*(1-IF($A87&gt;=T0,$E$3,0)),Policy_Sched!$E87-$F$3),Policy_Sched!$E87)))</f>
        <v/>
      </c>
      <c r="E87" s="37">
        <f>IF($A87&gt;LastT,0,J86-K86-L86)</f>
        <v/>
      </c>
      <c r="F87" s="37">
        <f>IF($A87&gt;LastT,0,IF($A87=PolicyTerm,E87,0))</f>
        <v/>
      </c>
      <c r="G87" s="37">
        <f>IF($A87&gt;LastT,0,E87-F87)</f>
        <v/>
      </c>
      <c r="H87" s="37">
        <f>IF($A87=0,PolicyCount,0)</f>
        <v/>
      </c>
      <c r="I87" s="37">
        <f>IF($A87&gt;LastT,0,IF(AND($C$3="mass",$A87=T0),(G87+H87)*$E$3,0))</f>
        <v/>
      </c>
      <c r="J87" s="37">
        <f>IF($A87&gt;LastT,0,G87+H87-I87)</f>
        <v/>
      </c>
      <c r="K87" s="37">
        <f>IF($A87&gt;LastT,0,J87*Policy_Sched!$C87*Policy_Sched!$D87*C87)</f>
        <v/>
      </c>
      <c r="L87" s="41">
        <f>J87*D87</f>
        <v/>
      </c>
      <c r="M87" s="38">
        <f>IF($A87&gt;LastT,0,(SizeAnnPrem*ExpsMaintAnnPrem+(SumAssured*ExpsMaintSA+ExpsMaintPol)*B87)*(1+IF($B$3="exps",$E$3,0)))</f>
        <v/>
      </c>
      <c r="N87" s="38">
        <f>SizePremium*J87</f>
        <v/>
      </c>
      <c r="O87" s="38">
        <f>SumAssured*K87</f>
        <v/>
      </c>
      <c r="P87" s="38">
        <f>Policy_Sched!$I87*(L87+I87)</f>
        <v/>
      </c>
      <c r="Q87" s="42">
        <f>O87+P87</f>
        <v/>
      </c>
      <c r="R87" s="38">
        <f>IF($A87=0,SizeExpsAcq0*H87,0)</f>
        <v/>
      </c>
      <c r="S87" s="38">
        <f>IF($A87=0,SizeExpsCommInit0*J87,0)</f>
        <v/>
      </c>
      <c r="T87" s="38">
        <f>Policy_Sched!$J87*J87</f>
        <v/>
      </c>
      <c r="U87" s="42">
        <f>M87*J87</f>
        <v/>
      </c>
      <c r="V87" s="42">
        <f>S87+T87+R87+U87</f>
        <v/>
      </c>
      <c r="W87" s="38">
        <f>IF($A87&gt;LastT,0,N87+W88/(1+Policy_Sched!$K87))</f>
        <v/>
      </c>
      <c r="X87" s="38">
        <f>IF($A87&gt;LastT,0,(-Q87+X88)/(1+Policy_Sched!$K87))</f>
        <v/>
      </c>
      <c r="Y87" s="38">
        <f>IF($A87&gt;LastT,0,-V87+Y88/(1+Policy_Sched!$K87))</f>
        <v/>
      </c>
      <c r="Z87" s="42">
        <f>W87+Y87+X87</f>
        <v/>
      </c>
      <c r="AA87" s="38">
        <f>IF($A87&gt;LastT,0,N87-V87-Q87/(1+Policy_Sched!$K87)+Z88/(1+Policy_Sched!$K87))</f>
        <v/>
      </c>
    </row>
    <row r="88">
      <c r="A88" s="30">
        <f>A87+1</f>
        <v/>
      </c>
      <c r="B88" s="31">
        <f>IF($A88&gt;LastT,0,IF($B$3="exps",B87*(1+InflRate+IF($A88&gt;=T0,$G$3,0)),B87/(1+InflRate)))</f>
        <v/>
      </c>
      <c r="C88" s="31">
        <f>IF($A88&gt;LastT,0,IF(AND($D$3&lt;&gt;0,$A88&gt;=T0,Policy_Sched!$B88&lt;LastAge),1+$D$3*$E$3,1))</f>
        <v/>
      </c>
      <c r="D88" s="36">
        <f>IF($A88&gt;LastT,0,IF($C$3="up",MIN(Policy_Sched!$E88*(1+IF($A88&gt;=T0,$E$3,0)),$F$3),IF($C$3="down",MAX(Policy_Sched!$E88*(1-IF($A88&gt;=T0,$E$3,0)),Policy_Sched!$E88-$F$3),Policy_Sched!$E88)))</f>
        <v/>
      </c>
      <c r="E88" s="37">
        <f>IF($A88&gt;LastT,0,J87-K87-L87)</f>
        <v/>
      </c>
      <c r="F88" s="37">
        <f>IF($A88&gt;LastT,0,IF($A88=PolicyTerm,E88,0))</f>
        <v/>
      </c>
      <c r="G88" s="37">
        <f>IF($A88&gt;LastT,0,E88-F88)</f>
        <v/>
      </c>
      <c r="H88" s="37">
        <f>IF($A88=0,PolicyCount,0)</f>
        <v/>
      </c>
      <c r="I88" s="37">
        <f>IF($A88&gt;LastT,0,IF(AND($C$3="mass",$A88=T0),(G88+H88)*$E$3,0))</f>
        <v/>
      </c>
      <c r="J88" s="37">
        <f>IF($A88&gt;LastT,0,G88+H88-I88)</f>
        <v/>
      </c>
      <c r="K88" s="37">
        <f>IF($A88&gt;LastT,0,J88*Policy_Sched!$C88*Policy_Sched!$D88*C88)</f>
        <v/>
      </c>
      <c r="L88" s="41">
        <f>J88*D88</f>
        <v/>
      </c>
      <c r="M88" s="38">
        <f>IF($A88&gt;LastT,0,(SizeAnnPrem*ExpsMaintAnnPrem+(SumAssured*ExpsMaintSA+ExpsMaintPol)*B88)*(1+IF($B$3="exps",$E$3,0)))</f>
        <v/>
      </c>
      <c r="N88" s="38">
        <f>SizePremium*J88</f>
        <v/>
      </c>
      <c r="O88" s="38">
        <f>SumAssured*K88</f>
        <v/>
      </c>
      <c r="P88" s="38">
        <f>Policy_Sched!$I88*(L88+I88)</f>
        <v/>
      </c>
      <c r="Q88" s="42">
        <f>O88+P88</f>
        <v/>
      </c>
      <c r="R88" s="38">
        <f>IF($A88=0,SizeExpsAcq0*H88,0)</f>
        <v/>
      </c>
      <c r="S88" s="38">
        <f>IF($A88=0,SizeExpsCommInit0*J88,0)</f>
        <v/>
      </c>
      <c r="T88" s="38">
        <f>Policy_Sched!$J88*J88</f>
        <v/>
      </c>
      <c r="U88" s="42">
        <f>M88*J88</f>
        <v/>
      </c>
      <c r="V88" s="42">
        <f>S88+T88+R88+U88</f>
        <v/>
      </c>
      <c r="W88" s="38">
        <f>IF($A88&gt;LastT,0,N88+W89/(1+Policy_Sched!$K88))</f>
        <v/>
      </c>
      <c r="X88" s="38">
        <f>IF($A88&gt;LastT,0,(-Q88+X89)/(1+Policy_Sched!$K88))</f>
        <v/>
      </c>
      <c r="Y88" s="38">
        <f>IF($A88&gt;LastT,0,-V88+Y89/(1+Policy_Sched!$K88))</f>
        <v/>
      </c>
      <c r="Z88" s="42">
        <f>W88+Y88+X88</f>
        <v/>
      </c>
      <c r="AA88" s="38">
        <f>IF($A88&gt;LastT,0,N88-V88-Q88/(1+Policy_Sched!$K88)+Z89/(1+Policy_Sched!$K88))</f>
        <v/>
      </c>
    </row>
    <row r="89">
      <c r="A89" s="30">
        <f>A88+1</f>
        <v/>
      </c>
      <c r="B89" s="31">
        <f>IF($A89&gt;LastT,0,IF($B$3="exps",B88*(1+InflRate+IF($A89&gt;=T0,$G$3,0)),B88/(1+InflRate)))</f>
        <v/>
      </c>
      <c r="C89" s="31">
        <f>IF($A89&gt;LastT,0,IF(AND($D$3&lt;&gt;0,$A89&gt;=T0,Policy_Sched!$B89&lt;LastAge),1+$D$3*$E$3,1))</f>
        <v/>
      </c>
      <c r="D89" s="36">
        <f>IF($A89&gt;LastT,0,IF($C$3="up",MIN(Policy_Sched!$E89*(1+IF($A89&gt;=T0,$E$3,0)),$F$3),IF($C$3="down",MAX(Policy_Sched!$E89*(1-IF($A89&gt;=T0,$E$3,0)),Policy_Sched!$E89-$F$3),Policy_Sched!$E89)))</f>
        <v/>
      </c>
      <c r="E89" s="37">
        <f>IF($A89&gt;LastT,0,J88-K88-L88)</f>
        <v/>
      </c>
      <c r="F89" s="37">
        <f>IF($A89&gt;LastT,0,IF($A89=PolicyTerm,E89,0))</f>
        <v/>
      </c>
      <c r="G89" s="37">
        <f>IF($A89&gt;LastT,0,E89-F89)</f>
        <v/>
      </c>
      <c r="H89" s="37">
        <f>IF($A89=0,PolicyCount,0)</f>
        <v/>
      </c>
      <c r="I89" s="37">
        <f>IF($A89&gt;LastT,0,IF(AND($C$3="mass",$A89=T0),(G89+H89)*$E$3,0))</f>
        <v/>
      </c>
      <c r="J89" s="37">
        <f>IF($A89&gt;LastT,0,G89+H89-I89)</f>
        <v/>
      </c>
      <c r="K89" s="37">
        <f>IF($A89&gt;LastT,0,J89*Policy_Sched!$C89*Policy_Sched!$D89*C89)</f>
        <v/>
      </c>
      <c r="L89" s="41">
        <f>J89*D89</f>
        <v/>
      </c>
      <c r="M89" s="38">
        <f>IF($A89&gt;LastT,0,(SizeAnnPrem*ExpsMaintAnnPrem+(SumAssured*ExpsMaintSA+ExpsMaintPol)*B89)*(1+IF($B$3="exps",$E$3,0)))</f>
        <v/>
      </c>
      <c r="N89" s="38">
        <f>SizePremium*J89</f>
        <v/>
      </c>
      <c r="O89" s="38">
        <f>SumAssured*K89</f>
        <v/>
      </c>
      <c r="P89" s="38">
        <f>Policy_Sched!$I89*(L89+I89)</f>
        <v/>
      </c>
      <c r="Q89" s="42">
        <f>O89+P89</f>
        <v/>
      </c>
      <c r="R89" s="38">
        <f>IF($A89=0,SizeExpsAcq0*H89,0)</f>
        <v/>
      </c>
      <c r="S89" s="38">
        <f>IF($A89=0,SizeExpsCommInit0*J89,0)</f>
        <v/>
      </c>
      <c r="T89" s="38">
        <f>Policy_Sched!$J89*J89</f>
        <v/>
      </c>
      <c r="U89" s="42">
        <f>M89*J89</f>
        <v/>
      </c>
      <c r="V89" s="42">
        <f>S89+T89+R89+U89</f>
        <v/>
      </c>
      <c r="W89" s="38">
        <f>IF($A89&gt;LastT,0,N89+W90/(1+Policy_Sched!$K89))</f>
        <v/>
      </c>
      <c r="X89" s="38">
        <f>IF($A89&gt;LastT,0,(-Q89+X90)/(1+Policy_Sched!$K89))</f>
        <v/>
      </c>
      <c r="Y89" s="38">
        <f>IF($A89&gt;LastT,0,-V89+Y90/(1+Policy_Sched!$K89))</f>
        <v/>
      </c>
      <c r="Z89" s="42">
        <f>W89+Y89+X89</f>
        <v/>
      </c>
      <c r="AA89" s="38">
        <f>IF($A89&gt;LastT,0,N89-V89-Q89/(1+Policy_Sched!$K89)+Z90/(1+Policy_Sched!$K89))</f>
        <v/>
      </c>
    </row>
    <row r="90">
      <c r="A90" s="30">
        <f>A89+1</f>
        <v/>
      </c>
      <c r="B90" s="31">
        <f>IF($A90&gt;LastT,0,IF($B$3="exps",B89*(1+InflRate+IF($A90&gt;=T0,$G$3,0)),B89/(1+InflRate)))</f>
        <v/>
      </c>
      <c r="C90" s="31">
        <f>IF($A90&gt;LastT,0,IF(AND($D$3&lt;&gt;0,$A90&gt;=T0,Policy_Sched!$B90&lt;LastAge),1+$D$3*$E$3,1))</f>
        <v/>
      </c>
      <c r="D90" s="36">
        <f>IF($A90&gt;LastT,0,IF($C$3="up",MIN(Policy_Sched!$E90*(1+IF($A90&gt;=T0,$E$3,0)),$F$3),IF($C$3="down",MAX(Policy_Sched!$E90*(1-IF($A90&gt;=T0,$E$3,0)),Policy_Sched!$E90-$F$3),Policy_Sched!$E90)))</f>
        <v/>
      </c>
      <c r="E90" s="37">
        <f>IF($A90&gt;LastT,0,J89-K89-L89)</f>
        <v/>
      </c>
      <c r="F90" s="37">
        <f>IF($A90&gt;LastT,0,IF($A90=PolicyTerm,E90,0))</f>
        <v/>
      </c>
      <c r="G90" s="37">
        <f>IF($A90&gt;LastT,0,E90-F90)</f>
        <v/>
      </c>
      <c r="H90" s="37">
        <f>IF($A90=0,PolicyCount,0)</f>
        <v/>
      </c>
      <c r="I90" s="37">
        <f>IF($A90&gt;LastT,0,IF(AND($C$3="mass",$A90=T0),(G90+H90)*$E$3,0))</f>
        <v/>
      </c>
      <c r="J90" s="37">
        <f>IF($A90&gt;LastT,0,G90+H90-I90)</f>
        <v/>
      </c>
      <c r="K90" s="37">
        <f>IF($A90&gt;LastT,0,J90*Policy_Sched!$C90*Policy_Sched!$D90*C90)</f>
        <v/>
      </c>
      <c r="L90" s="41">
        <f>J90*D90</f>
        <v/>
      </c>
      <c r="M90" s="38">
        <f>IF($A90&gt;LastT,0,(SizeAnnPrem*ExpsMaintAnnPrem+(SumAssured*ExpsMaintSA+ExpsMaintPol)*B90)*(1+IF($B$3="exps",$E$3,0)))</f>
        <v/>
      </c>
      <c r="N90" s="38">
        <f>SizePremium*J90</f>
        <v/>
      </c>
      <c r="O90" s="38">
        <f>SumAssured*K90</f>
        <v/>
      </c>
      <c r="P90" s="38">
        <f>Policy_Sched!$I90*(L90+I90)</f>
        <v/>
      </c>
      <c r="Q90" s="42">
        <f>O90+P90</f>
        <v/>
      </c>
      <c r="R90" s="38">
        <f>IF($A90=0,SizeExpsAcq0*H90,0)</f>
        <v/>
      </c>
      <c r="S90" s="38">
        <f>IF($A90=0,SizeExpsCommInit0*J90,0)</f>
        <v/>
      </c>
      <c r="T90" s="38">
        <f>Policy_Sched!$J90*J90</f>
        <v/>
      </c>
      <c r="U90" s="42">
        <f>M90*J90</f>
        <v/>
      </c>
      <c r="V90" s="42">
        <f>S90+T90+R90+U90</f>
        <v/>
      </c>
      <c r="W90" s="38">
        <f>IF($A90&gt;LastT,0,N90+W91/(1+Policy_Sched!$K90))</f>
        <v/>
      </c>
      <c r="X90" s="38">
        <f>IF($A90&gt;LastT,0,(-Q90+X91)/(1+Policy_Sched!$K90))</f>
        <v/>
      </c>
      <c r="Y90" s="38">
        <f>IF($A90&gt;LastT,0,-V90+Y91/(1+Policy_Sched!$K90))</f>
        <v/>
      </c>
      <c r="Z90" s="42">
        <f>W90+Y90+X90</f>
        <v/>
      </c>
      <c r="AA90" s="38">
        <f>IF($A90&gt;LastT,0,N90-V90-Q90/(1+Policy_Sched!$K90)+Z91/(1+Policy_Sched!$K90))</f>
        <v/>
      </c>
    </row>
    <row r="91">
      <c r="A91" s="30">
        <f>A90+1</f>
        <v/>
      </c>
      <c r="B91" s="31">
        <f>IF($A91&gt;LastT,0,IF($B$3="exps",B90*(1+InflRate+IF($A91&gt;=T0,$G$3,0)),B90/(1+InflRate)))</f>
        <v/>
      </c>
      <c r="C91" s="31">
        <f>IF($A91&gt;LastT,0,IF(AND($D$3&lt;&gt;0,$A91&gt;=T0,Policy_Sched!$B91&lt;LastAge),1+$D$3*$E$3,1))</f>
        <v/>
      </c>
      <c r="D91" s="36">
        <f>IF($A91&gt;LastT,0,IF($C$3="up",MIN(Policy_Sched!$E91*(1+IF($A91&gt;=T0,$E$3,0)),$F$3),IF($C$3="down",MAX(Policy_Sched!$E91*(1-IF($A91&gt;=T0,$E$3,0)),Policy_Sched!$E91-$F$3),Policy_Sched!$E91)))</f>
        <v/>
      </c>
      <c r="E91" s="37">
        <f>IF($A91&gt;LastT,0,J90-K90-L90)</f>
        <v/>
      </c>
      <c r="F91" s="37">
        <f>IF($A91&gt;LastT,0,IF($A91=PolicyTerm,E91,0))</f>
        <v/>
      </c>
      <c r="G91" s="37">
        <f>IF($A91&gt;LastT,0,E91-F91)</f>
        <v/>
      </c>
      <c r="H91" s="37">
        <f>IF($A91=0,PolicyCount,0)</f>
        <v/>
      </c>
      <c r="I91" s="37">
        <f>IF($A91&gt;LastT,0,IF(AND($C$3="mass",$A91=T0),(G91+H91)*$E$3,0))</f>
        <v/>
      </c>
      <c r="J91" s="37">
        <f>IF($A91&gt;LastT,0,G91+H91-I91)</f>
        <v/>
      </c>
      <c r="K91" s="37">
        <f>IF($A91&gt;LastT,0,J91*Policy_Sched!$C91*Policy_Sched!$D91*C91)</f>
        <v/>
      </c>
      <c r="L91" s="41">
        <f>J91*D91</f>
        <v/>
      </c>
      <c r="M91" s="38">
        <f>IF($A91&gt;LastT,0,(SizeAnnPrem*ExpsMaintAnnPrem+(SumAssured*ExpsMaintSA+ExpsMaintPol)*B91)*(1+IF($B$3="exps",$E$3,0)))</f>
        <v/>
      </c>
      <c r="N91" s="38">
        <f>SizePremium*J91</f>
        <v/>
      </c>
      <c r="O91" s="38">
        <f>SumAssured*K91</f>
        <v/>
      </c>
      <c r="P91" s="38">
        <f>Policy_Sched!$I91*(L91+I91)</f>
        <v/>
      </c>
      <c r="Q91" s="42">
        <f>O91+P91</f>
        <v/>
      </c>
      <c r="R91" s="38">
        <f>IF($A91=0,SizeExpsAcq0*H91,0)</f>
        <v/>
      </c>
      <c r="S91" s="38">
        <f>IF($A91=0,SizeExpsCommInit0*J91,0)</f>
        <v/>
      </c>
      <c r="T91" s="38">
        <f>Policy_Sched!$J91*J91</f>
        <v/>
      </c>
      <c r="U91" s="42">
        <f>M91*J91</f>
        <v/>
      </c>
      <c r="V91" s="42">
        <f>S91+T91+R91+U91</f>
        <v/>
      </c>
      <c r="W91" s="38">
        <f>IF($A91&gt;LastT,0,N91+W92/(1+Policy_Sched!$K91))</f>
        <v/>
      </c>
      <c r="X91" s="38">
        <f>IF($A91&gt;LastT,0,(-Q91+X92)/(1+Policy_Sched!$K91))</f>
        <v/>
      </c>
      <c r="Y91" s="38">
        <f>IF($A91&gt;LastT,0,-V91+Y92/(1+Policy_Sched!$K91))</f>
        <v/>
      </c>
      <c r="Z91" s="42">
        <f>W91+Y91+X91</f>
        <v/>
      </c>
      <c r="AA91" s="38">
        <f>IF($A91&gt;LastT,0,N91-V91-Q91/(1+Policy_Sched!$K91)+Z92/(1+Policy_Sched!$K91))</f>
        <v/>
      </c>
    </row>
    <row r="92">
      <c r="A92" s="30">
        <f>A91+1</f>
        <v/>
      </c>
      <c r="B92" s="31">
        <f>IF($A92&gt;LastT,0,IF($B$3="exps",B91*(1+InflRate+IF($A92&gt;=T0,$G$3,0)),B91/(1+InflRate)))</f>
        <v/>
      </c>
      <c r="C92" s="31">
        <f>IF($A92&gt;LastT,0,IF(AND($D$3&lt;&gt;0,$A92&gt;=T0,Policy_Sched!$B92&lt;LastAge),1+$D$3*$E$3,1))</f>
        <v/>
      </c>
      <c r="D92" s="36">
        <f>IF($A92&gt;LastT,0,IF($C$3="up",MIN(Policy_Sched!$E92*(1+IF($A92&gt;=T0,$E$3,0)),$F$3),IF($C$3="down",MAX(Policy_Sched!$E92*(1-IF($A92&gt;=T0,$E$3,0)),Policy_Sched!$E92-$F$3),Policy_Sched!$E92)))</f>
        <v/>
      </c>
      <c r="E92" s="37">
        <f>IF($A92&gt;LastT,0,J91-K91-L91)</f>
        <v/>
      </c>
      <c r="F92" s="37">
        <f>IF($A92&gt;LastT,0,IF($A92=PolicyTerm,E92,0))</f>
        <v/>
      </c>
      <c r="G92" s="37">
        <f>IF($A92&gt;LastT,0,E92-F92)</f>
        <v/>
      </c>
      <c r="H92" s="37">
        <f>IF($A92=0,PolicyCount,0)</f>
        <v/>
      </c>
      <c r="I92" s="37">
        <f>IF($A92&gt;LastT,0,IF(AND($C$3="mass",$A92=T0),(G92+H92)*$E$3,0))</f>
        <v/>
      </c>
      <c r="J92" s="37">
        <f>IF($A92&gt;LastT,0,G92+H92-I92)</f>
        <v/>
      </c>
      <c r="K92" s="37">
        <f>IF($A92&gt;LastT,0,J92*Policy_Sched!$C92*Policy_Sched!$D92*C92)</f>
        <v/>
      </c>
      <c r="L92" s="41">
        <f>J92*D92</f>
        <v/>
      </c>
      <c r="M92" s="38">
        <f>IF($A92&gt;LastT,0,(SizeAnnPrem*ExpsMaintAnnPrem+(SumAssured*ExpsMaintSA+ExpsMaintPol)*B92)*(1+IF($B$3="exps",$E$3,0)))</f>
        <v/>
      </c>
      <c r="N92" s="38">
        <f>SizePremium*J92</f>
        <v/>
      </c>
      <c r="O92" s="38">
        <f>SumAssured*K92</f>
        <v/>
      </c>
      <c r="P92" s="38">
        <f>Policy_Sched!$I92*(L92+I92)</f>
        <v/>
      </c>
      <c r="Q92" s="42">
        <f>O92+P92</f>
        <v/>
      </c>
      <c r="R92" s="38">
        <f>IF($A92=0,SizeExpsAcq0*H92,0)</f>
        <v/>
      </c>
      <c r="S92" s="38">
        <f>IF($A92=0,SizeExpsCommInit0*J92,0)</f>
        <v/>
      </c>
      <c r="T92" s="38">
        <f>Policy_Sched!$J92*J92</f>
        <v/>
      </c>
      <c r="U92" s="42">
        <f>M92*J92</f>
        <v/>
      </c>
      <c r="V92" s="42">
        <f>S92+T92+R92+U92</f>
        <v/>
      </c>
      <c r="W92" s="38">
        <f>IF($A92&gt;LastT,0,N92+W93/(1+Policy_Sched!$K92))</f>
        <v/>
      </c>
      <c r="X92" s="38">
        <f>IF($A92&gt;LastT,0,(-Q92+X93)/(1+Policy_Sched!$K92))</f>
        <v/>
      </c>
      <c r="Y92" s="38">
        <f>IF($A92&gt;LastT,0,-V92+Y93/(1+Policy_Sched!$K92))</f>
        <v/>
      </c>
      <c r="Z92" s="42">
        <f>W92+Y92+X92</f>
        <v/>
      </c>
      <c r="AA92" s="38">
        <f>IF($A92&gt;LastT,0,N92-V92-Q92/(1+Policy_Sched!$K92)+Z93/(1+Policy_Sched!$K92))</f>
        <v/>
      </c>
    </row>
    <row r="93">
      <c r="A93" s="30">
        <f>A92+1</f>
        <v/>
      </c>
      <c r="B93" s="31">
        <f>IF($A93&gt;LastT,0,IF($B$3="exps",B92*(1+InflRate+IF($A93&gt;=T0,$G$3,0)),B92/(1+InflRate)))</f>
        <v/>
      </c>
      <c r="C93" s="31">
        <f>IF($A93&gt;LastT,0,IF(AND($D$3&lt;&gt;0,$A93&gt;=T0,Policy_Sched!$B93&lt;LastAge),1+$D$3*$E$3,1))</f>
        <v/>
      </c>
      <c r="D93" s="36">
        <f>IF($A93&gt;LastT,0,IF($C$3="up",MIN(Policy_Sched!$E93*(1+IF($A93&gt;=T0,$E$3,0)),$F$3),IF($C$3="down",MAX(Policy_Sched!$E93*(1-IF($A93&gt;=T0,$E$3,0)),Policy_Sched!$E93-$F$3),Policy_Sched!$E93)))</f>
        <v/>
      </c>
      <c r="E93" s="37">
        <f>IF($A93&gt;LastT,0,J92-K92-L92)</f>
        <v/>
      </c>
      <c r="F93" s="37">
        <f>IF($A93&gt;LastT,0,IF($A93=PolicyTerm,E93,0))</f>
        <v/>
      </c>
      <c r="G93" s="37">
        <f>IF($A93&gt;LastT,0,E93-F93)</f>
        <v/>
      </c>
      <c r="H93" s="37">
        <f>IF($A93=0,PolicyCount,0)</f>
        <v/>
      </c>
      <c r="I93" s="37">
        <f>IF($A93&gt;LastT,0,IF(AND($C$3="mass",$A93=T0),(G93+H93)*$E$3,0))</f>
        <v/>
      </c>
      <c r="J93" s="37">
        <f>IF($A93&gt;LastT,0,G93+H93-I93)</f>
        <v/>
      </c>
      <c r="K93" s="37">
        <f>IF($A93&gt;LastT,0,J93*Policy_Sched!$C93*Policy_Sched!$D93*C93)</f>
        <v/>
      </c>
      <c r="L93" s="41">
        <f>J93*D93</f>
        <v/>
      </c>
      <c r="M93" s="38">
        <f>IF($A93&gt;LastT,0,(SizeAnnPrem*ExpsMaintAnnPrem+(SumAssured*ExpsMaintSA+ExpsMaintPol)*B93)*(1+IF($B$3="exps",$E$3,0)))</f>
        <v/>
      </c>
      <c r="N93" s="38">
        <f>SizePremium*J93</f>
        <v/>
      </c>
      <c r="O93" s="38">
        <f>SumAssured*K93</f>
        <v/>
      </c>
      <c r="P93" s="38">
        <f>Policy_Sched!$I93*(L93+I93)</f>
        <v/>
      </c>
      <c r="Q93" s="42">
        <f>O93+P93</f>
        <v/>
      </c>
      <c r="R93" s="38">
        <f>IF($A93=0,SizeExpsAcq0*H93,0)</f>
        <v/>
      </c>
      <c r="S93" s="38">
        <f>IF($A93=0,SizeExpsCommInit0*J93,0)</f>
        <v/>
      </c>
      <c r="T93" s="38">
        <f>Policy_Sched!$J93*J93</f>
        <v/>
      </c>
      <c r="U93" s="42">
        <f>M93*J93</f>
        <v/>
      </c>
      <c r="V93" s="42">
        <f>S93+T93+R93+U93</f>
        <v/>
      </c>
      <c r="W93" s="38">
        <f>IF($A93&gt;LastT,0,N93+W94/(1+Policy_Sched!$K93))</f>
        <v/>
      </c>
      <c r="X93" s="38">
        <f>IF($A93&gt;LastT,0,(-Q93+X94)/(1+Policy_Sched!$K93))</f>
        <v/>
      </c>
      <c r="Y93" s="38">
        <f>IF($A93&gt;LastT,0,-V93+Y94/(1+Policy_Sched!$K93))</f>
        <v/>
      </c>
      <c r="Z93" s="42">
        <f>W93+Y93+X93</f>
        <v/>
      </c>
      <c r="AA93" s="38">
        <f>IF($A93&gt;LastT,0,N93-V93-Q93/(1+Policy_Sched!$K93)+Z94/(1+Policy_Sched!$K93))</f>
        <v/>
      </c>
    </row>
    <row r="94">
      <c r="A94" s="30">
        <f>A93+1</f>
        <v/>
      </c>
      <c r="B94" s="31">
        <f>IF($A94&gt;LastT,0,IF($B$3="exps",B93*(1+InflRate+IF($A94&gt;=T0,$G$3,0)),B93/(1+InflRate)))</f>
        <v/>
      </c>
      <c r="C94" s="31">
        <f>IF($A94&gt;LastT,0,IF(AND($D$3&lt;&gt;0,$A94&gt;=T0,Policy_Sched!$B94&lt;LastAge),1+$D$3*$E$3,1))</f>
        <v/>
      </c>
      <c r="D94" s="36">
        <f>IF($A94&gt;LastT,0,IF($C$3="up",MIN(Policy_Sched!$E94*(1+IF($A94&gt;=T0,$E$3,0)),$F$3),IF($C$3="down",MAX(Policy_Sched!$E94*(1-IF($A94&gt;=T0,$E$3,0)),Policy_Sched!$E94-$F$3),Policy_Sched!$E94)))</f>
        <v/>
      </c>
      <c r="E94" s="37">
        <f>IF($A94&gt;LastT,0,J93-K93-L93)</f>
        <v/>
      </c>
      <c r="F94" s="37">
        <f>IF($A94&gt;LastT,0,IF($A94=PolicyTerm,E94,0))</f>
        <v/>
      </c>
      <c r="G94" s="37">
        <f>IF($A94&gt;LastT,0,E94-F94)</f>
        <v/>
      </c>
      <c r="H94" s="37">
        <f>IF($A94=0,PolicyCount,0)</f>
        <v/>
      </c>
      <c r="I94" s="37">
        <f>IF($A94&gt;LastT,0,IF(AND($C$3="mass",$A94=T0),(G94+H94)*$E$3,0))</f>
        <v/>
      </c>
      <c r="J94" s="37">
        <f>IF($A94&gt;LastT,0,G94+H94-I94)</f>
        <v/>
      </c>
      <c r="K94" s="37">
        <f>IF($A94&gt;LastT,0,J94*Policy_Sched!$C94*Policy_Sched!$D94*C94)</f>
        <v/>
      </c>
      <c r="L94" s="41">
        <f>J94*D94</f>
        <v/>
      </c>
      <c r="M94" s="38">
        <f>IF($A94&gt;LastT,0,(SizeAnnPrem*ExpsMaintAnnPrem+(SumAssured*ExpsMaintSA+ExpsMaintPol)*B94)*(1+IF($B$3="exps",$E$3,0)))</f>
        <v/>
      </c>
      <c r="N94" s="38">
        <f>SizePremium*J94</f>
        <v/>
      </c>
      <c r="O94" s="38">
        <f>SumAssured*K94</f>
        <v/>
      </c>
      <c r="P94" s="38">
        <f>Policy_Sched!$I94*(L94+I94)</f>
        <v/>
      </c>
      <c r="Q94" s="42">
        <f>O94+P94</f>
        <v/>
      </c>
      <c r="R94" s="38">
        <f>IF($A94=0,SizeExpsAcq0*H94,0)</f>
        <v/>
      </c>
      <c r="S94" s="38">
        <f>IF($A94=0,SizeExpsCommInit0*J94,0)</f>
        <v/>
      </c>
      <c r="T94" s="38">
        <f>Policy_Sched!$J94*J94</f>
        <v/>
      </c>
      <c r="U94" s="42">
        <f>M94*J94</f>
        <v/>
      </c>
      <c r="V94" s="42">
        <f>S94+T94+R94+U94</f>
        <v/>
      </c>
      <c r="W94" s="38">
        <f>IF($A94&gt;LastT,0,N94+W95/(1+Policy_Sched!$K94))</f>
        <v/>
      </c>
      <c r="X94" s="38">
        <f>IF($A94&gt;LastT,0,(-Q94+X95)/(1+Policy_Sched!$K94))</f>
        <v/>
      </c>
      <c r="Y94" s="38">
        <f>IF($A94&gt;LastT,0,-V94+Y95/(1+Policy_Sched!$K94))</f>
        <v/>
      </c>
      <c r="Z94" s="42">
        <f>W94+Y94+X94</f>
        <v/>
      </c>
      <c r="AA94" s="38">
        <f>IF($A94&gt;LastT,0,N94-V94-Q94/(1+Policy_Sched!$K94)+Z95/(1+Policy_Sched!$K94))</f>
        <v/>
      </c>
    </row>
    <row r="95">
      <c r="A95" s="30">
        <f>A94+1</f>
        <v/>
      </c>
      <c r="B95" s="31">
        <f>IF($A95&gt;LastT,0,IF($B$3="exps",B94*(1+InflRate+IF($A95&gt;=T0,$G$3,0)),B94/(1+InflRate)))</f>
        <v/>
      </c>
      <c r="C95" s="31">
        <f>IF($A95&gt;LastT,0,IF(AND($D$3&lt;&gt;0,$A95&gt;=T0,Policy_Sched!$B95&lt;LastAge),1+$D$3*$E$3,1))</f>
        <v/>
      </c>
      <c r="D95" s="36">
        <f>IF($A95&gt;LastT,0,IF($C$3="up",MIN(Policy_Sched!$E95*(1+IF($A95&gt;=T0,$E$3,0)),$F$3),IF($C$3="down",MAX(Policy_Sched!$E95*(1-IF($A95&gt;=T0,$E$3,0)),Policy_Sched!$E95-$F$3),Policy_Sched!$E95)))</f>
        <v/>
      </c>
      <c r="E95" s="37">
        <f>IF($A95&gt;LastT,0,J94-K94-L94)</f>
        <v/>
      </c>
      <c r="F95" s="37">
        <f>IF($A95&gt;LastT,0,IF($A95=PolicyTerm,E95,0))</f>
        <v/>
      </c>
      <c r="G95" s="37">
        <f>IF($A95&gt;LastT,0,E95-F95)</f>
        <v/>
      </c>
      <c r="H95" s="37">
        <f>IF($A95=0,PolicyCount,0)</f>
        <v/>
      </c>
      <c r="I95" s="37">
        <f>IF($A95&gt;LastT,0,IF(AND($C$3="mass",$A95=T0),(G95+H95)*$E$3,0))</f>
        <v/>
      </c>
      <c r="J95" s="37">
        <f>IF($A95&gt;LastT,0,G95+H95-I95)</f>
        <v/>
      </c>
      <c r="K95" s="37">
        <f>IF($A95&gt;LastT,0,J95*Policy_Sched!$C95*Policy_Sched!$D95*C95)</f>
        <v/>
      </c>
      <c r="L95" s="41">
        <f>J95*D95</f>
        <v/>
      </c>
      <c r="M95" s="38">
        <f>IF($A95&gt;LastT,0,(SizeAnnPrem*ExpsMaintAnnPrem+(SumAssured*ExpsMaintSA+ExpsMaintPol)*B95)*(1+IF($B$3="exps",$E$3,0)))</f>
        <v/>
      </c>
      <c r="N95" s="38">
        <f>SizePremium*J95</f>
        <v/>
      </c>
      <c r="O95" s="38">
        <f>SumAssured*K95</f>
        <v/>
      </c>
      <c r="P95" s="38">
        <f>Policy_Sched!$I95*(L95+I95)</f>
        <v/>
      </c>
      <c r="Q95" s="42">
        <f>O95+P95</f>
        <v/>
      </c>
      <c r="R95" s="38">
        <f>IF($A95=0,SizeExpsAcq0*H95,0)</f>
        <v/>
      </c>
      <c r="S95" s="38">
        <f>IF($A95=0,SizeExpsCommInit0*J95,0)</f>
        <v/>
      </c>
      <c r="T95" s="38">
        <f>Policy_Sched!$J95*J95</f>
        <v/>
      </c>
      <c r="U95" s="42">
        <f>M95*J95</f>
        <v/>
      </c>
      <c r="V95" s="42">
        <f>S95+T95+R95+U95</f>
        <v/>
      </c>
      <c r="W95" s="38">
        <f>IF($A95&gt;LastT,0,N95+W96/(1+Policy_Sched!$K95))</f>
        <v/>
      </c>
      <c r="X95" s="38">
        <f>IF($A95&gt;LastT,0,(-Q95+X96)/(1+Policy_Sched!$K95))</f>
        <v/>
      </c>
      <c r="Y95" s="38">
        <f>IF($A95&gt;LastT,0,-V95+Y96/(1+Policy_Sched!$K95))</f>
        <v/>
      </c>
      <c r="Z95" s="42">
        <f>W95+Y95+X95</f>
        <v/>
      </c>
      <c r="AA95" s="38">
        <f>IF($A95&gt;LastT,0,N95-V95-Q95/(1+Policy_Sched!$K95)+Z96/(1+Policy_Sched!$K95))</f>
        <v/>
      </c>
    </row>
    <row r="96">
      <c r="A96" s="30">
        <f>A95+1</f>
        <v/>
      </c>
      <c r="B96" s="31">
        <f>IF($A96&gt;LastT,0,IF($B$3="exps",B95*(1+InflRate+IF($A96&gt;=T0,$G$3,0)),B95/(1+InflRate)))</f>
        <v/>
      </c>
      <c r="C96" s="31">
        <f>IF($A96&gt;LastT,0,IF(AND($D$3&lt;&gt;0,$A96&gt;=T0,Policy_Sched!$B96&lt;LastAge),1+$D$3*$E$3,1))</f>
        <v/>
      </c>
      <c r="D96" s="36">
        <f>IF($A96&gt;LastT,0,IF($C$3="up",MIN(Policy_Sched!$E96*(1+IF($A96&gt;=T0,$E$3,0)),$F$3),IF($C$3="down",MAX(Policy_Sched!$E96*(1-IF($A96&gt;=T0,$E$3,0)),Policy_Sched!$E96-$F$3),Policy_Sched!$E96)))</f>
        <v/>
      </c>
      <c r="E96" s="37">
        <f>IF($A96&gt;LastT,0,J95-K95-L95)</f>
        <v/>
      </c>
      <c r="F96" s="37">
        <f>IF($A96&gt;LastT,0,IF($A96=PolicyTerm,E96,0))</f>
        <v/>
      </c>
      <c r="G96" s="37">
        <f>IF($A96&gt;LastT,0,E96-F96)</f>
        <v/>
      </c>
      <c r="H96" s="37">
        <f>IF($A96=0,PolicyCount,0)</f>
        <v/>
      </c>
      <c r="I96" s="37">
        <f>IF($A96&gt;LastT,0,IF(AND($C$3="mass",$A96=T0),(G96+H96)*$E$3,0))</f>
        <v/>
      </c>
      <c r="J96" s="37">
        <f>IF($A96&gt;LastT,0,G96+H96-I96)</f>
        <v/>
      </c>
      <c r="K96" s="37">
        <f>IF($A96&gt;LastT,0,J96*Policy_Sched!$C96*Policy_Sched!$D96*C96)</f>
        <v/>
      </c>
      <c r="L96" s="41">
        <f>J96*D96</f>
        <v/>
      </c>
      <c r="M96" s="38">
        <f>IF($A96&gt;LastT,0,(SizeAnnPrem*ExpsMaintAnnPrem+(SumAssured*ExpsMaintSA+ExpsMaintPol)*B96)*(1+IF($B$3="exps",$E$3,0)))</f>
        <v/>
      </c>
      <c r="N96" s="38">
        <f>SizePremium*J96</f>
        <v/>
      </c>
      <c r="O96" s="38">
        <f>SumAssured*K96</f>
        <v/>
      </c>
      <c r="P96" s="38">
        <f>Policy_Sched!$I96*(L96+I96)</f>
        <v/>
      </c>
      <c r="Q96" s="42">
        <f>O96+P96</f>
        <v/>
      </c>
      <c r="R96" s="38">
        <f>IF($A96=0,SizeExpsAcq0*H96,0)</f>
        <v/>
      </c>
      <c r="S96" s="38">
        <f>IF($A96=0,SizeExpsCommInit0*J96,0)</f>
        <v/>
      </c>
      <c r="T96" s="38">
        <f>Policy_Sched!$J96*J96</f>
        <v/>
      </c>
      <c r="U96" s="42">
        <f>M96*J96</f>
        <v/>
      </c>
      <c r="V96" s="42">
        <f>S96+T96+R96+U96</f>
        <v/>
      </c>
      <c r="W96" s="38">
        <f>IF($A96&gt;LastT,0,N96+W97/(1+Policy_Sched!$K96))</f>
        <v/>
      </c>
      <c r="X96" s="38">
        <f>IF($A96&gt;LastT,0,(-Q96+X97)/(1+Policy_Sched!$K96))</f>
        <v/>
      </c>
      <c r="Y96" s="38">
        <f>IF($A96&gt;LastT,0,-V96+Y97/(1+Policy_Sched!$K96))</f>
        <v/>
      </c>
      <c r="Z96" s="42">
        <f>W96+Y96+X96</f>
        <v/>
      </c>
      <c r="AA96" s="38">
        <f>IF($A96&gt;LastT,0,N96-V96-Q96/(1+Policy_Sched!$K96)+Z97/(1+Policy_Sched!$K96))</f>
        <v/>
      </c>
    </row>
    <row r="97">
      <c r="A97" s="30">
        <f>A96+1</f>
        <v/>
      </c>
      <c r="B97" s="31">
        <f>IF($A97&gt;LastT,0,IF($B$3="exps",B96*(1+InflRate+IF($A97&gt;=T0,$G$3,0)),B96/(1+InflRate)))</f>
        <v/>
      </c>
      <c r="C97" s="31">
        <f>IF($A97&gt;LastT,0,IF(AND($D$3&lt;&gt;0,$A97&gt;=T0,Policy_Sched!$B97&lt;LastAge),1+$D$3*$E$3,1))</f>
        <v/>
      </c>
      <c r="D97" s="36">
        <f>IF($A97&gt;LastT,0,IF($C$3="up",MIN(Policy_Sched!$E97*(1+IF($A97&gt;=T0,$E$3,0)),$F$3),IF($C$3="down",MAX(Policy_Sched!$E97*(1-IF($A97&gt;=T0,$E$3,0)),Policy_Sched!$E97-$F$3),Policy_Sched!$E97)))</f>
        <v/>
      </c>
      <c r="E97" s="37">
        <f>IF($A97&gt;LastT,0,J96-K96-L96)</f>
        <v/>
      </c>
      <c r="F97" s="37">
        <f>IF($A97&gt;LastT,0,IF($A97=PolicyTerm,E97,0))</f>
        <v/>
      </c>
      <c r="G97" s="37">
        <f>IF($A97&gt;LastT,0,E97-F97)</f>
        <v/>
      </c>
      <c r="H97" s="37">
        <f>IF($A97=0,PolicyCount,0)</f>
        <v/>
      </c>
      <c r="I97" s="37">
        <f>IF($A97&gt;LastT,0,IF(AND($C$3="mass",$A97=T0),(G97+H97)*$E$3,0))</f>
        <v/>
      </c>
      <c r="J97" s="37">
        <f>IF($A97&gt;LastT,0,G97+H97-I97)</f>
        <v/>
      </c>
      <c r="K97" s="37">
        <f>IF($A97&gt;LastT,0,J97*Policy_Sched!$C97*Policy_Sched!$D97*C97)</f>
        <v/>
      </c>
      <c r="L97" s="41">
        <f>J97*D97</f>
        <v/>
      </c>
      <c r="M97" s="38">
        <f>IF($A97&gt;LastT,0,(SizeAnnPrem*ExpsMaintAnnPrem+(SumAssured*ExpsMaintSA+ExpsMaintPol)*B97)*(1+IF($B$3="exps",$E$3,0)))</f>
        <v/>
      </c>
      <c r="N97" s="38">
        <f>SizePremium*J97</f>
        <v/>
      </c>
      <c r="O97" s="38">
        <f>SumAssured*K97</f>
        <v/>
      </c>
      <c r="P97" s="38">
        <f>Policy_Sched!$I97*(L97+I97)</f>
        <v/>
      </c>
      <c r="Q97" s="42">
        <f>O97+P97</f>
        <v/>
      </c>
      <c r="R97" s="38">
        <f>IF($A97=0,SizeExpsAcq0*H97,0)</f>
        <v/>
      </c>
      <c r="S97" s="38">
        <f>IF($A97=0,SizeExpsCommInit0*J97,0)</f>
        <v/>
      </c>
      <c r="T97" s="38">
        <f>Policy_Sched!$J97*J97</f>
        <v/>
      </c>
      <c r="U97" s="42">
        <f>M97*J97</f>
        <v/>
      </c>
      <c r="V97" s="42">
        <f>S97+T97+R97+U97</f>
        <v/>
      </c>
      <c r="W97" s="38">
        <f>IF($A97&gt;LastT,0,N97+W98/(1+Policy_Sched!$K97))</f>
        <v/>
      </c>
      <c r="X97" s="38">
        <f>IF($A97&gt;LastT,0,(-Q97+X98)/(1+Policy_Sched!$K97))</f>
        <v/>
      </c>
      <c r="Y97" s="38">
        <f>IF($A97&gt;LastT,0,-V97+Y98/(1+Policy_Sched!$K97))</f>
        <v/>
      </c>
      <c r="Z97" s="42">
        <f>W97+Y97+X97</f>
        <v/>
      </c>
      <c r="AA97" s="38">
        <f>IF($A97&gt;LastT,0,N97-V97-Q97/(1+Policy_Sched!$K97)+Z98/(1+Policy_Sched!$K97))</f>
        <v/>
      </c>
    </row>
    <row r="98">
      <c r="A98" s="30">
        <f>A97+1</f>
        <v/>
      </c>
      <c r="B98" s="31">
        <f>IF($A98&gt;LastT,0,IF($B$3="exps",B97*(1+InflRate+IF($A98&gt;=T0,$G$3,0)),B97/(1+InflRate)))</f>
        <v/>
      </c>
      <c r="C98" s="31">
        <f>IF($A98&gt;LastT,0,IF(AND($D$3&lt;&gt;0,$A98&gt;=T0,Policy_Sched!$B98&lt;LastAge),1+$D$3*$E$3,1))</f>
        <v/>
      </c>
      <c r="D98" s="36">
        <f>IF($A98&gt;LastT,0,IF($C$3="up",MIN(Policy_Sched!$E98*(1+IF($A98&gt;=T0,$E$3,0)),$F$3),IF($C$3="down",MAX(Policy_Sched!$E98*(1-IF($A98&gt;=T0,$E$3,0)),Policy_Sched!$E98-$F$3),Policy_Sched!$E98)))</f>
        <v/>
      </c>
      <c r="E98" s="37">
        <f>IF($A98&gt;LastT,0,J97-K97-L97)</f>
        <v/>
      </c>
      <c r="F98" s="37">
        <f>IF($A98&gt;LastT,0,IF($A98=PolicyTerm,E98,0))</f>
        <v/>
      </c>
      <c r="G98" s="37">
        <f>IF($A98&gt;LastT,0,E98-F98)</f>
        <v/>
      </c>
      <c r="H98" s="37">
        <f>IF($A98=0,PolicyCount,0)</f>
        <v/>
      </c>
      <c r="I98" s="37">
        <f>IF($A98&gt;LastT,0,IF(AND($C$3="mass",$A98=T0),(G98+H98)*$E$3,0))</f>
        <v/>
      </c>
      <c r="J98" s="37">
        <f>IF($A98&gt;LastT,0,G98+H98-I98)</f>
        <v/>
      </c>
      <c r="K98" s="37">
        <f>IF($A98&gt;LastT,0,J98*Policy_Sched!$C98*Policy_Sched!$D98*C98)</f>
        <v/>
      </c>
      <c r="L98" s="41">
        <f>J98*D98</f>
        <v/>
      </c>
      <c r="M98" s="38">
        <f>IF($A98&gt;LastT,0,(SizeAnnPrem*ExpsMaintAnnPrem+(SumAssured*ExpsMaintSA+ExpsMaintPol)*B98)*(1+IF($B$3="exps",$E$3,0)))</f>
        <v/>
      </c>
      <c r="N98" s="38">
        <f>SizePremium*J98</f>
        <v/>
      </c>
      <c r="O98" s="38">
        <f>SumAssured*K98</f>
        <v/>
      </c>
      <c r="P98" s="38">
        <f>Policy_Sched!$I98*(L98+I98)</f>
        <v/>
      </c>
      <c r="Q98" s="42">
        <f>O98+P98</f>
        <v/>
      </c>
      <c r="R98" s="38">
        <f>IF($A98=0,SizeExpsAcq0*H98,0)</f>
        <v/>
      </c>
      <c r="S98" s="38">
        <f>IF($A98=0,SizeExpsCommInit0*J98,0)</f>
        <v/>
      </c>
      <c r="T98" s="38">
        <f>Policy_Sched!$J98*J98</f>
        <v/>
      </c>
      <c r="U98" s="42">
        <f>M98*J98</f>
        <v/>
      </c>
      <c r="V98" s="42">
        <f>S98+T98+R98+U98</f>
        <v/>
      </c>
      <c r="W98" s="38">
        <f>IF($A98&gt;LastT,0,N98+W99/(1+Policy_Sched!$K98))</f>
        <v/>
      </c>
      <c r="X98" s="38">
        <f>IF($A98&gt;LastT,0,(-Q98+X99)/(1+Policy_Sched!$K98))</f>
        <v/>
      </c>
      <c r="Y98" s="38">
        <f>IF($A98&gt;LastT,0,-V98+Y99/(1+Policy_Sched!$K98))</f>
        <v/>
      </c>
      <c r="Z98" s="42">
        <f>W98+Y98+X98</f>
        <v/>
      </c>
      <c r="AA98" s="38">
        <f>IF($A98&gt;LastT,0,N98-V98-Q98/(1+Policy_Sched!$K98)+Z99/(1+Policy_Sched!$K98))</f>
        <v/>
      </c>
    </row>
    <row r="99">
      <c r="A99" s="30">
        <f>A98+1</f>
        <v/>
      </c>
      <c r="B99" s="31">
        <f>IF($A99&gt;LastT,0,IF($B$3="exps",B98*(1+InflRate+IF($A99&gt;=T0,$G$3,0)),B98/(1+InflRate)))</f>
        <v/>
      </c>
      <c r="C99" s="31">
        <f>IF($A99&gt;LastT,0,IF(AND($D$3&lt;&gt;0,$A99&gt;=T0,Policy_Sched!$B99&lt;LastAge),1+$D$3*$E$3,1))</f>
        <v/>
      </c>
      <c r="D99" s="36">
        <f>IF($A99&gt;LastT,0,IF($C$3="up",MIN(Policy_Sched!$E99*(1+IF($A99&gt;=T0,$E$3,0)),$F$3),IF($C$3="down",MAX(Policy_Sched!$E99*(1-IF($A99&gt;=T0,$E$3,0)),Policy_Sched!$E99-$F$3),Policy_Sched!$E99)))</f>
        <v/>
      </c>
      <c r="E99" s="37">
        <f>IF($A99&gt;LastT,0,J98-K98-L98)</f>
        <v/>
      </c>
      <c r="F99" s="37">
        <f>IF($A99&gt;LastT,0,IF($A99=PolicyTerm,E99,0))</f>
        <v/>
      </c>
      <c r="G99" s="37">
        <f>IF($A99&gt;LastT,0,E99-F99)</f>
        <v/>
      </c>
      <c r="H99" s="37">
        <f>IF($A99=0,PolicyCount,0)</f>
        <v/>
      </c>
      <c r="I99" s="37">
        <f>IF($A99&gt;LastT,0,IF(AND($C$3="mass",$A99=T0),(G99+H99)*$E$3,0))</f>
        <v/>
      </c>
      <c r="J99" s="37">
        <f>IF($A99&gt;LastT,0,G99+H99-I99)</f>
        <v/>
      </c>
      <c r="K99" s="37">
        <f>IF($A99&gt;LastT,0,J99*Policy_Sched!$C99*Policy_Sched!$D99*C99)</f>
        <v/>
      </c>
      <c r="L99" s="41">
        <f>J99*D99</f>
        <v/>
      </c>
      <c r="M99" s="38">
        <f>IF($A99&gt;LastT,0,(SizeAnnPrem*ExpsMaintAnnPrem+(SumAssured*ExpsMaintSA+ExpsMaintPol)*B99)*(1+IF($B$3="exps",$E$3,0)))</f>
        <v/>
      </c>
      <c r="N99" s="38">
        <f>SizePremium*J99</f>
        <v/>
      </c>
      <c r="O99" s="38">
        <f>SumAssured*K99</f>
        <v/>
      </c>
      <c r="P99" s="38">
        <f>Policy_Sched!$I99*(L99+I99)</f>
        <v/>
      </c>
      <c r="Q99" s="42">
        <f>O99+P99</f>
        <v/>
      </c>
      <c r="R99" s="38">
        <f>IF($A99=0,SizeExpsAcq0*H99,0)</f>
        <v/>
      </c>
      <c r="S99" s="38">
        <f>IF($A99=0,SizeExpsCommInit0*J99,0)</f>
        <v/>
      </c>
      <c r="T99" s="38">
        <f>Policy_Sched!$J99*J99</f>
        <v/>
      </c>
      <c r="U99" s="42">
        <f>M99*J99</f>
        <v/>
      </c>
      <c r="V99" s="42">
        <f>S99+T99+R99+U99</f>
        <v/>
      </c>
      <c r="W99" s="38">
        <f>IF($A99&gt;LastT,0,N99+W100/(1+Policy_Sched!$K99))</f>
        <v/>
      </c>
      <c r="X99" s="38">
        <f>IF($A99&gt;LastT,0,(-Q99+X100)/(1+Policy_Sched!$K99))</f>
        <v/>
      </c>
      <c r="Y99" s="38">
        <f>IF($A99&gt;LastT,0,-V99+Y100/(1+Policy_Sched!$K99))</f>
        <v/>
      </c>
      <c r="Z99" s="42">
        <f>W99+Y99+X99</f>
        <v/>
      </c>
      <c r="AA99" s="38">
        <f>IF($A99&gt;LastT,0,N99-V99-Q99/(1+Policy_Sched!$K99)+Z100/(1+Policy_Sched!$K99))</f>
        <v/>
      </c>
    </row>
    <row r="100">
      <c r="A100" s="30">
        <f>A99+1</f>
        <v/>
      </c>
      <c r="B100" s="31">
        <f>IF($A100&gt;LastT,0,IF($B$3="exps",B99*(1+InflRate+IF($A100&gt;=T0,$G$3,0)),B99/(1+InflRate)))</f>
        <v/>
      </c>
      <c r="C100" s="31">
        <f>IF($A100&gt;LastT,0,IF(AND($D$3&lt;&gt;0,$A100&gt;=T0,Policy_Sched!$B100&lt;LastAge),1+$D$3*$E$3,1))</f>
        <v/>
      </c>
      <c r="D100" s="36">
        <f>IF($A100&gt;LastT,0,IF($C$3="up",MIN(Policy_Sched!$E100*(1+IF($A100&gt;=T0,$E$3,0)),$F$3),IF($C$3="down",MAX(Policy_Sched!$E100*(1-IF($A100&gt;=T0,$E$3,0)),Policy_Sched!$E100-$F$3),Policy_Sched!$E100)))</f>
        <v/>
      </c>
      <c r="E100" s="37">
        <f>IF($A100&gt;LastT,0,J99-K99-L99)</f>
        <v/>
      </c>
      <c r="F100" s="37">
        <f>IF($A100&gt;LastT,0,IF($A100=PolicyTerm,E100,0))</f>
        <v/>
      </c>
      <c r="G100" s="37">
        <f>IF($A100&gt;LastT,0,E100-F100)</f>
        <v/>
      </c>
      <c r="H100" s="37">
        <f>IF($A100=0,PolicyCount,0)</f>
        <v/>
      </c>
      <c r="I100" s="37">
        <f>IF($A100&gt;LastT,0,IF(AND($C$3="mass",$A100=T0),(G100+H100)*$E$3,0))</f>
        <v/>
      </c>
      <c r="J100" s="37">
        <f>IF($A100&gt;LastT,0,G100+H100-I100)</f>
        <v/>
      </c>
      <c r="K100" s="37">
        <f>IF($A100&gt;LastT,0,J100*Policy_Sched!$C100*Policy_Sched!$D100*C100)</f>
        <v/>
      </c>
      <c r="L100" s="41">
        <f>J100*D100</f>
        <v/>
      </c>
      <c r="M100" s="38">
        <f>IF($A100&gt;LastT,0,(SizeAnnPrem*ExpsMaintAnnPrem+(SumAssured*ExpsMaintSA+ExpsMaintPol)*B100)*(1+IF($B$3="exps",$E$3,0)))</f>
        <v/>
      </c>
      <c r="N100" s="38">
        <f>SizePremium*J100</f>
        <v/>
      </c>
      <c r="O100" s="38">
        <f>SumAssured*K100</f>
        <v/>
      </c>
      <c r="P100" s="38">
        <f>Policy_Sched!$I100*(L100+I100)</f>
        <v/>
      </c>
      <c r="Q100" s="42">
        <f>O100+P100</f>
        <v/>
      </c>
      <c r="R100" s="38">
        <f>IF($A100=0,SizeExpsAcq0*H100,0)</f>
        <v/>
      </c>
      <c r="S100" s="38">
        <f>IF($A100=0,SizeExpsCommInit0*J100,0)</f>
        <v/>
      </c>
      <c r="T100" s="38">
        <f>Policy_Sched!$J100*J100</f>
        <v/>
      </c>
      <c r="U100" s="42">
        <f>M100*J100</f>
        <v/>
      </c>
      <c r="V100" s="42">
        <f>S100+T100+R100+U100</f>
        <v/>
      </c>
      <c r="W100" s="38">
        <f>IF($A100&gt;LastT,0,N100+W101/(1+Policy_Sched!$K100))</f>
        <v/>
      </c>
      <c r="X100" s="38">
        <f>IF($A100&gt;LastT,0,(-Q100+X101)/(1+Policy_Sched!$K100))</f>
        <v/>
      </c>
      <c r="Y100" s="38">
        <f>IF($A100&gt;LastT,0,-V100+Y101/(1+Policy_Sched!$K100))</f>
        <v/>
      </c>
      <c r="Z100" s="42">
        <f>W100+Y100+X100</f>
        <v/>
      </c>
      <c r="AA100" s="38">
        <f>IF($A100&gt;LastT,0,N100-V100-Q100/(1+Policy_Sched!$K100)+Z101/(1+Policy_Sched!$K100))</f>
        <v/>
      </c>
    </row>
    <row r="101">
      <c r="A101" s="30">
        <f>A100+1</f>
        <v/>
      </c>
      <c r="B101" s="31">
        <f>IF($A101&gt;LastT,0,IF($B$3="exps",B100*(1+InflRate+IF($A101&gt;=T0,$G$3,0)),B100/(1+InflRate)))</f>
        <v/>
      </c>
      <c r="C101" s="31">
        <f>IF($A101&gt;LastT,0,IF(AND($D$3&lt;&gt;0,$A101&gt;=T0,Policy_Sched!$B101&lt;LastAge),1+$D$3*$E$3,1))</f>
        <v/>
      </c>
      <c r="D101" s="36">
        <f>IF($A101&gt;LastT,0,IF($C$3="up",MIN(Policy_Sched!$E101*(1+IF($A101&gt;=T0,$E$3,0)),$F$3),IF($C$3="down",MAX(Policy_Sched!$E101*(1-IF($A101&gt;=T0,$E$3,0)),Policy_Sched!$E101-$F$3),Policy_Sched!$E101)))</f>
        <v/>
      </c>
      <c r="E101" s="37">
        <f>IF($A101&gt;LastT,0,J100-K100-L100)</f>
        <v/>
      </c>
      <c r="F101" s="37">
        <f>IF($A101&gt;LastT,0,IF($A101=PolicyTerm,E101,0))</f>
        <v/>
      </c>
      <c r="G101" s="37">
        <f>IF($A101&gt;LastT,0,E101-F101)</f>
        <v/>
      </c>
      <c r="H101" s="37">
        <f>IF($A101=0,PolicyCount,0)</f>
        <v/>
      </c>
      <c r="I101" s="37">
        <f>IF($A101&gt;LastT,0,IF(AND($C$3="mass",$A101=T0),(G101+H101)*$E$3,0))</f>
        <v/>
      </c>
      <c r="J101" s="37">
        <f>IF($A101&gt;LastT,0,G101+H101-I101)</f>
        <v/>
      </c>
      <c r="K101" s="37">
        <f>IF($A101&gt;LastT,0,J101*Policy_Sched!$C101*Policy_Sched!$D101*C101)</f>
        <v/>
      </c>
      <c r="L101" s="41">
        <f>J101*D101</f>
        <v/>
      </c>
      <c r="M101" s="38">
        <f>IF($A101&gt;LastT,0,(SizeAnnPrem*ExpsMaintAnnPrem+(SumAssured*ExpsMaintSA+ExpsMaintPol)*B101)*(1+IF($B$3="exps",$E$3,0)))</f>
        <v/>
      </c>
      <c r="N101" s="38">
        <f>SizePremium*J101</f>
        <v/>
      </c>
      <c r="O101" s="38">
        <f>SumAssured*K101</f>
        <v/>
      </c>
      <c r="P101" s="38">
        <f>Policy_Sched!$I101*(L101+I101)</f>
        <v/>
      </c>
      <c r="Q101" s="42">
        <f>O101+P101</f>
        <v/>
      </c>
      <c r="R101" s="38">
        <f>IF($A101=0,SizeExpsAcq0*H101,0)</f>
        <v/>
      </c>
      <c r="S101" s="38">
        <f>IF($A101=0,SizeExpsCommInit0*J101,0)</f>
        <v/>
      </c>
      <c r="T101" s="38">
        <f>Policy_Sched!$J101*J101</f>
        <v/>
      </c>
      <c r="U101" s="42">
        <f>M101*J101</f>
        <v/>
      </c>
      <c r="V101" s="42">
        <f>S101+T101+R101+U101</f>
        <v/>
      </c>
      <c r="W101" s="38">
        <f>IF($A101&gt;LastT,0,N101+W102/(1+Policy_Sched!$K101))</f>
        <v/>
      </c>
      <c r="X101" s="38">
        <f>IF($A101&gt;LastT,0,(-Q101+X102)/(1+Policy_Sched!$K101))</f>
        <v/>
      </c>
      <c r="Y101" s="38">
        <f>IF($A101&gt;LastT,0,-V101+Y102/(1+Policy_Sched!$K101))</f>
        <v/>
      </c>
      <c r="Z101" s="42">
        <f>W101+Y101+X101</f>
        <v/>
      </c>
      <c r="AA101" s="38">
        <f>IF($A101&gt;LastT,0,N101-V101-Q101/(1+Policy_Sched!$K101)+Z102/(1+Policy_Sched!$K101))</f>
        <v/>
      </c>
    </row>
    <row r="102">
      <c r="A102" s="30">
        <f>A101+1</f>
        <v/>
      </c>
      <c r="B102" s="31">
        <f>IF($A102&gt;LastT,0,IF($B$3="exps",B101*(1+InflRate+IF($A102&gt;=T0,$G$3,0)),B101/(1+InflRate)))</f>
        <v/>
      </c>
      <c r="C102" s="31">
        <f>IF($A102&gt;LastT,0,IF(AND($D$3&lt;&gt;0,$A102&gt;=T0,Policy_Sched!$B102&lt;LastAge),1+$D$3*$E$3,1))</f>
        <v/>
      </c>
      <c r="D102" s="36">
        <f>IF($A102&gt;LastT,0,IF($C$3="up",MIN(Policy_Sched!$E102*(1+IF($A102&gt;=T0,$E$3,0)),$F$3),IF($C$3="down",MAX(Policy_Sched!$E102*(1-IF($A102&gt;=T0,$E$3,0)),Policy_Sched!$E102-$F$3),Policy_Sched!$E102)))</f>
        <v/>
      </c>
      <c r="E102" s="37">
        <f>IF($A102&gt;LastT,0,J101-K101-L101)</f>
        <v/>
      </c>
      <c r="F102" s="37">
        <f>IF($A102&gt;LastT,0,IF($A102=PolicyTerm,E102,0))</f>
        <v/>
      </c>
      <c r="G102" s="37">
        <f>IF($A102&gt;LastT,0,E102-F102)</f>
        <v/>
      </c>
      <c r="H102" s="37">
        <f>IF($A102=0,PolicyCount,0)</f>
        <v/>
      </c>
      <c r="I102" s="37">
        <f>IF($A102&gt;LastT,0,IF(AND($C$3="mass",$A102=T0),(G102+H102)*$E$3,0))</f>
        <v/>
      </c>
      <c r="J102" s="37">
        <f>IF($A102&gt;LastT,0,G102+H102-I102)</f>
        <v/>
      </c>
      <c r="K102" s="37">
        <f>IF($A102&gt;LastT,0,J102*Policy_Sched!$C102*Policy_Sched!$D102*C102)</f>
        <v/>
      </c>
      <c r="L102" s="41">
        <f>J102*D102</f>
        <v/>
      </c>
      <c r="M102" s="38">
        <f>IF($A102&gt;LastT,0,(SizeAnnPrem*ExpsMaintAnnPrem+(SumAssured*ExpsMaintSA+ExpsMaintPol)*B102)*(1+IF($B$3="exps",$E$3,0)))</f>
        <v/>
      </c>
      <c r="N102" s="38">
        <f>SizePremium*J102</f>
        <v/>
      </c>
      <c r="O102" s="38">
        <f>SumAssured*K102</f>
        <v/>
      </c>
      <c r="P102" s="38">
        <f>Policy_Sched!$I102*(L102+I102)</f>
        <v/>
      </c>
      <c r="Q102" s="42">
        <f>O102+P102</f>
        <v/>
      </c>
      <c r="R102" s="38">
        <f>IF($A102=0,SizeExpsAcq0*H102,0)</f>
        <v/>
      </c>
      <c r="S102" s="38">
        <f>IF($A102=0,SizeExpsCommInit0*J102,0)</f>
        <v/>
      </c>
      <c r="T102" s="38">
        <f>Policy_Sched!$J102*J102</f>
        <v/>
      </c>
      <c r="U102" s="42">
        <f>M102*J102</f>
        <v/>
      </c>
      <c r="V102" s="42">
        <f>S102+T102+R102+U102</f>
        <v/>
      </c>
      <c r="W102" s="38">
        <f>IF($A102&gt;LastT,0,N102+W103/(1+Policy_Sched!$K102))</f>
        <v/>
      </c>
      <c r="X102" s="38">
        <f>IF($A102&gt;LastT,0,(-Q102+X103)/(1+Policy_Sched!$K102))</f>
        <v/>
      </c>
      <c r="Y102" s="38">
        <f>IF($A102&gt;LastT,0,-V102+Y103/(1+Policy_Sched!$K102))</f>
        <v/>
      </c>
      <c r="Z102" s="42">
        <f>W102+Y102+X102</f>
        <v/>
      </c>
      <c r="AA102" s="38">
        <f>IF($A102&gt;LastT,0,N102-V102-Q102/(1+Policy_Sched!$K102)+Z103/(1+Policy_Sched!$K102))</f>
        <v/>
      </c>
    </row>
    <row r="103">
      <c r="A103" s="30">
        <f>A102+1</f>
        <v/>
      </c>
      <c r="B103" s="31">
        <f>IF($A103&gt;LastT,0,IF($B$3="exps",B102*(1+InflRate+IF($A103&gt;=T0,$G$3,0)),B102/(1+InflRate)))</f>
        <v/>
      </c>
      <c r="C103" s="31">
        <f>IF($A103&gt;LastT,0,IF(AND($D$3&lt;&gt;0,$A103&gt;=T0,Policy_Sched!$B103&lt;LastAge),1+$D$3*$E$3,1))</f>
        <v/>
      </c>
      <c r="D103" s="36">
        <f>IF($A103&gt;LastT,0,IF($C$3="up",MIN(Policy_Sched!$E103*(1+IF($A103&gt;=T0,$E$3,0)),$F$3),IF($C$3="down",MAX(Policy_Sched!$E103*(1-IF($A103&gt;=T0,$E$3,0)),Policy_Sched!$E103-$F$3),Policy_Sched!$E103)))</f>
        <v/>
      </c>
      <c r="E103" s="37">
        <f>IF($A103&gt;LastT,0,J102-K102-L102)</f>
        <v/>
      </c>
      <c r="F103" s="37">
        <f>IF($A103&gt;LastT,0,IF($A103=PolicyTerm,E103,0))</f>
        <v/>
      </c>
      <c r="G103" s="37">
        <f>IF($A103&gt;LastT,0,E103-F103)</f>
        <v/>
      </c>
      <c r="H103" s="37">
        <f>IF($A103=0,PolicyCount,0)</f>
        <v/>
      </c>
      <c r="I103" s="37">
        <f>IF($A103&gt;LastT,0,IF(AND($C$3="mass",$A103=T0),(G103+H103)*$E$3,0))</f>
        <v/>
      </c>
      <c r="J103" s="37">
        <f>IF($A103&gt;LastT,0,G103+H103-I103)</f>
        <v/>
      </c>
      <c r="K103" s="37">
        <f>IF($A103&gt;LastT,0,J103*Policy_Sched!$C103*Policy_Sched!$D103*C103)</f>
        <v/>
      </c>
      <c r="L103" s="41">
        <f>J103*D103</f>
        <v/>
      </c>
      <c r="M103" s="38">
        <f>IF($A103&gt;LastT,0,(SizeAnnPrem*ExpsMaintAnnPrem+(SumAssured*ExpsMaintSA+ExpsMaintPol)*B103)*(1+IF($B$3="exps",$E$3,0)))</f>
        <v/>
      </c>
      <c r="N103" s="38">
        <f>SizePremium*J103</f>
        <v/>
      </c>
      <c r="O103" s="38">
        <f>SumAssured*K103</f>
        <v/>
      </c>
      <c r="P103" s="38">
        <f>Policy_Sched!$I103*(L103+I103)</f>
        <v/>
      </c>
      <c r="Q103" s="42">
        <f>O103+P103</f>
        <v/>
      </c>
      <c r="R103" s="38">
        <f>IF($A103=0,SizeExpsAcq0*H103,0)</f>
        <v/>
      </c>
      <c r="S103" s="38">
        <f>IF($A103=0,SizeExpsCommInit0*J103,0)</f>
        <v/>
      </c>
      <c r="T103" s="38">
        <f>Policy_Sched!$J103*J103</f>
        <v/>
      </c>
      <c r="U103" s="42">
        <f>M103*J103</f>
        <v/>
      </c>
      <c r="V103" s="42">
        <f>S103+T103+R103+U103</f>
        <v/>
      </c>
      <c r="W103" s="38">
        <f>IF($A103&gt;LastT,0,N103+W104/(1+Policy_Sched!$K103))</f>
        <v/>
      </c>
      <c r="X103" s="38">
        <f>IF($A103&gt;LastT,0,(-Q103+X104)/(1+Policy_Sched!$K103))</f>
        <v/>
      </c>
      <c r="Y103" s="38">
        <f>IF($A103&gt;LastT,0,-V103+Y104/(1+Policy_Sched!$K103))</f>
        <v/>
      </c>
      <c r="Z103" s="42">
        <f>W103+Y103+X103</f>
        <v/>
      </c>
      <c r="AA103" s="38">
        <f>IF($A103&gt;LastT,0,N103-V103-Q103/(1+Policy_Sched!$K103)+Z104/(1+Policy_Sched!$K103))</f>
        <v/>
      </c>
    </row>
    <row r="104">
      <c r="A104" s="30">
        <f>A103+1</f>
        <v/>
      </c>
      <c r="B104" s="31">
        <f>IF($A104&gt;LastT,0,IF($B$3="exps",B103*(1+InflRate+IF($A104&gt;=T0,$G$3,0)),B103/(1+InflRate)))</f>
        <v/>
      </c>
      <c r="C104" s="31">
        <f>IF($A104&gt;LastT,0,IF(AND($D$3&lt;&gt;0,$A104&gt;=T0,Policy_Sched!$B104&lt;LastAge),1+$D$3*$E$3,1))</f>
        <v/>
      </c>
      <c r="D104" s="36">
        <f>IF($A104&gt;LastT,0,IF($C$3="up",MIN(Policy_Sched!$E104*(1+IF($A104&gt;=T0,$E$3,0)),$F$3),IF($C$3="down",MAX(Policy_Sched!$E104*(1-IF($A104&gt;=T0,$E$3,0)),Policy_Sched!$E104-$F$3),Policy_Sched!$E104)))</f>
        <v/>
      </c>
      <c r="E104" s="37">
        <f>IF($A104&gt;LastT,0,J103-K103-L103)</f>
        <v/>
      </c>
      <c r="F104" s="37">
        <f>IF($A104&gt;LastT,0,IF($A104=PolicyTerm,E104,0))</f>
        <v/>
      </c>
      <c r="G104" s="37">
        <f>IF($A104&gt;LastT,0,E104-F104)</f>
        <v/>
      </c>
      <c r="H104" s="37">
        <f>IF($A104=0,PolicyCount,0)</f>
        <v/>
      </c>
      <c r="I104" s="37">
        <f>IF($A104&gt;LastT,0,IF(AND($C$3="mass",$A104=T0),(G104+H104)*$E$3,0))</f>
        <v/>
      </c>
      <c r="J104" s="37">
        <f>IF($A104&gt;LastT,0,G104+H104-I104)</f>
        <v/>
      </c>
      <c r="K104" s="37">
        <f>IF($A104&gt;LastT,0,J104*Policy_Sched!$C104*Policy_Sched!$D104*C104)</f>
        <v/>
      </c>
      <c r="L104" s="41">
        <f>J104*D104</f>
        <v/>
      </c>
      <c r="M104" s="38">
        <f>IF($A104&gt;LastT,0,(SizeAnnPrem*ExpsMaintAnnPrem+(SumAssured*ExpsMaintSA+ExpsMaintPol)*B104)*(1+IF($B$3="exps",$E$3,0)))</f>
        <v/>
      </c>
      <c r="N104" s="38">
        <f>SizePremium*J104</f>
        <v/>
      </c>
      <c r="O104" s="38">
        <f>SumAssured*K104</f>
        <v/>
      </c>
      <c r="P104" s="38">
        <f>Policy_Sched!$I104*(L104+I104)</f>
        <v/>
      </c>
      <c r="Q104" s="42">
        <f>O104+P104</f>
        <v/>
      </c>
      <c r="R104" s="38">
        <f>IF($A104=0,SizeExpsAcq0*H104,0)</f>
        <v/>
      </c>
      <c r="S104" s="38">
        <f>IF($A104=0,SizeExpsCommInit0*J104,0)</f>
        <v/>
      </c>
      <c r="T104" s="38">
        <f>Policy_Sched!$J104*J104</f>
        <v/>
      </c>
      <c r="U104" s="42">
        <f>M104*J104</f>
        <v/>
      </c>
      <c r="V104" s="42">
        <f>S104+T104+R104+U104</f>
        <v/>
      </c>
      <c r="W104" s="38">
        <f>IF($A104&gt;LastT,0,N104+W105/(1+Policy_Sched!$K104))</f>
        <v/>
      </c>
      <c r="X104" s="38">
        <f>IF($A104&gt;LastT,0,(-Q104+X105)/(1+Policy_Sched!$K104))</f>
        <v/>
      </c>
      <c r="Y104" s="38">
        <f>IF($A104&gt;LastT,0,-V104+Y105/(1+Policy_Sched!$K104))</f>
        <v/>
      </c>
      <c r="Z104" s="42">
        <f>W104+Y104+X104</f>
        <v/>
      </c>
      <c r="AA104" s="38">
        <f>IF($A104&gt;LastT,0,N104-V104-Q104/(1+Policy_Sched!$K104)+Z105/(1+Policy_Sched!$K104))</f>
        <v/>
      </c>
    </row>
    <row r="105">
      <c r="A105" s="30">
        <f>A104+1</f>
        <v/>
      </c>
      <c r="B105" s="31">
        <f>IF($A105&gt;LastT,0,IF($B$3="exps",B104*(1+InflRate+IF($A105&gt;=T0,$G$3,0)),B104/(1+InflRate)))</f>
        <v/>
      </c>
      <c r="C105" s="31">
        <f>IF($A105&gt;LastT,0,IF(AND($D$3&lt;&gt;0,$A105&gt;=T0,Policy_Sched!$B105&lt;LastAge),1+$D$3*$E$3,1))</f>
        <v/>
      </c>
      <c r="D105" s="36">
        <f>IF($A105&gt;LastT,0,IF($C$3="up",MIN(Policy_Sched!$E105*(1+IF($A105&gt;=T0,$E$3,0)),$F$3),IF($C$3="down",MAX(Policy_Sched!$E105*(1-IF($A105&gt;=T0,$E$3,0)),Policy_Sched!$E105-$F$3),Policy_Sched!$E105)))</f>
        <v/>
      </c>
      <c r="E105" s="37">
        <f>IF($A105&gt;LastT,0,J104-K104-L104)</f>
        <v/>
      </c>
      <c r="F105" s="37">
        <f>IF($A105&gt;LastT,0,IF($A105=PolicyTerm,E105,0))</f>
        <v/>
      </c>
      <c r="G105" s="37">
        <f>IF($A105&gt;LastT,0,E105-F105)</f>
        <v/>
      </c>
      <c r="H105" s="37">
        <f>IF($A105=0,PolicyCount,0)</f>
        <v/>
      </c>
      <c r="I105" s="37">
        <f>IF($A105&gt;LastT,0,IF(AND($C$3="mass",$A105=T0),(G105+H105)*$E$3,0))</f>
        <v/>
      </c>
      <c r="J105" s="37">
        <f>IF($A105&gt;LastT,0,G105+H105-I105)</f>
        <v/>
      </c>
      <c r="K105" s="37">
        <f>IF($A105&gt;LastT,0,J105*Policy_Sched!$C105*Policy_Sched!$D105*C105)</f>
        <v/>
      </c>
      <c r="L105" s="41">
        <f>J105*D105</f>
        <v/>
      </c>
      <c r="M105" s="38">
        <f>IF($A105&gt;LastT,0,(SizeAnnPrem*ExpsMaintAnnPrem+(SumAssured*ExpsMaintSA+ExpsMaintPol)*B105)*(1+IF($B$3="exps",$E$3,0)))</f>
        <v/>
      </c>
      <c r="N105" s="38">
        <f>SizePremium*J105</f>
        <v/>
      </c>
      <c r="O105" s="38">
        <f>SumAssured*K105</f>
        <v/>
      </c>
      <c r="P105" s="38">
        <f>Policy_Sched!$I105*(L105+I105)</f>
        <v/>
      </c>
      <c r="Q105" s="42">
        <f>O105+P105</f>
        <v/>
      </c>
      <c r="R105" s="38">
        <f>IF($A105=0,SizeExpsAcq0*H105,0)</f>
        <v/>
      </c>
      <c r="S105" s="38">
        <f>IF($A105=0,SizeExpsCommInit0*J105,0)</f>
        <v/>
      </c>
      <c r="T105" s="38">
        <f>Policy_Sched!$J105*J105</f>
        <v/>
      </c>
      <c r="U105" s="42">
        <f>M105*J105</f>
        <v/>
      </c>
      <c r="V105" s="42">
        <f>S105+T105+R105+U105</f>
        <v/>
      </c>
      <c r="W105" s="38">
        <f>IF($A105&gt;LastT,0,N105+W106/(1+Policy_Sched!$K105))</f>
        <v/>
      </c>
      <c r="X105" s="38">
        <f>IF($A105&gt;LastT,0,(-Q105+X106)/(1+Policy_Sched!$K105))</f>
        <v/>
      </c>
      <c r="Y105" s="38">
        <f>IF($A105&gt;LastT,0,-V105+Y106/(1+Policy_Sched!$K105))</f>
        <v/>
      </c>
      <c r="Z105" s="42">
        <f>W105+Y105+X105</f>
        <v/>
      </c>
      <c r="AA105" s="38">
        <f>IF($A105&gt;LastT,0,N105-V105-Q105/(1+Policy_Sched!$K105)+Z106/(1+Policy_Sched!$K105))</f>
        <v/>
      </c>
    </row>
    <row r="106">
      <c r="A106" s="30">
        <f>A105+1</f>
        <v/>
      </c>
      <c r="B106" s="31">
        <f>IF($A106&gt;LastT,0,IF($B$3="exps",B105*(1+InflRate+IF($A106&gt;=T0,$G$3,0)),B105/(1+InflRate)))</f>
        <v/>
      </c>
      <c r="C106" s="31">
        <f>IF($A106&gt;LastT,0,IF(AND($D$3&lt;&gt;0,$A106&gt;=T0,Policy_Sched!$B106&lt;LastAge),1+$D$3*$E$3,1))</f>
        <v/>
      </c>
      <c r="D106" s="36">
        <f>IF($A106&gt;LastT,0,IF($C$3="up",MIN(Policy_Sched!$E106*(1+IF($A106&gt;=T0,$E$3,0)),$F$3),IF($C$3="down",MAX(Policy_Sched!$E106*(1-IF($A106&gt;=T0,$E$3,0)),Policy_Sched!$E106-$F$3),Policy_Sched!$E106)))</f>
        <v/>
      </c>
      <c r="E106" s="37">
        <f>IF($A106&gt;LastT,0,J105-K105-L105)</f>
        <v/>
      </c>
      <c r="F106" s="37">
        <f>IF($A106&gt;LastT,0,IF($A106=PolicyTerm,E106,0))</f>
        <v/>
      </c>
      <c r="G106" s="37">
        <f>IF($A106&gt;LastT,0,E106-F106)</f>
        <v/>
      </c>
      <c r="H106" s="37">
        <f>IF($A106=0,PolicyCount,0)</f>
        <v/>
      </c>
      <c r="I106" s="37">
        <f>IF($A106&gt;LastT,0,IF(AND($C$3="mass",$A106=T0),(G106+H106)*$E$3,0))</f>
        <v/>
      </c>
      <c r="J106" s="37">
        <f>IF($A106&gt;LastT,0,G106+H106-I106)</f>
        <v/>
      </c>
      <c r="K106" s="37">
        <f>IF($A106&gt;LastT,0,J106*Policy_Sched!$C106*Policy_Sched!$D106*C106)</f>
        <v/>
      </c>
      <c r="L106" s="41">
        <f>J106*D106</f>
        <v/>
      </c>
      <c r="M106" s="38">
        <f>IF($A106&gt;LastT,0,(SizeAnnPrem*ExpsMaintAnnPrem+(SumAssured*ExpsMaintSA+ExpsMaintPol)*B106)*(1+IF($B$3="exps",$E$3,0)))</f>
        <v/>
      </c>
      <c r="N106" s="38">
        <f>SizePremium*J106</f>
        <v/>
      </c>
      <c r="O106" s="38">
        <f>SumAssured*K106</f>
        <v/>
      </c>
      <c r="P106" s="38">
        <f>Policy_Sched!$I106*(L106+I106)</f>
        <v/>
      </c>
      <c r="Q106" s="42">
        <f>O106+P106</f>
        <v/>
      </c>
      <c r="R106" s="38">
        <f>IF($A106=0,SizeExpsAcq0*H106,0)</f>
        <v/>
      </c>
      <c r="S106" s="38">
        <f>IF($A106=0,SizeExpsCommInit0*J106,0)</f>
        <v/>
      </c>
      <c r="T106" s="38">
        <f>Policy_Sched!$J106*J106</f>
        <v/>
      </c>
      <c r="U106" s="42">
        <f>M106*J106</f>
        <v/>
      </c>
      <c r="V106" s="42">
        <f>S106+T106+R106+U106</f>
        <v/>
      </c>
      <c r="W106" s="38">
        <f>IF($A106&gt;LastT,0,N106+W107/(1+Policy_Sched!$K106))</f>
        <v/>
      </c>
      <c r="X106" s="38">
        <f>IF($A106&gt;LastT,0,(-Q106+X107)/(1+Policy_Sched!$K106))</f>
        <v/>
      </c>
      <c r="Y106" s="38">
        <f>IF($A106&gt;LastT,0,-V106+Y107/(1+Policy_Sched!$K106))</f>
        <v/>
      </c>
      <c r="Z106" s="42">
        <f>W106+Y106+X106</f>
        <v/>
      </c>
      <c r="AA106" s="38">
        <f>IF($A106&gt;LastT,0,N106-V106-Q106/(1+Policy_Sched!$K106)+Z107/(1+Policy_Sched!$K106))</f>
        <v/>
      </c>
    </row>
    <row r="107">
      <c r="A107" s="30">
        <f>A106+1</f>
        <v/>
      </c>
      <c r="B107" s="31">
        <f>IF($A107&gt;LastT,0,IF($B$3="exps",B106*(1+InflRate+IF($A107&gt;=T0,$G$3,0)),B106/(1+InflRate)))</f>
        <v/>
      </c>
      <c r="C107" s="31">
        <f>IF($A107&gt;LastT,0,IF(AND($D$3&lt;&gt;0,$A107&gt;=T0,Policy_Sched!$B107&lt;LastAge),1+$D$3*$E$3,1))</f>
        <v/>
      </c>
      <c r="D107" s="36">
        <f>IF($A107&gt;LastT,0,IF($C$3="up",MIN(Policy_Sched!$E107*(1+IF($A107&gt;=T0,$E$3,0)),$F$3),IF($C$3="down",MAX(Policy_Sched!$E107*(1-IF($A107&gt;=T0,$E$3,0)),Policy_Sched!$E107-$F$3),Policy_Sched!$E107)))</f>
        <v/>
      </c>
      <c r="E107" s="37">
        <f>IF($A107&gt;LastT,0,J106-K106-L106)</f>
        <v/>
      </c>
      <c r="F107" s="37">
        <f>IF($A107&gt;LastT,0,IF($A107=PolicyTerm,E107,0))</f>
        <v/>
      </c>
      <c r="G107" s="37">
        <f>IF($A107&gt;LastT,0,E107-F107)</f>
        <v/>
      </c>
      <c r="H107" s="37">
        <f>IF($A107=0,PolicyCount,0)</f>
        <v/>
      </c>
      <c r="I107" s="37">
        <f>IF($A107&gt;LastT,0,IF(AND($C$3="mass",$A107=T0),(G107+H107)*$E$3,0))</f>
        <v/>
      </c>
      <c r="J107" s="37">
        <f>IF($A107&gt;LastT,0,G107+H107-I107)</f>
        <v/>
      </c>
      <c r="K107" s="37">
        <f>IF($A107&gt;LastT,0,J107*Policy_Sched!$C107*Policy_Sched!$D107*C107)</f>
        <v/>
      </c>
      <c r="L107" s="41">
        <f>J107*D107</f>
        <v/>
      </c>
      <c r="M107" s="38">
        <f>IF($A107&gt;LastT,0,(SizeAnnPrem*ExpsMaintAnnPrem+(SumAssured*ExpsMaintSA+ExpsMaintPol)*B107)*(1+IF($B$3="exps",$E$3,0)))</f>
        <v/>
      </c>
      <c r="N107" s="38">
        <f>SizePremium*J107</f>
        <v/>
      </c>
      <c r="O107" s="38">
        <f>SumAssured*K107</f>
        <v/>
      </c>
      <c r="P107" s="38">
        <f>Policy_Sched!$I107*(L107+I107)</f>
        <v/>
      </c>
      <c r="Q107" s="42">
        <f>O107+P107</f>
        <v/>
      </c>
      <c r="R107" s="38">
        <f>IF($A107=0,SizeExpsAcq0*H107,0)</f>
        <v/>
      </c>
      <c r="S107" s="38">
        <f>IF($A107=0,SizeExpsCommInit0*J107,0)</f>
        <v/>
      </c>
      <c r="T107" s="38">
        <f>Policy_Sched!$J107*J107</f>
        <v/>
      </c>
      <c r="U107" s="42">
        <f>M107*J107</f>
        <v/>
      </c>
      <c r="V107" s="42">
        <f>S107+T107+R107+U107</f>
        <v/>
      </c>
      <c r="W107" s="38">
        <f>IF($A107&gt;LastT,0,N107+W108/(1+Policy_Sched!$K107))</f>
        <v/>
      </c>
      <c r="X107" s="38">
        <f>IF($A107&gt;LastT,0,(-Q107+X108)/(1+Policy_Sched!$K107))</f>
        <v/>
      </c>
      <c r="Y107" s="38">
        <f>IF($A107&gt;LastT,0,-V107+Y108/(1+Policy_Sched!$K107))</f>
        <v/>
      </c>
      <c r="Z107" s="42">
        <f>W107+Y107+X107</f>
        <v/>
      </c>
      <c r="AA107" s="38">
        <f>IF($A107&gt;LastT,0,N107-V107-Q107/(1+Policy_Sched!$K107)+Z108/(1+Policy_Sched!$K107))</f>
        <v/>
      </c>
    </row>
    <row r="108">
      <c r="A108" s="30">
        <f>A107+1</f>
        <v/>
      </c>
      <c r="B108" s="31">
        <f>IF($A108&gt;LastT,0,IF($B$3="exps",B107*(1+InflRate+IF($A108&gt;=T0,$G$3,0)),B107/(1+InflRate)))</f>
        <v/>
      </c>
      <c r="C108" s="31">
        <f>IF($A108&gt;LastT,0,IF(AND($D$3&lt;&gt;0,$A108&gt;=T0,Policy_Sched!$B108&lt;LastAge),1+$D$3*$E$3,1))</f>
        <v/>
      </c>
      <c r="D108" s="36">
        <f>IF($A108&gt;LastT,0,IF($C$3="up",MIN(Policy_Sched!$E108*(1+IF($A108&gt;=T0,$E$3,0)),$F$3),IF($C$3="down",MAX(Policy_Sched!$E108*(1-IF($A108&gt;=T0,$E$3,0)),Policy_Sched!$E108-$F$3),Policy_Sched!$E108)))</f>
        <v/>
      </c>
      <c r="E108" s="37">
        <f>IF($A108&gt;LastT,0,J107-K107-L107)</f>
        <v/>
      </c>
      <c r="F108" s="37">
        <f>IF($A108&gt;LastT,0,IF($A108=PolicyTerm,E108,0))</f>
        <v/>
      </c>
      <c r="G108" s="37">
        <f>IF($A108&gt;LastT,0,E108-F108)</f>
        <v/>
      </c>
      <c r="H108" s="37">
        <f>IF($A108=0,PolicyCount,0)</f>
        <v/>
      </c>
      <c r="I108" s="37">
        <f>IF($A108&gt;LastT,0,IF(AND($C$3="mass",$A108=T0),(G108+H108)*$E$3,0))</f>
        <v/>
      </c>
      <c r="J108" s="37">
        <f>IF($A108&gt;LastT,0,G108+H108-I108)</f>
        <v/>
      </c>
      <c r="K108" s="37">
        <f>IF($A108&gt;LastT,0,J108*Policy_Sched!$C108*Policy_Sched!$D108*C108)</f>
        <v/>
      </c>
      <c r="L108" s="41">
        <f>J108*D108</f>
        <v/>
      </c>
      <c r="M108" s="38">
        <f>IF($A108&gt;LastT,0,(SizeAnnPrem*ExpsMaintAnnPrem+(SumAssured*ExpsMaintSA+ExpsMaintPol)*B108)*(1+IF($B$3="exps",$E$3,0)))</f>
        <v/>
      </c>
      <c r="N108" s="38">
        <f>SizePremium*J108</f>
        <v/>
      </c>
      <c r="O108" s="38">
        <f>SumAssured*K108</f>
        <v/>
      </c>
      <c r="P108" s="38">
        <f>Policy_Sched!$I108*(L108+I108)</f>
        <v/>
      </c>
      <c r="Q108" s="42">
        <f>O108+P108</f>
        <v/>
      </c>
      <c r="R108" s="38">
        <f>IF($A108=0,SizeExpsAcq0*H108,0)</f>
        <v/>
      </c>
      <c r="S108" s="38">
        <f>IF($A108=0,SizeExpsCommInit0*J108,0)</f>
        <v/>
      </c>
      <c r="T108" s="38">
        <f>Policy_Sched!$J108*J108</f>
        <v/>
      </c>
      <c r="U108" s="42">
        <f>M108*J108</f>
        <v/>
      </c>
      <c r="V108" s="42">
        <f>S108+T108+R108+U108</f>
        <v/>
      </c>
      <c r="W108" s="38">
        <f>IF($A108&gt;LastT,0,N108+W109/(1+Policy_Sched!$K108))</f>
        <v/>
      </c>
      <c r="X108" s="38">
        <f>IF($A108&gt;LastT,0,(-Q108+X109)/(1+Policy_Sched!$K108))</f>
        <v/>
      </c>
      <c r="Y108" s="38">
        <f>IF($A108&gt;LastT,0,-V108+Y109/(1+Policy_Sched!$K108))</f>
        <v/>
      </c>
      <c r="Z108" s="42">
        <f>W108+Y108+X108</f>
        <v/>
      </c>
      <c r="AA108" s="38">
        <f>IF($A108&gt;LastT,0,N108-V108-Q108/(1+Policy_Sched!$K108)+Z109/(1+Policy_Sched!$K108))</f>
        <v/>
      </c>
    </row>
    <row r="109">
      <c r="A109" s="30">
        <f>A108+1</f>
        <v/>
      </c>
      <c r="B109" s="31">
        <f>IF($A109&gt;LastT,0,IF($B$3="exps",B108*(1+InflRate+IF($A109&gt;=T0,$G$3,0)),B108/(1+InflRate)))</f>
        <v/>
      </c>
      <c r="C109" s="31">
        <f>IF($A109&gt;LastT,0,IF(AND($D$3&lt;&gt;0,$A109&gt;=T0,Policy_Sched!$B109&lt;LastAge),1+$D$3*$E$3,1))</f>
        <v/>
      </c>
      <c r="D109" s="36">
        <f>IF($A109&gt;LastT,0,IF($C$3="up",MIN(Policy_Sched!$E109*(1+IF($A109&gt;=T0,$E$3,0)),$F$3),IF($C$3="down",MAX(Policy_Sched!$E109*(1-IF($A109&gt;=T0,$E$3,0)),Policy_Sched!$E109-$F$3),Policy_Sched!$E109)))</f>
        <v/>
      </c>
      <c r="E109" s="37">
        <f>IF($A109&gt;LastT,0,J108-K108-L108)</f>
        <v/>
      </c>
      <c r="F109" s="37">
        <f>IF($A109&gt;LastT,0,IF($A109=PolicyTerm,E109,0))</f>
        <v/>
      </c>
      <c r="G109" s="37">
        <f>IF($A109&gt;LastT,0,E109-F109)</f>
        <v/>
      </c>
      <c r="H109" s="37">
        <f>IF($A109=0,PolicyCount,0)</f>
        <v/>
      </c>
      <c r="I109" s="37">
        <f>IF($A109&gt;LastT,0,IF(AND($C$3="mass",$A109=T0),(G109+H109)*$E$3,0))</f>
        <v/>
      </c>
      <c r="J109" s="37">
        <f>IF($A109&gt;LastT,0,G109+H109-I109)</f>
        <v/>
      </c>
      <c r="K109" s="37">
        <f>IF($A109&gt;LastT,0,J109*Policy_Sched!$C109*Policy_Sched!$D109*C109)</f>
        <v/>
      </c>
      <c r="L109" s="41">
        <f>J109*D109</f>
        <v/>
      </c>
      <c r="M109" s="38">
        <f>IF($A109&gt;LastT,0,(SizeAnnPrem*ExpsMaintAnnPrem+(SumAssured*ExpsMaintSA+ExpsMaintPol)*B109)*(1+IF($B$3="exps",$E$3,0)))</f>
        <v/>
      </c>
      <c r="N109" s="38">
        <f>SizePremium*J109</f>
        <v/>
      </c>
      <c r="O109" s="38">
        <f>SumAssured*K109</f>
        <v/>
      </c>
      <c r="P109" s="38">
        <f>Policy_Sched!$I109*(L109+I109)</f>
        <v/>
      </c>
      <c r="Q109" s="42">
        <f>O109+P109</f>
        <v/>
      </c>
      <c r="R109" s="38">
        <f>IF($A109=0,SizeExpsAcq0*H109,0)</f>
        <v/>
      </c>
      <c r="S109" s="38">
        <f>IF($A109=0,SizeExpsCommInit0*J109,0)</f>
        <v/>
      </c>
      <c r="T109" s="38">
        <f>Policy_Sched!$J109*J109</f>
        <v/>
      </c>
      <c r="U109" s="42">
        <f>M109*J109</f>
        <v/>
      </c>
      <c r="V109" s="42">
        <f>S109+T109+R109+U109</f>
        <v/>
      </c>
      <c r="W109" s="38">
        <f>IF($A109&gt;LastT,0,N109+W110/(1+Policy_Sched!$K109))</f>
        <v/>
      </c>
      <c r="X109" s="38">
        <f>IF($A109&gt;LastT,0,(-Q109+X110)/(1+Policy_Sched!$K109))</f>
        <v/>
      </c>
      <c r="Y109" s="38">
        <f>IF($A109&gt;LastT,0,-V109+Y110/(1+Policy_Sched!$K109))</f>
        <v/>
      </c>
      <c r="Z109" s="42">
        <f>W109+Y109+X109</f>
        <v/>
      </c>
      <c r="AA109" s="38">
        <f>IF($A109&gt;LastT,0,N109-V109-Q109/(1+Policy_Sched!$K109)+Z110/(1+Policy_Sched!$K109))</f>
        <v/>
      </c>
    </row>
    <row r="110">
      <c r="A110" s="30">
        <f>A109+1</f>
        <v/>
      </c>
      <c r="B110" s="31">
        <f>IF($A110&gt;LastT,0,IF($B$3="exps",B109*(1+InflRate+IF($A110&gt;=T0,$G$3,0)),B109/(1+InflRate)))</f>
        <v/>
      </c>
      <c r="C110" s="31">
        <f>IF($A110&gt;LastT,0,IF(AND($D$3&lt;&gt;0,$A110&gt;=T0,Policy_Sched!$B110&lt;LastAge),1+$D$3*$E$3,1))</f>
        <v/>
      </c>
      <c r="D110" s="36">
        <f>IF($A110&gt;LastT,0,IF($C$3="up",MIN(Policy_Sched!$E110*(1+IF($A110&gt;=T0,$E$3,0)),$F$3),IF($C$3="down",MAX(Policy_Sched!$E110*(1-IF($A110&gt;=T0,$E$3,0)),Policy_Sched!$E110-$F$3),Policy_Sched!$E110)))</f>
        <v/>
      </c>
      <c r="E110" s="37">
        <f>IF($A110&gt;LastT,0,J109-K109-L109)</f>
        <v/>
      </c>
      <c r="F110" s="37">
        <f>IF($A110&gt;LastT,0,IF($A110=PolicyTerm,E110,0))</f>
        <v/>
      </c>
      <c r="G110" s="37">
        <f>IF($A110&gt;LastT,0,E110-F110)</f>
        <v/>
      </c>
      <c r="H110" s="37">
        <f>IF($A110=0,PolicyCount,0)</f>
        <v/>
      </c>
      <c r="I110" s="37">
        <f>IF($A110&gt;LastT,0,IF(AND($C$3="mass",$A110=T0),(G110+H110)*$E$3,0))</f>
        <v/>
      </c>
      <c r="J110" s="37">
        <f>IF($A110&gt;LastT,0,G110+H110-I110)</f>
        <v/>
      </c>
      <c r="K110" s="37">
        <f>IF($A110&gt;LastT,0,J110*Policy_Sched!$C110*Policy_Sched!$D110*C110)</f>
        <v/>
      </c>
      <c r="L110" s="41">
        <f>J110*D110</f>
        <v/>
      </c>
      <c r="M110" s="38">
        <f>IF($A110&gt;LastT,0,(SizeAnnPrem*ExpsMaintAnnPrem+(SumAssured*ExpsMaintSA+ExpsMaintPol)*B110)*(1+IF($B$3="exps",$E$3,0)))</f>
        <v/>
      </c>
      <c r="N110" s="38">
        <f>SizePremium*J110</f>
        <v/>
      </c>
      <c r="O110" s="38">
        <f>SumAssured*K110</f>
        <v/>
      </c>
      <c r="P110" s="38">
        <f>Policy_Sched!$I110*(L110+I110)</f>
        <v/>
      </c>
      <c r="Q110" s="42">
        <f>O110+P110</f>
        <v/>
      </c>
      <c r="R110" s="38">
        <f>IF($A110=0,SizeExpsAcq0*H110,0)</f>
        <v/>
      </c>
      <c r="S110" s="38">
        <f>IF($A110=0,SizeExpsCommInit0*J110,0)</f>
        <v/>
      </c>
      <c r="T110" s="38">
        <f>Policy_Sched!$J110*J110</f>
        <v/>
      </c>
      <c r="U110" s="42">
        <f>M110*J110</f>
        <v/>
      </c>
      <c r="V110" s="42">
        <f>S110+T110+R110+U110</f>
        <v/>
      </c>
      <c r="W110" s="38">
        <f>IF($A110&gt;LastT,0,N110+W111/(1+Policy_Sched!$K110))</f>
        <v/>
      </c>
      <c r="X110" s="38">
        <f>IF($A110&gt;LastT,0,(-Q110+X111)/(1+Policy_Sched!$K110))</f>
        <v/>
      </c>
      <c r="Y110" s="38">
        <f>IF($A110&gt;LastT,0,-V110+Y111/(1+Policy_Sched!$K110))</f>
        <v/>
      </c>
      <c r="Z110" s="42">
        <f>W110+Y110+X110</f>
        <v/>
      </c>
      <c r="AA110" s="38">
        <f>IF($A110&gt;LastT,0,N110-V110-Q110/(1+Policy_Sched!$K110)+Z111/(1+Policy_Sched!$K110))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2:H51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B2" s="3" t="inlineStr">
        <is>
          <t>Net asset value by scenario — PV of net liability cashflows at t0</t>
        </is>
      </c>
    </row>
    <row r="3">
      <c r="B3" s="10" t="inlineStr">
        <is>
          <t>Scenario</t>
        </is>
      </c>
      <c r="C3" s="10" t="inlineStr">
        <is>
          <t>NAV</t>
        </is>
      </c>
      <c r="D3" s="10" t="inlineStr">
        <is>
          <t>Notes / lifelib cell</t>
        </is>
      </c>
    </row>
    <row r="4">
      <c r="B4" s="14" t="inlineStr">
        <is>
          <t>NetAstValue</t>
        </is>
      </c>
    </row>
    <row r="5">
      <c r="B5" s="5" t="inlineStr">
        <is>
          <t>Base</t>
        </is>
      </c>
      <c r="C5" s="21">
        <f>INDEX(PVNCF_Base,T0+1)</f>
        <v/>
      </c>
      <c r="D5" s="12" t="inlineStr">
        <is>
          <t>NetAstValue() — Projection['base'].PV_NetCashflow(t0)</t>
        </is>
      </c>
    </row>
    <row r="6">
      <c r="B6" s="5" t="inlineStr">
        <is>
          <t>Mortality stress</t>
        </is>
      </c>
      <c r="C6" s="21">
        <f>INDEX(PVNCF_Mort,T0+1)</f>
        <v/>
      </c>
      <c r="D6" s="12" t="inlineStr">
        <is>
          <t>NetAstValue('mort')</t>
        </is>
      </c>
    </row>
    <row r="7">
      <c r="B7" s="5" t="inlineStr">
        <is>
          <t>Longevity stress</t>
        </is>
      </c>
      <c r="C7" s="21">
        <f>INDEX(PVNCF_Longev,T0+1)</f>
        <v/>
      </c>
      <c r="D7" s="12" t="inlineStr">
        <is>
          <t>NetAstValue('longev')</t>
        </is>
      </c>
    </row>
    <row r="8">
      <c r="B8" s="5" t="inlineStr">
        <is>
          <t>Expense stress</t>
        </is>
      </c>
      <c r="C8" s="21">
        <f>INDEX(PVNCF_Exps,T0+1)</f>
        <v/>
      </c>
      <c r="D8" s="12" t="inlineStr">
        <is>
          <t>NetAstValue('exps')</t>
        </is>
      </c>
    </row>
    <row r="9">
      <c r="B9" s="5" t="inlineStr">
        <is>
          <t>Lapse up</t>
        </is>
      </c>
      <c r="C9" s="21">
        <f>INDEX(PVNCF_LapseUp,T0+1)</f>
        <v/>
      </c>
      <c r="D9" s="12" t="inlineStr">
        <is>
          <t>NetAstValue('lapse','up')</t>
        </is>
      </c>
    </row>
    <row r="10">
      <c r="B10" s="5" t="inlineStr">
        <is>
          <t>Lapse down</t>
        </is>
      </c>
      <c r="C10" s="21">
        <f>INDEX(PVNCF_LapseDown,T0+1)</f>
        <v/>
      </c>
      <c r="D10" s="12" t="inlineStr">
        <is>
          <t>NetAstValue('lapse','down')</t>
        </is>
      </c>
    </row>
    <row r="11">
      <c r="B11" s="5" t="inlineStr">
        <is>
          <t>Mass lapse</t>
        </is>
      </c>
      <c r="C11" s="21">
        <f>INDEX(PVNCF_LapseMass,T0+1)</f>
        <v/>
      </c>
      <c r="D11" s="12" t="inlineStr">
        <is>
          <t>NetAstValue('lapse','mass')</t>
        </is>
      </c>
    </row>
    <row r="13">
      <c r="B13" s="3" t="inlineStr">
        <is>
          <t>Lapse risk by shock</t>
        </is>
      </c>
    </row>
    <row r="14">
      <c r="B14" s="10" t="inlineStr">
        <is>
          <t>Shock</t>
        </is>
      </c>
      <c r="C14" s="10" t="inlineStr">
        <is>
          <t>Charge</t>
        </is>
      </c>
      <c r="D14" s="10" t="inlineStr">
        <is>
          <t>Notes / lifelib cell</t>
        </is>
      </c>
    </row>
    <row r="15">
      <c r="B15" s="5" t="inlineStr">
        <is>
          <t>Up</t>
        </is>
      </c>
      <c r="C15" s="29">
        <f>MAX(NAV_Base-NAV_LapseUp,0)</f>
        <v/>
      </c>
      <c r="D15" s="12" t="inlineStr">
        <is>
          <t>LapseRisk(shock)</t>
        </is>
      </c>
    </row>
    <row r="16">
      <c r="B16" s="5" t="inlineStr">
        <is>
          <t>Down</t>
        </is>
      </c>
      <c r="C16" s="29">
        <f>MAX(NAV_Base-NAV_LapseDown,0)</f>
        <v/>
      </c>
      <c r="D16" s="12" t="inlineStr">
        <is>
          <t>LapseRisk(shock)</t>
        </is>
      </c>
    </row>
    <row r="17">
      <c r="B17" s="5" t="inlineStr">
        <is>
          <t>Mass</t>
        </is>
      </c>
      <c r="C17" s="29">
        <f>MAX(NAV_Base-NAV_LapseMass,0)</f>
        <v/>
      </c>
      <c r="D17" s="12" t="inlineStr">
        <is>
          <t>LapseRisk(shock); mass: retail_share = 1 in lifelib, so the non-retail leg vanishes</t>
        </is>
      </c>
    </row>
    <row r="19">
      <c r="B19" s="3" t="inlineStr">
        <is>
          <t>Life underwriting risk charges</t>
        </is>
      </c>
    </row>
    <row r="20">
      <c r="B20" s="10" t="inlineStr">
        <is>
          <t>Risk</t>
        </is>
      </c>
      <c r="C20" s="10" t="inlineStr">
        <is>
          <t>Life(risk)</t>
        </is>
      </c>
      <c r="D20" s="10" t="inlineStr">
        <is>
          <t>Notes / lifelib cell</t>
        </is>
      </c>
    </row>
    <row r="21">
      <c r="B21" s="5" t="inlineStr">
        <is>
          <t>mort</t>
        </is>
      </c>
      <c r="C21" s="29">
        <f>MAX(NAV_Base-NAV_Mort,0)</f>
        <v/>
      </c>
      <c r="D21" s="12" t="inlineStr">
        <is>
          <t>Life('mort')</t>
        </is>
      </c>
    </row>
    <row r="22">
      <c r="B22" s="5" t="inlineStr">
        <is>
          <t>longev</t>
        </is>
      </c>
      <c r="C22" s="29">
        <f>MAX(NAV_Base-NAV_Longev,0)</f>
        <v/>
      </c>
      <c r="D22" s="12" t="inlineStr">
        <is>
          <t>Life('longev')</t>
        </is>
      </c>
    </row>
    <row r="23">
      <c r="B23" s="5" t="inlineStr">
        <is>
          <t>disab</t>
        </is>
      </c>
      <c r="C23" s="43" t="n">
        <v>0</v>
      </c>
      <c r="D23" s="12" t="inlineStr">
        <is>
          <t>Life('disab') = 0 — no lifelib override: the stressed projection is identical to base by construction</t>
        </is>
      </c>
    </row>
    <row r="24">
      <c r="B24" s="5" t="inlineStr">
        <is>
          <t>lapse</t>
        </is>
      </c>
      <c r="C24" s="29">
        <f>MAX(LapseUp_Risk,LapseDown_Risk,LapseMass_Risk)</f>
        <v/>
      </c>
      <c r="D24" s="12" t="inlineStr">
        <is>
          <t>Life('lapse')</t>
        </is>
      </c>
    </row>
    <row r="25">
      <c r="B25" s="5" t="inlineStr">
        <is>
          <t>exps</t>
        </is>
      </c>
      <c r="C25" s="29">
        <f>MAX(NAV_Base-NAV_Exps,0)</f>
        <v/>
      </c>
      <c r="D25" s="12" t="inlineStr">
        <is>
          <t>Life('exps')</t>
        </is>
      </c>
    </row>
    <row r="26">
      <c r="B26" s="5" t="inlineStr">
        <is>
          <t>rev</t>
        </is>
      </c>
      <c r="C26" s="43" t="n">
        <v>0</v>
      </c>
      <c r="D26" s="12" t="inlineStr">
        <is>
          <t>Life('rev') = 0 — no lifelib override</t>
        </is>
      </c>
    </row>
    <row r="27">
      <c r="B27" s="5" t="inlineStr">
        <is>
          <t>cat</t>
        </is>
      </c>
      <c r="C27" s="43" t="n">
        <v>0</v>
      </c>
      <c r="D27" s="12" t="inlineStr">
        <is>
          <t>Life('cat') = 0 — no lifelib override</t>
        </is>
      </c>
    </row>
    <row r="29">
      <c r="B29" s="3" t="inlineStr">
        <is>
          <t>Correlation matrix (standard formula, lifelib CorrData)</t>
        </is>
      </c>
    </row>
    <row r="30">
      <c r="B30" s="14" t="inlineStr">
        <is>
          <t>Corr</t>
        </is>
      </c>
    </row>
    <row r="31">
      <c r="A31" s="10" t="inlineStr"/>
      <c r="B31" s="10" t="inlineStr">
        <is>
          <t>mort</t>
        </is>
      </c>
      <c r="C31" s="10" t="inlineStr">
        <is>
          <t>longev</t>
        </is>
      </c>
      <c r="D31" s="10" t="inlineStr">
        <is>
          <t>disab</t>
        </is>
      </c>
      <c r="E31" s="10" t="inlineStr">
        <is>
          <t>lapse</t>
        </is>
      </c>
      <c r="F31" s="10" t="inlineStr">
        <is>
          <t>exps</t>
        </is>
      </c>
      <c r="G31" s="10" t="inlineStr">
        <is>
          <t>rev</t>
        </is>
      </c>
      <c r="H31" s="10" t="inlineStr">
        <is>
          <t>cat</t>
        </is>
      </c>
    </row>
    <row r="32">
      <c r="A32" s="10" t="inlineStr">
        <is>
          <t>mort</t>
        </is>
      </c>
      <c r="B32" s="44" t="n">
        <v>1</v>
      </c>
      <c r="C32" s="44" t="n">
        <v>-0.25</v>
      </c>
      <c r="D32" s="44" t="n">
        <v>0.25</v>
      </c>
      <c r="E32" s="44" t="n">
        <v>0</v>
      </c>
      <c r="F32" s="44" t="n">
        <v>0.25</v>
      </c>
      <c r="G32" s="44" t="n">
        <v>0</v>
      </c>
      <c r="H32" s="44" t="n">
        <v>0.25</v>
      </c>
    </row>
    <row r="33">
      <c r="A33" s="10" t="inlineStr">
        <is>
          <t>longev</t>
        </is>
      </c>
      <c r="B33" s="44" t="n">
        <v>-0.25</v>
      </c>
      <c r="C33" s="44" t="n">
        <v>1</v>
      </c>
      <c r="D33" s="44" t="n">
        <v>0</v>
      </c>
      <c r="E33" s="44" t="n">
        <v>0.25</v>
      </c>
      <c r="F33" s="44" t="n">
        <v>0.25</v>
      </c>
      <c r="G33" s="44" t="n">
        <v>0.25</v>
      </c>
      <c r="H33" s="44" t="n">
        <v>0</v>
      </c>
    </row>
    <row r="34">
      <c r="A34" s="10" t="inlineStr">
        <is>
          <t>disab</t>
        </is>
      </c>
      <c r="B34" s="44" t="n">
        <v>0.25</v>
      </c>
      <c r="C34" s="44" t="n">
        <v>0</v>
      </c>
      <c r="D34" s="44" t="n">
        <v>1</v>
      </c>
      <c r="E34" s="44" t="n">
        <v>0</v>
      </c>
      <c r="F34" s="44" t="n">
        <v>0.5</v>
      </c>
      <c r="G34" s="44" t="n">
        <v>0</v>
      </c>
      <c r="H34" s="44" t="n">
        <v>0.25</v>
      </c>
    </row>
    <row r="35">
      <c r="A35" s="10" t="inlineStr">
        <is>
          <t>lapse</t>
        </is>
      </c>
      <c r="B35" s="44" t="n">
        <v>0</v>
      </c>
      <c r="C35" s="44" t="n">
        <v>0.25</v>
      </c>
      <c r="D35" s="44" t="n">
        <v>0</v>
      </c>
      <c r="E35" s="44" t="n">
        <v>1</v>
      </c>
      <c r="F35" s="44" t="n">
        <v>0.5</v>
      </c>
      <c r="G35" s="44" t="n">
        <v>0</v>
      </c>
      <c r="H35" s="44" t="n">
        <v>0.25</v>
      </c>
    </row>
    <row r="36">
      <c r="A36" s="10" t="inlineStr">
        <is>
          <t>exps</t>
        </is>
      </c>
      <c r="B36" s="44" t="n">
        <v>0.25</v>
      </c>
      <c r="C36" s="44" t="n">
        <v>0.25</v>
      </c>
      <c r="D36" s="44" t="n">
        <v>0.5</v>
      </c>
      <c r="E36" s="44" t="n">
        <v>0.5</v>
      </c>
      <c r="F36" s="44" t="n">
        <v>1</v>
      </c>
      <c r="G36" s="44" t="n">
        <v>0.5</v>
      </c>
      <c r="H36" s="44" t="n">
        <v>0.25</v>
      </c>
    </row>
    <row r="37">
      <c r="A37" s="10" t="inlineStr">
        <is>
          <t>rev</t>
        </is>
      </c>
      <c r="B37" s="44" t="n">
        <v>0</v>
      </c>
      <c r="C37" s="44" t="n">
        <v>0.25</v>
      </c>
      <c r="D37" s="44" t="n">
        <v>0</v>
      </c>
      <c r="E37" s="44" t="n">
        <v>0</v>
      </c>
      <c r="F37" s="44" t="n">
        <v>0.5</v>
      </c>
      <c r="G37" s="44" t="n">
        <v>1</v>
      </c>
      <c r="H37" s="44" t="n">
        <v>0</v>
      </c>
    </row>
    <row r="38">
      <c r="A38" s="10" t="inlineStr">
        <is>
          <t>cat</t>
        </is>
      </c>
      <c r="B38" s="44" t="n">
        <v>0.25</v>
      </c>
      <c r="C38" s="44" t="n">
        <v>0</v>
      </c>
      <c r="D38" s="44" t="n">
        <v>0.25</v>
      </c>
      <c r="E38" s="44" t="n">
        <v>0.25</v>
      </c>
      <c r="F38" s="44" t="n">
        <v>0.25</v>
      </c>
      <c r="G38" s="44" t="n">
        <v>0</v>
      </c>
      <c r="H38" s="44" t="n">
        <v>1</v>
      </c>
    </row>
    <row r="40">
      <c r="B40" s="3" t="inlineStr">
        <is>
          <t>Correlated products Life(i)·Life(j)·Corr(i,j)</t>
        </is>
      </c>
    </row>
    <row r="41">
      <c r="B41" s="14" t="inlineStr">
        <is>
          <t>SCR_life</t>
        </is>
      </c>
    </row>
    <row r="42">
      <c r="B42" s="10" t="inlineStr">
        <is>
          <t>mort</t>
        </is>
      </c>
      <c r="C42" s="10" t="inlineStr">
        <is>
          <t>longev</t>
        </is>
      </c>
      <c r="D42" s="10" t="inlineStr">
        <is>
          <t>disab</t>
        </is>
      </c>
      <c r="E42" s="10" t="inlineStr">
        <is>
          <t>lapse</t>
        </is>
      </c>
      <c r="F42" s="10" t="inlineStr">
        <is>
          <t>exps</t>
        </is>
      </c>
      <c r="G42" s="10" t="inlineStr">
        <is>
          <t>rev</t>
        </is>
      </c>
      <c r="H42" s="10" t="inlineStr">
        <is>
          <t>cat</t>
        </is>
      </c>
    </row>
    <row r="43">
      <c r="A43" s="10" t="inlineStr">
        <is>
          <t>mort</t>
        </is>
      </c>
      <c r="B43" s="45">
        <f>INDEX(LifeVec,1)*INDEX(LifeVec,1)*INDEX(CorrGrid,1,1)</f>
        <v/>
      </c>
      <c r="C43" s="45">
        <f>INDEX(LifeVec,1)*INDEX(LifeVec,2)*INDEX(CorrGrid,1,2)</f>
        <v/>
      </c>
      <c r="D43" s="45">
        <f>INDEX(LifeVec,1)*INDEX(LifeVec,3)*INDEX(CorrGrid,1,3)</f>
        <v/>
      </c>
      <c r="E43" s="45">
        <f>INDEX(LifeVec,1)*INDEX(LifeVec,4)*INDEX(CorrGrid,1,4)</f>
        <v/>
      </c>
      <c r="F43" s="45">
        <f>INDEX(LifeVec,1)*INDEX(LifeVec,5)*INDEX(CorrGrid,1,5)</f>
        <v/>
      </c>
      <c r="G43" s="45">
        <f>INDEX(LifeVec,1)*INDEX(LifeVec,6)*INDEX(CorrGrid,1,6)</f>
        <v/>
      </c>
      <c r="H43" s="45">
        <f>INDEX(LifeVec,1)*INDEX(LifeVec,7)*INDEX(CorrGrid,1,7)</f>
        <v/>
      </c>
    </row>
    <row r="44">
      <c r="A44" s="10" t="inlineStr">
        <is>
          <t>longev</t>
        </is>
      </c>
      <c r="B44" s="45">
        <f>INDEX(LifeVec,2)*INDEX(LifeVec,1)*INDEX(CorrGrid,2,1)</f>
        <v/>
      </c>
      <c r="C44" s="45">
        <f>INDEX(LifeVec,2)*INDEX(LifeVec,2)*INDEX(CorrGrid,2,2)</f>
        <v/>
      </c>
      <c r="D44" s="45">
        <f>INDEX(LifeVec,2)*INDEX(LifeVec,3)*INDEX(CorrGrid,2,3)</f>
        <v/>
      </c>
      <c r="E44" s="45">
        <f>INDEX(LifeVec,2)*INDEX(LifeVec,4)*INDEX(CorrGrid,2,4)</f>
        <v/>
      </c>
      <c r="F44" s="45">
        <f>INDEX(LifeVec,2)*INDEX(LifeVec,5)*INDEX(CorrGrid,2,5)</f>
        <v/>
      </c>
      <c r="G44" s="45">
        <f>INDEX(LifeVec,2)*INDEX(LifeVec,6)*INDEX(CorrGrid,2,6)</f>
        <v/>
      </c>
      <c r="H44" s="45">
        <f>INDEX(LifeVec,2)*INDEX(LifeVec,7)*INDEX(CorrGrid,2,7)</f>
        <v/>
      </c>
    </row>
    <row r="45">
      <c r="A45" s="10" t="inlineStr">
        <is>
          <t>disab</t>
        </is>
      </c>
      <c r="B45" s="45">
        <f>INDEX(LifeVec,3)*INDEX(LifeVec,1)*INDEX(CorrGrid,3,1)</f>
        <v/>
      </c>
      <c r="C45" s="45">
        <f>INDEX(LifeVec,3)*INDEX(LifeVec,2)*INDEX(CorrGrid,3,2)</f>
        <v/>
      </c>
      <c r="D45" s="45">
        <f>INDEX(LifeVec,3)*INDEX(LifeVec,3)*INDEX(CorrGrid,3,3)</f>
        <v/>
      </c>
      <c r="E45" s="45">
        <f>INDEX(LifeVec,3)*INDEX(LifeVec,4)*INDEX(CorrGrid,3,4)</f>
        <v/>
      </c>
      <c r="F45" s="45">
        <f>INDEX(LifeVec,3)*INDEX(LifeVec,5)*INDEX(CorrGrid,3,5)</f>
        <v/>
      </c>
      <c r="G45" s="45">
        <f>INDEX(LifeVec,3)*INDEX(LifeVec,6)*INDEX(CorrGrid,3,6)</f>
        <v/>
      </c>
      <c r="H45" s="45">
        <f>INDEX(LifeVec,3)*INDEX(LifeVec,7)*INDEX(CorrGrid,3,7)</f>
        <v/>
      </c>
    </row>
    <row r="46">
      <c r="A46" s="10" t="inlineStr">
        <is>
          <t>lapse</t>
        </is>
      </c>
      <c r="B46" s="45">
        <f>INDEX(LifeVec,4)*INDEX(LifeVec,1)*INDEX(CorrGrid,4,1)</f>
        <v/>
      </c>
      <c r="C46" s="45">
        <f>INDEX(LifeVec,4)*INDEX(LifeVec,2)*INDEX(CorrGrid,4,2)</f>
        <v/>
      </c>
      <c r="D46" s="45">
        <f>INDEX(LifeVec,4)*INDEX(LifeVec,3)*INDEX(CorrGrid,4,3)</f>
        <v/>
      </c>
      <c r="E46" s="45">
        <f>INDEX(LifeVec,4)*INDEX(LifeVec,4)*INDEX(CorrGrid,4,4)</f>
        <v/>
      </c>
      <c r="F46" s="45">
        <f>INDEX(LifeVec,4)*INDEX(LifeVec,5)*INDEX(CorrGrid,4,5)</f>
        <v/>
      </c>
      <c r="G46" s="45">
        <f>INDEX(LifeVec,4)*INDEX(LifeVec,6)*INDEX(CorrGrid,4,6)</f>
        <v/>
      </c>
      <c r="H46" s="45">
        <f>INDEX(LifeVec,4)*INDEX(LifeVec,7)*INDEX(CorrGrid,4,7)</f>
        <v/>
      </c>
    </row>
    <row r="47">
      <c r="A47" s="10" t="inlineStr">
        <is>
          <t>exps</t>
        </is>
      </c>
      <c r="B47" s="45">
        <f>INDEX(LifeVec,5)*INDEX(LifeVec,1)*INDEX(CorrGrid,5,1)</f>
        <v/>
      </c>
      <c r="C47" s="45">
        <f>INDEX(LifeVec,5)*INDEX(LifeVec,2)*INDEX(CorrGrid,5,2)</f>
        <v/>
      </c>
      <c r="D47" s="45">
        <f>INDEX(LifeVec,5)*INDEX(LifeVec,3)*INDEX(CorrGrid,5,3)</f>
        <v/>
      </c>
      <c r="E47" s="45">
        <f>INDEX(LifeVec,5)*INDEX(LifeVec,4)*INDEX(CorrGrid,5,4)</f>
        <v/>
      </c>
      <c r="F47" s="45">
        <f>INDEX(LifeVec,5)*INDEX(LifeVec,5)*INDEX(CorrGrid,5,5)</f>
        <v/>
      </c>
      <c r="G47" s="45">
        <f>INDEX(LifeVec,5)*INDEX(LifeVec,6)*INDEX(CorrGrid,5,6)</f>
        <v/>
      </c>
      <c r="H47" s="45">
        <f>INDEX(LifeVec,5)*INDEX(LifeVec,7)*INDEX(CorrGrid,5,7)</f>
        <v/>
      </c>
    </row>
    <row r="48">
      <c r="A48" s="10" t="inlineStr">
        <is>
          <t>rev</t>
        </is>
      </c>
      <c r="B48" s="45">
        <f>INDEX(LifeVec,6)*INDEX(LifeVec,1)*INDEX(CorrGrid,6,1)</f>
        <v/>
      </c>
      <c r="C48" s="45">
        <f>INDEX(LifeVec,6)*INDEX(LifeVec,2)*INDEX(CorrGrid,6,2)</f>
        <v/>
      </c>
      <c r="D48" s="45">
        <f>INDEX(LifeVec,6)*INDEX(LifeVec,3)*INDEX(CorrGrid,6,3)</f>
        <v/>
      </c>
      <c r="E48" s="45">
        <f>INDEX(LifeVec,6)*INDEX(LifeVec,4)*INDEX(CorrGrid,6,4)</f>
        <v/>
      </c>
      <c r="F48" s="45">
        <f>INDEX(LifeVec,6)*INDEX(LifeVec,5)*INDEX(CorrGrid,6,5)</f>
        <v/>
      </c>
      <c r="G48" s="45">
        <f>INDEX(LifeVec,6)*INDEX(LifeVec,6)*INDEX(CorrGrid,6,6)</f>
        <v/>
      </c>
      <c r="H48" s="45">
        <f>INDEX(LifeVec,6)*INDEX(LifeVec,7)*INDEX(CorrGrid,6,7)</f>
        <v/>
      </c>
    </row>
    <row r="49">
      <c r="A49" s="10" t="inlineStr">
        <is>
          <t>cat</t>
        </is>
      </c>
      <c r="B49" s="45">
        <f>INDEX(LifeVec,7)*INDEX(LifeVec,1)*INDEX(CorrGrid,7,1)</f>
        <v/>
      </c>
      <c r="C49" s="45">
        <f>INDEX(LifeVec,7)*INDEX(LifeVec,2)*INDEX(CorrGrid,7,2)</f>
        <v/>
      </c>
      <c r="D49" s="45">
        <f>INDEX(LifeVec,7)*INDEX(LifeVec,3)*INDEX(CorrGrid,7,3)</f>
        <v/>
      </c>
      <c r="E49" s="45">
        <f>INDEX(LifeVec,7)*INDEX(LifeVec,4)*INDEX(CorrGrid,7,4)</f>
        <v/>
      </c>
      <c r="F49" s="45">
        <f>INDEX(LifeVec,7)*INDEX(LifeVec,5)*INDEX(CorrGrid,7,5)</f>
        <v/>
      </c>
      <c r="G49" s="45">
        <f>INDEX(LifeVec,7)*INDEX(LifeVec,6)*INDEX(CorrGrid,7,6)</f>
        <v/>
      </c>
      <c r="H49" s="45">
        <f>INDEX(LifeVec,7)*INDEX(LifeVec,7)*INDEX(CorrGrid,7,7)</f>
        <v/>
      </c>
    </row>
    <row r="51">
      <c r="B51" s="3" t="inlineStr">
        <is>
          <t>SCR life underwriting risk</t>
        </is>
      </c>
      <c r="C51" s="46">
        <f>SQRT(SUM(ProdGrid))</f>
        <v/>
      </c>
      <c r="D51" s="12" t="inlineStr">
        <is>
          <t>SCR_life() = sqrt( sum_ij Corr(i,j)·Life(i)·Life(j) 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56" customWidth="1" min="4" max="4"/>
  </cols>
  <sheetData>
    <row r="2">
      <c r="B2" s="3" t="inlineStr">
        <is>
          <t>Run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/>
    </row>
    <row r="4">
      <c r="B4" s="5" t="inlineStr">
        <is>
          <t>Policy ID</t>
        </is>
      </c>
      <c r="C4" s="20">
        <f>PolicyID</f>
        <v/>
      </c>
      <c r="D4" s="12" t="inlineStr">
        <is>
          <t>calculation sentinel for the batch macro</t>
        </is>
      </c>
    </row>
    <row r="5">
      <c r="B5" s="5" t="inlineStr">
        <is>
          <t>Scenario</t>
        </is>
      </c>
      <c r="C5" s="20">
        <f>ScenID</f>
        <v/>
      </c>
      <c r="D5" s="12" t="inlineStr"/>
    </row>
    <row r="6">
      <c r="B6" s="5" t="inlineStr">
        <is>
          <t>Valuation time t0</t>
        </is>
      </c>
      <c r="C6" s="20">
        <f>T0</f>
        <v/>
      </c>
      <c r="D6" s="12" t="inlineStr"/>
    </row>
    <row r="7">
      <c r="B7" s="5" t="inlineStr">
        <is>
          <t>Product / sex / age / term</t>
        </is>
      </c>
      <c r="C7" s="19">
        <f>Product&amp;" / "&amp;Sex&amp;" / "&amp;IssueAge&amp;" / "&amp;PolicyTerm&amp;"y"</f>
        <v/>
      </c>
      <c r="D7" s="12" t="inlineStr"/>
    </row>
    <row r="9">
      <c r="B9" s="3" t="inlineStr">
        <is>
          <t>SCR results</t>
        </is>
      </c>
    </row>
    <row r="10">
      <c r="B10" s="10" t="inlineStr">
        <is>
          <t>Item</t>
        </is>
      </c>
      <c r="C10" s="10" t="inlineStr">
        <is>
          <t>Value</t>
        </is>
      </c>
      <c r="D10" s="10" t="inlineStr"/>
    </row>
    <row r="11">
      <c r="B11" s="5" t="inlineStr">
        <is>
          <t>SCR life underwriting risk</t>
        </is>
      </c>
      <c r="C11" s="21">
        <f>SCR_Life</f>
        <v/>
      </c>
      <c r="D11" s="12" t="inlineStr"/>
    </row>
    <row r="12">
      <c r="B12" s="5" t="inlineStr">
        <is>
          <t>Mortality risk</t>
        </is>
      </c>
      <c r="C12" s="21">
        <f>Life_Mort</f>
        <v/>
      </c>
      <c r="D12" s="12" t="inlineStr"/>
    </row>
    <row r="13">
      <c r="B13" s="5" t="inlineStr">
        <is>
          <t>Longevity risk</t>
        </is>
      </c>
      <c r="C13" s="21">
        <f>Life_Longev</f>
        <v/>
      </c>
      <c r="D13" s="12" t="inlineStr"/>
    </row>
    <row r="14">
      <c r="B14" s="5" t="inlineStr">
        <is>
          <t>Lapse risk</t>
        </is>
      </c>
      <c r="C14" s="21">
        <f>Life_Lapse</f>
        <v/>
      </c>
      <c r="D14" s="12" t="inlineStr"/>
    </row>
    <row r="15">
      <c r="B15" s="5" t="inlineStr">
        <is>
          <t>Expense risk</t>
        </is>
      </c>
      <c r="C15" s="21">
        <f>Life_Exps</f>
        <v/>
      </c>
      <c r="D15" s="12" t="inlineStr"/>
    </row>
    <row r="16">
      <c r="B16" s="5" t="inlineStr">
        <is>
          <t>Sum of undiversified charges</t>
        </is>
      </c>
      <c r="C16" s="21">
        <f>SUM(LifeVec)</f>
        <v/>
      </c>
      <c r="D16" s="12" t="inlineStr"/>
    </row>
    <row r="17">
      <c r="B17" s="5" t="inlineStr">
        <is>
          <t>Diversification benefit</t>
        </is>
      </c>
      <c r="C17" s="21">
        <f>SUM(LifeVec)-SCR_Life</f>
        <v/>
      </c>
      <c r="D17" s="12" t="inlineStr"/>
    </row>
    <row r="18">
      <c r="B18" s="5" t="inlineStr">
        <is>
          <t>Base net asset value</t>
        </is>
      </c>
      <c r="C18" s="21">
        <f>NAV_Base</f>
        <v/>
      </c>
      <c r="D18" s="12" t="inlineStr">
        <is>
          <t>PV net liability cashflows at t0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48" customWidth="1" min="2" max="2"/>
    <col width="10" customWidth="1" min="3" max="3"/>
    <col width="78" customWidth="1" min="4" max="4"/>
  </cols>
  <sheetData>
    <row r="2">
      <c r="B2" s="3" t="inlineStr">
        <is>
          <t>Internal consistency checks</t>
        </is>
      </c>
    </row>
    <row r="3">
      <c r="B3" s="10" t="inlineStr">
        <is>
          <t>Check</t>
        </is>
      </c>
      <c r="C3" s="10" t="inlineStr">
        <is>
          <t>Result</t>
        </is>
      </c>
      <c r="D3" s="10" t="inlineStr">
        <is>
          <t>Description</t>
        </is>
      </c>
    </row>
    <row r="4">
      <c r="B4" s="5" t="inlineStr">
        <is>
          <t>PV identity — Proj_Base</t>
        </is>
      </c>
      <c r="C4" s="47">
        <f>ABS(INDEX(PVNCF_Base,T0+1)-INDEX(PVCHK_Base,T0+1))&lt;=0.000001*MAX(1,ABS(INDEX(PVNCF_Base,T0+1)))</f>
        <v/>
      </c>
      <c r="D4" s="48" t="inlineStr">
        <is>
          <t>lifelib PV_Check: the backward PV recursion equals the forward check recursion at t0.</t>
        </is>
      </c>
    </row>
    <row r="5">
      <c r="B5" s="5" t="inlineStr">
        <is>
          <t>PV identity — Proj_Mort</t>
        </is>
      </c>
      <c r="C5" s="47">
        <f>ABS(INDEX(PVNCF_Mort,T0+1)-INDEX(PVCHK_Mort,T0+1))&lt;=0.000001*MAX(1,ABS(INDEX(PVNCF_Mort,T0+1)))</f>
        <v/>
      </c>
      <c r="D5" s="48" t="inlineStr">
        <is>
          <t>lifelib PV_Check: the backward PV recursion equals the forward check recursion at t0.</t>
        </is>
      </c>
    </row>
    <row r="6">
      <c r="B6" s="5" t="inlineStr">
        <is>
          <t>PV identity — Proj_Longev</t>
        </is>
      </c>
      <c r="C6" s="47">
        <f>ABS(INDEX(PVNCF_Longev,T0+1)-INDEX(PVCHK_Longev,T0+1))&lt;=0.000001*MAX(1,ABS(INDEX(PVNCF_Longev,T0+1)))</f>
        <v/>
      </c>
      <c r="D6" s="48" t="inlineStr">
        <is>
          <t>lifelib PV_Check: the backward PV recursion equals the forward check recursion at t0.</t>
        </is>
      </c>
    </row>
    <row r="7">
      <c r="B7" s="5" t="inlineStr">
        <is>
          <t>PV identity — Proj_Exps</t>
        </is>
      </c>
      <c r="C7" s="47">
        <f>ABS(INDEX(PVNCF_Exps,T0+1)-INDEX(PVCHK_Exps,T0+1))&lt;=0.000001*MAX(1,ABS(INDEX(PVNCF_Exps,T0+1)))</f>
        <v/>
      </c>
      <c r="D7" s="48" t="inlineStr">
        <is>
          <t>lifelib PV_Check: the backward PV recursion equals the forward check recursion at t0.</t>
        </is>
      </c>
    </row>
    <row r="8">
      <c r="B8" s="5" t="inlineStr">
        <is>
          <t>PV identity — Proj_LapseUp</t>
        </is>
      </c>
      <c r="C8" s="47">
        <f>ABS(INDEX(PVNCF_LapseUp,T0+1)-INDEX(PVCHK_LapseUp,T0+1))&lt;=0.000001*MAX(1,ABS(INDEX(PVNCF_LapseUp,T0+1)))</f>
        <v/>
      </c>
      <c r="D8" s="48" t="inlineStr">
        <is>
          <t>lifelib PV_Check: the backward PV recursion equals the forward check recursion at t0.</t>
        </is>
      </c>
    </row>
    <row r="9">
      <c r="B9" s="5" t="inlineStr">
        <is>
          <t>PV identity — Proj_LapseDown</t>
        </is>
      </c>
      <c r="C9" s="47">
        <f>ABS(INDEX(PVNCF_LapseDown,T0+1)-INDEX(PVCHK_LapseDown,T0+1))&lt;=0.000001*MAX(1,ABS(INDEX(PVNCF_LapseDown,T0+1)))</f>
        <v/>
      </c>
      <c r="D9" s="48" t="inlineStr">
        <is>
          <t>lifelib PV_Check: the backward PV recursion equals the forward check recursion at t0.</t>
        </is>
      </c>
    </row>
    <row r="10">
      <c r="B10" s="5" t="inlineStr">
        <is>
          <t>PV identity — Proj_LapseMass</t>
        </is>
      </c>
      <c r="C10" s="47">
        <f>ABS(INDEX(PVNCF_LapseMass,T0+1)-INDEX(PVCHK_LapseMass,T0+1))&lt;=0.000001*MAX(1,ABS(INDEX(PVNCF_LapseMass,T0+1)))</f>
        <v/>
      </c>
      <c r="D10" s="48" t="inlineStr">
        <is>
          <t>lifelib PV_Check: the backward PV recursion equals the forward check recursion at t0.</t>
        </is>
      </c>
    </row>
    <row r="11">
      <c r="B11" s="5" t="inlineStr">
        <is>
          <t>In-force non-negative — Proj_Base</t>
        </is>
      </c>
      <c r="C11" s="47">
        <f>MIN(Beg1_Base)&gt;=-0.000000001</f>
        <v/>
      </c>
      <c r="D11" s="48" t="inlineStr">
        <is>
          <t>Policies in force never go negative.</t>
        </is>
      </c>
    </row>
    <row r="12">
      <c r="B12" s="5" t="inlineStr">
        <is>
          <t>In-force non-negative — Proj_Mort</t>
        </is>
      </c>
      <c r="C12" s="47">
        <f>MIN(Beg1_Mort)&gt;=-0.000000001</f>
        <v/>
      </c>
      <c r="D12" s="48" t="inlineStr">
        <is>
          <t>Policies in force never go negative.</t>
        </is>
      </c>
    </row>
    <row r="13">
      <c r="B13" s="5" t="inlineStr">
        <is>
          <t>In-force non-negative — Proj_Longev</t>
        </is>
      </c>
      <c r="C13" s="47">
        <f>MIN(Beg1_Longev)&gt;=-0.000000001</f>
        <v/>
      </c>
      <c r="D13" s="48" t="inlineStr">
        <is>
          <t>Policies in force never go negative.</t>
        </is>
      </c>
    </row>
    <row r="14">
      <c r="B14" s="5" t="inlineStr">
        <is>
          <t>In-force non-negative — Proj_Exps</t>
        </is>
      </c>
      <c r="C14" s="47">
        <f>MIN(Beg1_Exps)&gt;=-0.000000001</f>
        <v/>
      </c>
      <c r="D14" s="48" t="inlineStr">
        <is>
          <t>Policies in force never go negative.</t>
        </is>
      </c>
    </row>
    <row r="15">
      <c r="B15" s="5" t="inlineStr">
        <is>
          <t>In-force non-negative — Proj_LapseUp</t>
        </is>
      </c>
      <c r="C15" s="47">
        <f>MIN(Beg1_LapseUp)&gt;=-0.000000001</f>
        <v/>
      </c>
      <c r="D15" s="48" t="inlineStr">
        <is>
          <t>Policies in force never go negative.</t>
        </is>
      </c>
    </row>
    <row r="16">
      <c r="B16" s="5" t="inlineStr">
        <is>
          <t>In-force non-negative — Proj_LapseDown</t>
        </is>
      </c>
      <c r="C16" s="47">
        <f>MIN(Beg1_LapseDown)&gt;=-0.000000001</f>
        <v/>
      </c>
      <c r="D16" s="48" t="inlineStr">
        <is>
          <t>Policies in force never go negative.</t>
        </is>
      </c>
    </row>
    <row r="17">
      <c r="B17" s="5" t="inlineStr">
        <is>
          <t>In-force non-negative — Proj_LapseMass</t>
        </is>
      </c>
      <c r="C17" s="47">
        <f>MIN(Beg1_LapseMass)&gt;=-0.000000001</f>
        <v/>
      </c>
      <c r="D17" s="48" t="inlineStr">
        <is>
          <t>Policies in force never go negative.</t>
        </is>
      </c>
    </row>
    <row r="18">
      <c r="B18" s="5" t="inlineStr">
        <is>
          <t>Decrements exhaust in-force — base</t>
        </is>
      </c>
      <c r="C18" s="47">
        <f>ABS(PolicyCount-SUM(Proj_Base!K7:K110)-SUM(Proj_Base!L7:L110)-SUM(Proj_Base!F7:F110)-SUM(Proj_Base!I7:I110)-(INDEX(Beg1_Base,LastT+1)-INDEX(Proj_Base!K7:K110,LastT+1)-INDEX(Proj_Base!L7:L110,LastT+1)))&lt;=0.000001</f>
        <v/>
      </c>
      <c r="D18" s="48" t="inlineStr">
        <is>
          <t>New business equals deaths + surrenders + maturities + mass lapses + survivors at the end of the projection.</t>
        </is>
      </c>
    </row>
    <row r="19">
      <c r="B19" s="5" t="inlineStr">
        <is>
          <t>Decrements exhaust in-force — mass lapse</t>
        </is>
      </c>
      <c r="C19" s="47">
        <f>ABS(PolicyCount-SUM(Proj_LapseMass!K7:K110)-SUM(Proj_LapseMass!L7:L110)-SUM(Proj_LapseMass!F7:F110)-SUM(Proj_LapseMass!I7:I110)-(INDEX(Beg1_LapseMass,LastT+1)-INDEX(Proj_LapseMass!K7:K110,LastT+1)-INDEX(Proj_LapseMass!L7:L110,LastT+1)))&lt;=0.000001</f>
        <v/>
      </c>
      <c r="D19" s="48" t="inlineStr">
        <is>
          <t>Same identity under the mass-lapse stress (exercises PolsSurrMass).</t>
        </is>
      </c>
    </row>
    <row r="20">
      <c r="B20" s="5" t="inlineStr">
        <is>
          <t>Net level premium reserve zero at issue</t>
        </is>
      </c>
      <c r="C20" s="47">
        <f>ABS(INDEX(Policy_Sched!F7:F110,1))&lt;=0.00000001</f>
        <v/>
      </c>
      <c r="D20" s="48" t="inlineStr">
        <is>
          <t>ReserveNLP_Rate(PREM, 0) = 0 by the equivalence principle when the premium term equals the policy term.</t>
        </is>
      </c>
    </row>
    <row r="21">
      <c r="B21" s="5" t="inlineStr">
        <is>
          <t>Radix and survivorship</t>
        </is>
      </c>
      <c r="C21" s="47">
        <f>AND(INDEX(Comm_lx,1)=100000,MIN(Comm_lx)&gt;=0)</f>
        <v/>
      </c>
      <c r="D21" s="48" t="inlineStr">
        <is>
          <t>Commutation lx starts at the 100,000 radix and never goes negative.</t>
        </is>
      </c>
    </row>
    <row r="22">
      <c r="B22" s="5" t="inlineStr">
        <is>
          <t>Risk charges non-negative</t>
        </is>
      </c>
      <c r="C22" s="47">
        <f>MIN(LifeVec)&gt;=0</f>
        <v/>
      </c>
      <c r="D22" s="48" t="inlineStr">
        <is>
          <t>Life(risk) = max(·, 0) for every risk.</t>
        </is>
      </c>
    </row>
    <row r="23">
      <c r="B23" s="5" t="inlineStr">
        <is>
          <t>Diversification</t>
        </is>
      </c>
      <c r="C23" s="47">
        <f>SCR_Life&lt;=SUM(LifeVec)+0.000001</f>
        <v/>
      </c>
      <c r="D23" s="48" t="inlineStr">
        <is>
          <t>The correlated SCR never exceeds the sum of standalone charges.</t>
        </is>
      </c>
    </row>
    <row r="24">
      <c r="B24" s="5" t="inlineStr">
        <is>
          <t>Correlated product grid symmetric</t>
        </is>
      </c>
      <c r="C24" s="47">
        <f t="array" ref="C24">SUMPRODUCT(--(ABS(ProdGrid-TRANSPOSE(ProdGrid))&gt;0.000001*(1+ABS(ProdGrid))))=0</f>
        <v/>
      </c>
      <c r="D24" s="48" t="inlineStr">
        <is>
          <t>Life(i)·Life(j)·Corr(i,j) grid is symmetric (the correlation matrix is).</t>
        </is>
      </c>
    </row>
    <row r="25">
      <c r="B25" s="5" t="inlineStr">
        <is>
          <t>Shock factors resolved</t>
        </is>
      </c>
      <c r="C25" s="47">
        <f>AND(Proj_Mort!$E$3&gt;0,Proj_Longev!$E$3&gt;0,Proj_Exps!$E$3&gt;0,Proj_Exps!$G$3&gt;0,Proj_LapseUp!$E$3&gt;0,Proj_LapseUp!$F$3&gt;0,Proj_LapseDown!$E$3&gt;0,Proj_LapseDown!$F$3&gt;0,Proj_LapseMass!$E$3&gt;0)</f>
        <v/>
      </c>
      <c r="D25" s="48" t="inlineStr">
        <is>
          <t>Every stress sheet found its factor in the FactorData table — the IFERROR default of 0 would silently degrade a stress to base.</t>
        </is>
      </c>
    </row>
    <row r="27">
      <c r="B27" s="3" t="inlineStr">
        <is>
          <t>ALL CHECKS PASS</t>
        </is>
      </c>
      <c r="C27" s="49">
        <f>AND(C4:C25)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J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3" t="inlineStr">
        <is>
          <t>lifelib solvency2 results for all policies (t0 = 0, scenario 1). Generated by verification/generate_reference_solvency2.py.</t>
        </is>
      </c>
    </row>
    <row r="2">
      <c r="A2" s="10" t="inlineStr">
        <is>
          <t>policy_id</t>
        </is>
      </c>
      <c r="B2" s="10" t="inlineStr">
        <is>
          <t>scr_life</t>
        </is>
      </c>
      <c r="C2" s="10" t="inlineStr">
        <is>
          <t>life_mort</t>
        </is>
      </c>
      <c r="D2" s="10" t="inlineStr">
        <is>
          <t>life_longev</t>
        </is>
      </c>
      <c r="E2" s="10" t="inlineStr">
        <is>
          <t>life_lapse</t>
        </is>
      </c>
      <c r="F2" s="10" t="inlineStr">
        <is>
          <t>life_exps</t>
        </is>
      </c>
      <c r="G2" s="10" t="inlineStr">
        <is>
          <t>lapse_up</t>
        </is>
      </c>
      <c r="H2" s="10" t="inlineStr">
        <is>
          <t>lapse_down</t>
        </is>
      </c>
      <c r="I2" s="10" t="inlineStr">
        <is>
          <t>lapse_mass</t>
        </is>
      </c>
      <c r="J2" s="10" t="inlineStr">
        <is>
          <t>nav_base</t>
        </is>
      </c>
    </row>
    <row r="3">
      <c r="A3" s="7" t="n">
        <v>1</v>
      </c>
      <c r="B3" s="50" t="n">
        <v>5929.437677484881</v>
      </c>
      <c r="C3" s="50" t="n">
        <v>946.3940233553913</v>
      </c>
      <c r="D3" s="50" t="n">
        <v>0</v>
      </c>
      <c r="E3" s="50" t="n">
        <v>5012.745430748023</v>
      </c>
      <c r="F3" s="50" t="n">
        <v>1338.553480494981</v>
      </c>
      <c r="G3" s="50" t="n">
        <v>2647.397774335411</v>
      </c>
      <c r="H3" s="50" t="n">
        <v>0</v>
      </c>
      <c r="I3" s="50" t="n">
        <v>5012.745430748023</v>
      </c>
      <c r="J3" s="50" t="n">
        <v>8954.018303162458</v>
      </c>
    </row>
    <row r="4">
      <c r="A4" s="7" t="n">
        <v>2</v>
      </c>
      <c r="B4" s="50" t="n">
        <v>5230.15160191374</v>
      </c>
      <c r="C4" s="50" t="n">
        <v>499.4305414574319</v>
      </c>
      <c r="D4" s="50" t="n">
        <v>0</v>
      </c>
      <c r="E4" s="50" t="n">
        <v>4374.728917218551</v>
      </c>
      <c r="F4" s="50" t="n">
        <v>1336.499987244943</v>
      </c>
      <c r="G4" s="50" t="n">
        <v>2296.765568834137</v>
      </c>
      <c r="H4" s="50" t="n">
        <v>0</v>
      </c>
      <c r="I4" s="50" t="n">
        <v>4374.728917218551</v>
      </c>
      <c r="J4" s="50" t="n">
        <v>7511.092085138853</v>
      </c>
    </row>
    <row r="5">
      <c r="A5" s="7" t="n">
        <v>3</v>
      </c>
      <c r="B5" s="50" t="n">
        <v>6042.299294915452</v>
      </c>
      <c r="C5" s="50" t="n">
        <v>1016.294625483129</v>
      </c>
      <c r="D5" s="50" t="n">
        <v>0</v>
      </c>
      <c r="E5" s="50" t="n">
        <v>5114.229832268857</v>
      </c>
      <c r="F5" s="50" t="n">
        <v>1338.987377555826</v>
      </c>
      <c r="G5" s="50" t="n">
        <v>2705.813268814317</v>
      </c>
      <c r="H5" s="50" t="n">
        <v>0</v>
      </c>
      <c r="I5" s="50" t="n">
        <v>5114.229832268857</v>
      </c>
      <c r="J5" s="50" t="n">
        <v>9173.906589547994</v>
      </c>
    </row>
    <row r="6">
      <c r="A6" s="7" t="n">
        <v>4</v>
      </c>
      <c r="B6" s="50" t="n">
        <v>5292.442295341867</v>
      </c>
      <c r="C6" s="50" t="n">
        <v>539.3388395210213</v>
      </c>
      <c r="D6" s="50" t="n">
        <v>0</v>
      </c>
      <c r="E6" s="50" t="n">
        <v>4432.471141317133</v>
      </c>
      <c r="F6" s="50" t="n">
        <v>1336.719045213302</v>
      </c>
      <c r="G6" s="50" t="n">
        <v>2329.424162507029</v>
      </c>
      <c r="H6" s="50" t="n">
        <v>0</v>
      </c>
      <c r="I6" s="50" t="n">
        <v>4432.471141317133</v>
      </c>
      <c r="J6" s="50" t="n">
        <v>7638.070649572482</v>
      </c>
    </row>
    <row r="7">
      <c r="A7" s="7" t="n">
        <v>5</v>
      </c>
      <c r="B7" s="50" t="n">
        <v>6167.997279449268</v>
      </c>
      <c r="C7" s="50" t="n">
        <v>1094.375684626059</v>
      </c>
      <c r="D7" s="50" t="n">
        <v>0</v>
      </c>
      <c r="E7" s="50" t="n">
        <v>5226.686981853299</v>
      </c>
      <c r="F7" s="50" t="n">
        <v>1339.489342895977</v>
      </c>
      <c r="G7" s="50" t="n">
        <v>2771.960557867422</v>
      </c>
      <c r="H7" s="50" t="n">
        <v>0</v>
      </c>
      <c r="I7" s="50" t="n">
        <v>5226.686981853299</v>
      </c>
      <c r="J7" s="50" t="n">
        <v>9418.540503747563</v>
      </c>
    </row>
    <row r="8">
      <c r="A8" s="7" t="n">
        <v>6</v>
      </c>
      <c r="B8" s="50" t="n">
        <v>5360.131843361133</v>
      </c>
      <c r="C8" s="50" t="n">
        <v>582.2778127386018</v>
      </c>
      <c r="D8" s="50" t="n">
        <v>0</v>
      </c>
      <c r="E8" s="50" t="n">
        <v>4495.065155634142</v>
      </c>
      <c r="F8" s="50" t="n">
        <v>1336.950583157326</v>
      </c>
      <c r="G8" s="50" t="n">
        <v>2364.728116776187</v>
      </c>
      <c r="H8" s="50" t="n">
        <v>0</v>
      </c>
      <c r="I8" s="50" t="n">
        <v>4495.065155634142</v>
      </c>
      <c r="J8" s="50" t="n">
        <v>7774.792563568464</v>
      </c>
    </row>
    <row r="9">
      <c r="A9" s="7" t="n">
        <v>7</v>
      </c>
      <c r="B9" s="50" t="n">
        <v>6313.158070137996</v>
      </c>
      <c r="C9" s="50" t="n">
        <v>1181.086984178231</v>
      </c>
      <c r="D9" s="50" t="n">
        <v>0</v>
      </c>
      <c r="E9" s="50" t="n">
        <v>5356.806181259994</v>
      </c>
      <c r="F9" s="50" t="n">
        <v>1340.06691788603</v>
      </c>
      <c r="G9" s="50" t="n">
        <v>2846.837970593424</v>
      </c>
      <c r="H9" s="50" t="n">
        <v>0</v>
      </c>
      <c r="I9" s="50" t="n">
        <v>5356.806181259994</v>
      </c>
      <c r="J9" s="50" t="n">
        <v>9688.953827748883</v>
      </c>
    </row>
    <row r="10">
      <c r="A10" s="7" t="n">
        <v>8</v>
      </c>
      <c r="B10" s="50" t="n">
        <v>5435.114816832389</v>
      </c>
      <c r="C10" s="50" t="n">
        <v>629.3347951385404</v>
      </c>
      <c r="D10" s="50" t="n">
        <v>0</v>
      </c>
      <c r="E10" s="50" t="n">
        <v>4564.230251049454</v>
      </c>
      <c r="F10" s="50" t="n">
        <v>1337.206252555385</v>
      </c>
      <c r="G10" s="50" t="n">
        <v>2403.55380936189</v>
      </c>
      <c r="H10" s="50" t="n">
        <v>0</v>
      </c>
      <c r="I10" s="50" t="n">
        <v>4564.230251049454</v>
      </c>
      <c r="J10" s="50" t="n">
        <v>7924.503887722393</v>
      </c>
    </row>
    <row r="11">
      <c r="A11" s="7" t="n">
        <v>9</v>
      </c>
      <c r="B11" s="50" t="n">
        <v>6482.682972495713</v>
      </c>
      <c r="C11" s="50" t="n">
        <v>1280.132821300254</v>
      </c>
      <c r="D11" s="50" t="n">
        <v>0</v>
      </c>
      <c r="E11" s="50" t="n">
        <v>5508.652154576432</v>
      </c>
      <c r="F11" s="50" t="n">
        <v>1340.714320418338</v>
      </c>
      <c r="G11" s="50" t="n">
        <v>2932.190997080794</v>
      </c>
      <c r="H11" s="50" t="n">
        <v>0</v>
      </c>
      <c r="I11" s="50" t="n">
        <v>5508.652154576432</v>
      </c>
      <c r="J11" s="50" t="n">
        <v>9998.379148942997</v>
      </c>
    </row>
    <row r="12">
      <c r="A12" s="7" t="n">
        <v>10</v>
      </c>
      <c r="B12" s="50" t="n">
        <v>5519.508878269759</v>
      </c>
      <c r="C12" s="50" t="n">
        <v>681.7085365290159</v>
      </c>
      <c r="D12" s="50" t="n">
        <v>0</v>
      </c>
      <c r="E12" s="50" t="n">
        <v>4641.872032246307</v>
      </c>
      <c r="F12" s="50" t="n">
        <v>1337.49648561821</v>
      </c>
      <c r="G12" s="50" t="n">
        <v>2446.827768036565</v>
      </c>
      <c r="H12" s="50" t="n">
        <v>0</v>
      </c>
      <c r="I12" s="50" t="n">
        <v>4641.872032246307</v>
      </c>
      <c r="J12" s="50" t="n">
        <v>8090.885690831037</v>
      </c>
    </row>
    <row r="13">
      <c r="A13" s="7" t="n">
        <v>11</v>
      </c>
      <c r="B13" s="50" t="n">
        <v>6678.72854605983</v>
      </c>
      <c r="C13" s="50" t="n">
        <v>1394.700781860884</v>
      </c>
      <c r="D13" s="50" t="n">
        <v>0</v>
      </c>
      <c r="E13" s="50" t="n">
        <v>5683.432892354294</v>
      </c>
      <c r="F13" s="50" t="n">
        <v>1341.430740821212</v>
      </c>
      <c r="G13" s="50" t="n">
        <v>3029.482557140578</v>
      </c>
      <c r="H13" s="50" t="n">
        <v>0</v>
      </c>
      <c r="I13" s="50" t="n">
        <v>5683.432892354294</v>
      </c>
      <c r="J13" s="50" t="n">
        <v>10358.03778923468</v>
      </c>
    </row>
    <row r="14">
      <c r="A14" s="7" t="n">
        <v>12</v>
      </c>
      <c r="B14" s="50" t="n">
        <v>5613.325413564751</v>
      </c>
      <c r="C14" s="50" t="n">
        <v>740.464205314991</v>
      </c>
      <c r="D14" s="50" t="n">
        <v>0</v>
      </c>
      <c r="E14" s="50" t="n">
        <v>4727.70616425709</v>
      </c>
      <c r="F14" s="50" t="n">
        <v>1337.825564874825</v>
      </c>
      <c r="G14" s="50" t="n">
        <v>2495.256899601514</v>
      </c>
      <c r="H14" s="50" t="n">
        <v>0</v>
      </c>
      <c r="I14" s="50" t="n">
        <v>4727.70616425709</v>
      </c>
      <c r="J14" s="50" t="n">
        <v>8277.438542569174</v>
      </c>
    </row>
    <row r="15">
      <c r="A15" s="7" t="n">
        <v>13</v>
      </c>
      <c r="B15" s="50" t="n">
        <v>6903.177565737235</v>
      </c>
      <c r="C15" s="50" t="n">
        <v>1526.751256047724</v>
      </c>
      <c r="D15" s="50" t="n">
        <v>0</v>
      </c>
      <c r="E15" s="50" t="n">
        <v>5882.285242850769</v>
      </c>
      <c r="F15" s="50" t="n">
        <v>1342.232643521333</v>
      </c>
      <c r="G15" s="50" t="n">
        <v>3140.154860323633</v>
      </c>
      <c r="H15" s="50" t="n">
        <v>0</v>
      </c>
      <c r="I15" s="50" t="n">
        <v>5882.285242850769</v>
      </c>
      <c r="J15" s="50" t="n">
        <v>10773.97915837532</v>
      </c>
    </row>
    <row r="16">
      <c r="A16" s="7" t="n">
        <v>14</v>
      </c>
      <c r="B16" s="50" t="n">
        <v>5719.466453374711</v>
      </c>
      <c r="C16" s="50" t="n">
        <v>806.1339581622515</v>
      </c>
      <c r="D16" s="50" t="n">
        <v>0</v>
      </c>
      <c r="E16" s="50" t="n">
        <v>4824.523978406796</v>
      </c>
      <c r="F16" s="50" t="n">
        <v>1338.209042920531</v>
      </c>
      <c r="G16" s="50" t="n">
        <v>2549.768045445924</v>
      </c>
      <c r="H16" s="50" t="n">
        <v>0</v>
      </c>
      <c r="I16" s="50" t="n">
        <v>4824.523978406796</v>
      </c>
      <c r="J16" s="50" t="n">
        <v>8485.192285069139</v>
      </c>
    </row>
    <row r="17">
      <c r="A17" s="7" t="n">
        <v>15</v>
      </c>
      <c r="B17" s="50" t="n">
        <v>7154.898410335747</v>
      </c>
      <c r="C17" s="50" t="n">
        <v>1676.533355576499</v>
      </c>
      <c r="D17" s="50" t="n">
        <v>0</v>
      </c>
      <c r="E17" s="50" t="n">
        <v>6103.608903196089</v>
      </c>
      <c r="F17" s="50" t="n">
        <v>1343.122312181717</v>
      </c>
      <c r="G17" s="50" t="n">
        <v>3264.646335573245</v>
      </c>
      <c r="H17" s="50" t="n">
        <v>0</v>
      </c>
      <c r="I17" s="50" t="n">
        <v>6103.608903196089</v>
      </c>
      <c r="J17" s="50" t="n">
        <v>11246.84595927487</v>
      </c>
    </row>
    <row r="18">
      <c r="A18" s="7" t="n">
        <v>16</v>
      </c>
      <c r="B18" s="50" t="n">
        <v>5838.463289438137</v>
      </c>
      <c r="C18" s="50" t="n">
        <v>878.9231255642017</v>
      </c>
      <c r="D18" s="50" t="n">
        <v>0</v>
      </c>
      <c r="E18" s="50" t="n">
        <v>4932.731656668661</v>
      </c>
      <c r="F18" s="50" t="n">
        <v>1338.629607241714</v>
      </c>
      <c r="G18" s="50" t="n">
        <v>2610.190364235227</v>
      </c>
      <c r="H18" s="50" t="n">
        <v>0</v>
      </c>
      <c r="I18" s="50" t="n">
        <v>4932.731656668661</v>
      </c>
      <c r="J18" s="50" t="n">
        <v>8715.626205956152</v>
      </c>
    </row>
    <row r="19">
      <c r="A19" s="7" t="n">
        <v>17</v>
      </c>
      <c r="B19" s="50" t="n">
        <v>7434.018762880411</v>
      </c>
      <c r="C19" s="50" t="n">
        <v>1842.912713731541</v>
      </c>
      <c r="D19" s="50" t="n">
        <v>0</v>
      </c>
      <c r="E19" s="50" t="n">
        <v>6347.553500448399</v>
      </c>
      <c r="F19" s="50" t="n">
        <v>1344.099125874924</v>
      </c>
      <c r="G19" s="50" t="n">
        <v>3402.909913345244</v>
      </c>
      <c r="H19" s="50" t="n">
        <v>0</v>
      </c>
      <c r="I19" s="50" t="n">
        <v>6347.553500448399</v>
      </c>
      <c r="J19" s="50" t="n">
        <v>11772.48948471718</v>
      </c>
    </row>
    <row r="20">
      <c r="A20" s="7" t="n">
        <v>18</v>
      </c>
      <c r="B20" s="50" t="n">
        <v>5969.41930858552</v>
      </c>
      <c r="C20" s="50" t="n">
        <v>959.3175062558275</v>
      </c>
      <c r="D20" s="50" t="n">
        <v>0</v>
      </c>
      <c r="E20" s="50" t="n">
        <v>5051.173489624582</v>
      </c>
      <c r="F20" s="50" t="n">
        <v>1339.075260754576</v>
      </c>
      <c r="G20" s="50" t="n">
        <v>2676.476821227147</v>
      </c>
      <c r="H20" s="50" t="n">
        <v>0</v>
      </c>
      <c r="I20" s="50" t="n">
        <v>5051.173489624582</v>
      </c>
      <c r="J20" s="50" t="n">
        <v>8970.999960156409</v>
      </c>
    </row>
    <row r="21">
      <c r="A21" s="7" t="n">
        <v>19</v>
      </c>
      <c r="B21" s="50" t="n">
        <v>7744.380810748602</v>
      </c>
      <c r="C21" s="50" t="n">
        <v>2025.788722228241</v>
      </c>
      <c r="D21" s="50" t="n">
        <v>0</v>
      </c>
      <c r="E21" s="50" t="n">
        <v>6617.962829033464</v>
      </c>
      <c r="F21" s="50" t="n">
        <v>1345.160281442357</v>
      </c>
      <c r="G21" s="50" t="n">
        <v>3555.336513491522</v>
      </c>
      <c r="H21" s="50" t="n">
        <v>0</v>
      </c>
      <c r="I21" s="50" t="n">
        <v>6617.962829033464</v>
      </c>
      <c r="J21" s="50" t="n">
        <v>12350.4958724495</v>
      </c>
    </row>
    <row r="22">
      <c r="A22" s="7" t="n">
        <v>20</v>
      </c>
      <c r="B22" s="50" t="n">
        <v>6113.748413462544</v>
      </c>
      <c r="C22" s="50" t="n">
        <v>1046.957037528273</v>
      </c>
      <c r="D22" s="50" t="n">
        <v>0</v>
      </c>
      <c r="E22" s="50" t="n">
        <v>5181.28051327401</v>
      </c>
      <c r="F22" s="50" t="n">
        <v>1339.541495982228</v>
      </c>
      <c r="G22" s="50" t="n">
        <v>2748.421885488002</v>
      </c>
      <c r="H22" s="50" t="n">
        <v>0</v>
      </c>
      <c r="I22" s="50" t="n">
        <v>5181.28051327401</v>
      </c>
      <c r="J22" s="50" t="n">
        <v>9250.232691428093</v>
      </c>
    </row>
    <row r="23">
      <c r="A23" s="7" t="n">
        <v>21</v>
      </c>
      <c r="B23" s="50" t="n">
        <v>8089.826114210636</v>
      </c>
      <c r="C23" s="50" t="n">
        <v>2227.117922939709</v>
      </c>
      <c r="D23" s="50" t="n">
        <v>0</v>
      </c>
      <c r="E23" s="50" t="n">
        <v>6918.077222055683</v>
      </c>
      <c r="F23" s="50" t="n">
        <v>1346.292948796588</v>
      </c>
      <c r="G23" s="50" t="n">
        <v>3722.712010759897</v>
      </c>
      <c r="H23" s="50" t="n">
        <v>0</v>
      </c>
      <c r="I23" s="50" t="n">
        <v>6918.077222055683</v>
      </c>
      <c r="J23" s="50" t="n">
        <v>12988.22038391291</v>
      </c>
    </row>
    <row r="24">
      <c r="A24" s="7" t="n">
        <v>22</v>
      </c>
      <c r="B24" s="50" t="n">
        <v>6269.722706590858</v>
      </c>
      <c r="C24" s="50" t="n">
        <v>1141.841141230705</v>
      </c>
      <c r="D24" s="50" t="n">
        <v>0</v>
      </c>
      <c r="E24" s="50" t="n">
        <v>5321.14569782273</v>
      </c>
      <c r="F24" s="50" t="n">
        <v>1340.007149795223</v>
      </c>
      <c r="G24" s="50" t="n">
        <v>2825.338041846899</v>
      </c>
      <c r="H24" s="50" t="n">
        <v>0</v>
      </c>
      <c r="I24" s="50" t="n">
        <v>5321.14569782273</v>
      </c>
      <c r="J24" s="50" t="n">
        <v>9554.364405929824</v>
      </c>
    </row>
    <row r="25">
      <c r="A25" s="7" t="n">
        <v>23</v>
      </c>
      <c r="B25" s="50" t="n">
        <v>8473.192358128783</v>
      </c>
      <c r="C25" s="50" t="n">
        <v>2449.319292677825</v>
      </c>
      <c r="D25" s="50" t="n">
        <v>0</v>
      </c>
      <c r="E25" s="50" t="n">
        <v>7249.879892922774</v>
      </c>
      <c r="F25" s="50" t="n">
        <v>1347.488092549906</v>
      </c>
      <c r="G25" s="50" t="n">
        <v>3905.877392709248</v>
      </c>
      <c r="H25" s="50" t="n">
        <v>0</v>
      </c>
      <c r="I25" s="50" t="n">
        <v>7249.879892922774</v>
      </c>
      <c r="J25" s="50" t="n">
        <v>13694.51972359026</v>
      </c>
    </row>
    <row r="26">
      <c r="A26" s="7" t="n">
        <v>24</v>
      </c>
      <c r="B26" s="50" t="n">
        <v>6435.89020011144</v>
      </c>
      <c r="C26" s="50" t="n">
        <v>1243.076810962182</v>
      </c>
      <c r="D26" s="50" t="n">
        <v>0</v>
      </c>
      <c r="E26" s="50" t="n">
        <v>5469.369012221807</v>
      </c>
      <c r="F26" s="50" t="n">
        <v>1340.459378618874</v>
      </c>
      <c r="G26" s="50" t="n">
        <v>2906.295673874124</v>
      </c>
      <c r="H26" s="50" t="n">
        <v>0</v>
      </c>
      <c r="I26" s="50" t="n">
        <v>5469.369012221807</v>
      </c>
      <c r="J26" s="50" t="n">
        <v>9880.913865635221</v>
      </c>
    </row>
    <row r="27">
      <c r="A27" s="7" t="n">
        <v>25</v>
      </c>
      <c r="B27" s="50" t="n">
        <v>8896.146693340594</v>
      </c>
      <c r="C27" s="50" t="n">
        <v>2694.164945355522</v>
      </c>
      <c r="D27" s="50" t="n">
        <v>0</v>
      </c>
      <c r="E27" s="50" t="n">
        <v>7614.277786250725</v>
      </c>
      <c r="F27" s="50" t="n">
        <v>1348.742608083339</v>
      </c>
      <c r="G27" s="50" t="n">
        <v>4105.400377390353</v>
      </c>
      <c r="H27" s="50" t="n">
        <v>0</v>
      </c>
      <c r="I27" s="50" t="n">
        <v>7614.277786250725</v>
      </c>
      <c r="J27" s="50" t="n">
        <v>14475.71544434141</v>
      </c>
    </row>
    <row r="28">
      <c r="A28" s="7" t="n">
        <v>26</v>
      </c>
      <c r="B28" s="50" t="n">
        <v>6610.460543012161</v>
      </c>
      <c r="C28" s="50" t="n">
        <v>1350.691967066694</v>
      </c>
      <c r="D28" s="50" t="n">
        <v>0</v>
      </c>
      <c r="E28" s="50" t="n">
        <v>5623.967023783212</v>
      </c>
      <c r="F28" s="50" t="n">
        <v>1340.905911814647</v>
      </c>
      <c r="G28" s="50" t="n">
        <v>2991.287626064668</v>
      </c>
      <c r="H28" s="50" t="n">
        <v>0</v>
      </c>
      <c r="I28" s="50" t="n">
        <v>5623.967023783212</v>
      </c>
      <c r="J28" s="50" t="n">
        <v>10229.67434028609</v>
      </c>
    </row>
    <row r="29">
      <c r="A29" s="7" t="n">
        <v>27</v>
      </c>
      <c r="B29" s="50" t="n">
        <v>9359.901378717366</v>
      </c>
      <c r="C29" s="50" t="n">
        <v>2963.186592178463</v>
      </c>
      <c r="D29" s="50" t="n">
        <v>0</v>
      </c>
      <c r="E29" s="50" t="n">
        <v>8011.737752482632</v>
      </c>
      <c r="F29" s="50" t="n">
        <v>1350.068915078984</v>
      </c>
      <c r="G29" s="50" t="n">
        <v>4322.125546280895</v>
      </c>
      <c r="H29" s="50" t="n">
        <v>0</v>
      </c>
      <c r="I29" s="50" t="n">
        <v>8011.737752482632</v>
      </c>
      <c r="J29" s="50" t="n">
        <v>15336.56030978301</v>
      </c>
    </row>
    <row r="30">
      <c r="A30" s="7" t="n">
        <v>28</v>
      </c>
      <c r="B30" s="50" t="n">
        <v>6794.226881887837</v>
      </c>
      <c r="C30" s="50" t="n">
        <v>1464.062299233237</v>
      </c>
      <c r="D30" s="50" t="n">
        <v>0</v>
      </c>
      <c r="E30" s="50" t="n">
        <v>5785.8383682783</v>
      </c>
      <c r="F30" s="50" t="n">
        <v>1341.366388343427</v>
      </c>
      <c r="G30" s="50" t="n">
        <v>3080.551711299016</v>
      </c>
      <c r="H30" s="50" t="n">
        <v>0</v>
      </c>
      <c r="I30" s="50" t="n">
        <v>5785.8383682783</v>
      </c>
      <c r="J30" s="50" t="n">
        <v>10597.51044094473</v>
      </c>
    </row>
    <row r="31">
      <c r="A31" s="7" t="n">
        <v>29</v>
      </c>
      <c r="B31" s="50" t="n">
        <v>9862.600362326482</v>
      </c>
      <c r="C31" s="50" t="n">
        <v>3255.243372767291</v>
      </c>
      <c r="D31" s="50" t="n">
        <v>0</v>
      </c>
      <c r="E31" s="50" t="n">
        <v>8440.461111454784</v>
      </c>
      <c r="F31" s="50" t="n">
        <v>1351.447268604134</v>
      </c>
      <c r="G31" s="50" t="n">
        <v>4554.902473022463</v>
      </c>
      <c r="H31" s="50" t="n">
        <v>0</v>
      </c>
      <c r="I31" s="50" t="n">
        <v>8440.461111454784</v>
      </c>
      <c r="J31" s="50" t="n">
        <v>16273.84647522902</v>
      </c>
    </row>
    <row r="32">
      <c r="A32" s="7" t="n">
        <v>30</v>
      </c>
      <c r="B32" s="50" t="n">
        <v>6990.941435078372</v>
      </c>
      <c r="C32" s="50" t="n">
        <v>1583.144931632291</v>
      </c>
      <c r="D32" s="50" t="n">
        <v>0</v>
      </c>
      <c r="E32" s="50" t="n">
        <v>5958.882081288141</v>
      </c>
      <c r="F32" s="50" t="n">
        <v>1341.847854488111</v>
      </c>
      <c r="G32" s="50" t="n">
        <v>3174.320253369902</v>
      </c>
      <c r="H32" s="50" t="n">
        <v>0</v>
      </c>
      <c r="I32" s="50" t="n">
        <v>5958.882081288141</v>
      </c>
      <c r="J32" s="50" t="n">
        <v>10983.90918750643</v>
      </c>
    </row>
    <row r="33">
      <c r="A33" s="7" t="n">
        <v>31</v>
      </c>
      <c r="B33" s="50" t="n">
        <v>10404.85117264361</v>
      </c>
      <c r="C33" s="50" t="n">
        <v>3569.578972427018</v>
      </c>
      <c r="D33" s="50" t="n">
        <v>0</v>
      </c>
      <c r="E33" s="50" t="n">
        <v>8901.235248778583</v>
      </c>
      <c r="F33" s="50" t="n">
        <v>1352.868910542515</v>
      </c>
      <c r="G33" s="50" t="n">
        <v>4802.959083542497</v>
      </c>
      <c r="H33" s="50" t="n">
        <v>0</v>
      </c>
      <c r="I33" s="50" t="n">
        <v>8901.235248778583</v>
      </c>
      <c r="J33" s="50" t="n">
        <v>17285.22770401144</v>
      </c>
    </row>
    <row r="34">
      <c r="A34" s="7" t="n">
        <v>32</v>
      </c>
      <c r="B34" s="50" t="n">
        <v>7202.434287361108</v>
      </c>
      <c r="C34" s="50" t="n">
        <v>1709.953659763041</v>
      </c>
      <c r="D34" s="50" t="n">
        <v>0</v>
      </c>
      <c r="E34" s="50" t="n">
        <v>6144.398276123605</v>
      </c>
      <c r="F34" s="50" t="n">
        <v>1342.347240163243</v>
      </c>
      <c r="G34" s="50" t="n">
        <v>3273.221493882134</v>
      </c>
      <c r="H34" s="50" t="n">
        <v>0</v>
      </c>
      <c r="I34" s="50" t="n">
        <v>6144.398276123605</v>
      </c>
      <c r="J34" s="50" t="n">
        <v>11396.13928437054</v>
      </c>
    </row>
    <row r="35">
      <c r="A35" s="7" t="n">
        <v>33</v>
      </c>
      <c r="B35" s="50" t="n">
        <v>10987.64595961667</v>
      </c>
      <c r="C35" s="50" t="n">
        <v>3908.645249733017</v>
      </c>
      <c r="D35" s="50" t="n">
        <v>0</v>
      </c>
      <c r="E35" s="50" t="n">
        <v>9393.977181778893</v>
      </c>
      <c r="F35" s="50" t="n">
        <v>1354.36529401553</v>
      </c>
      <c r="G35" s="50" t="n">
        <v>5067.881014208706</v>
      </c>
      <c r="H35" s="50" t="n">
        <v>0</v>
      </c>
      <c r="I35" s="50" t="n">
        <v>9393.977181778893</v>
      </c>
      <c r="J35" s="50" t="n">
        <v>18377.83447104776</v>
      </c>
    </row>
    <row r="36">
      <c r="A36" s="7" t="n">
        <v>34</v>
      </c>
      <c r="B36" s="50" t="n">
        <v>7432.521222117396</v>
      </c>
      <c r="C36" s="50" t="n">
        <v>1846.556473041144</v>
      </c>
      <c r="D36" s="50" t="n">
        <v>0</v>
      </c>
      <c r="E36" s="50" t="n">
        <v>6345.698530680933</v>
      </c>
      <c r="F36" s="50" t="n">
        <v>1342.882094607394</v>
      </c>
      <c r="G36" s="50" t="n">
        <v>3378.40886043838</v>
      </c>
      <c r="H36" s="50" t="n">
        <v>0</v>
      </c>
      <c r="I36" s="50" t="n">
        <v>6345.698530680933</v>
      </c>
      <c r="J36" s="50" t="n">
        <v>11840.69320793149</v>
      </c>
    </row>
    <row r="37">
      <c r="A37" s="7" t="n">
        <v>35</v>
      </c>
      <c r="B37" s="50" t="n">
        <v>11615.7371469023</v>
      </c>
      <c r="C37" s="50" t="n">
        <v>4273.953965472909</v>
      </c>
      <c r="D37" s="50" t="n">
        <v>0</v>
      </c>
      <c r="E37" s="50" t="n">
        <v>9923.036960305632</v>
      </c>
      <c r="F37" s="50" t="n">
        <v>1355.992522653403</v>
      </c>
      <c r="G37" s="50" t="n">
        <v>5351.882511661235</v>
      </c>
      <c r="H37" s="50" t="n">
        <v>0</v>
      </c>
      <c r="I37" s="50" t="n">
        <v>9923.036960305632</v>
      </c>
      <c r="J37" s="50" t="n">
        <v>19554.31134540185</v>
      </c>
    </row>
    <row r="38">
      <c r="A38" s="7" t="n">
        <v>36</v>
      </c>
      <c r="B38" s="50" t="n">
        <v>7680.248041316116</v>
      </c>
      <c r="C38" s="50" t="n">
        <v>1995.481151217646</v>
      </c>
      <c r="D38" s="50" t="n">
        <v>0</v>
      </c>
      <c r="E38" s="50" t="n">
        <v>6560.838459503493</v>
      </c>
      <c r="F38" s="50" t="n">
        <v>1343.472717516324</v>
      </c>
      <c r="G38" s="50" t="n">
        <v>3491.262901593806</v>
      </c>
      <c r="H38" s="50" t="n">
        <v>0</v>
      </c>
      <c r="I38" s="50" t="n">
        <v>6560.838459503493</v>
      </c>
      <c r="J38" s="50" t="n">
        <v>12325.55063256775</v>
      </c>
    </row>
    <row r="39">
      <c r="A39" s="7" t="n">
        <v>37</v>
      </c>
      <c r="B39" s="50" t="n">
        <v>12296.21712550559</v>
      </c>
      <c r="C39" s="50" t="n">
        <v>4668.256403237137</v>
      </c>
      <c r="D39" s="50" t="n">
        <v>0</v>
      </c>
      <c r="E39" s="50" t="n">
        <v>10494.83489206005</v>
      </c>
      <c r="F39" s="50" t="n">
        <v>1357.799447460457</v>
      </c>
      <c r="G39" s="50" t="n">
        <v>5657.794928620286</v>
      </c>
      <c r="H39" s="50" t="n">
        <v>0</v>
      </c>
      <c r="I39" s="50" t="n">
        <v>10494.83489206005</v>
      </c>
      <c r="J39" s="50" t="n">
        <v>20821.89671700574</v>
      </c>
    </row>
    <row r="40">
      <c r="A40" s="7" t="n">
        <v>38</v>
      </c>
      <c r="B40" s="50" t="n">
        <v>7945.77826013253</v>
      </c>
      <c r="C40" s="50" t="n">
        <v>2156.780673084457</v>
      </c>
      <c r="D40" s="50" t="n">
        <v>0</v>
      </c>
      <c r="E40" s="50" t="n">
        <v>6789.762881351813</v>
      </c>
      <c r="F40" s="50" t="n">
        <v>1344.158708608014</v>
      </c>
      <c r="G40" s="50" t="n">
        <v>3613.016986968069</v>
      </c>
      <c r="H40" s="50" t="n">
        <v>0</v>
      </c>
      <c r="I40" s="50" t="n">
        <v>6789.762881351813</v>
      </c>
      <c r="J40" s="50" t="n">
        <v>12848.94887444401</v>
      </c>
    </row>
    <row r="41">
      <c r="A41" s="7" t="n">
        <v>39</v>
      </c>
      <c r="B41" s="50" t="n">
        <v>13037.71555696781</v>
      </c>
      <c r="C41" s="50" t="n">
        <v>5097.034440457872</v>
      </c>
      <c r="D41" s="50" t="n">
        <v>0</v>
      </c>
      <c r="E41" s="50" t="n">
        <v>11116.24823690289</v>
      </c>
      <c r="F41" s="50" t="n">
        <v>1359.854190758735</v>
      </c>
      <c r="G41" s="50" t="n">
        <v>5990.331859094855</v>
      </c>
      <c r="H41" s="50" t="n">
        <v>0</v>
      </c>
      <c r="I41" s="50" t="n">
        <v>11116.24823690289</v>
      </c>
      <c r="J41" s="50" t="n">
        <v>22196.500931698</v>
      </c>
    </row>
    <row r="42">
      <c r="A42" s="7" t="n">
        <v>40</v>
      </c>
      <c r="B42" s="50" t="n">
        <v>8230.22121927652</v>
      </c>
      <c r="C42" s="50" t="n">
        <v>2329.995602638068</v>
      </c>
      <c r="D42" s="50" t="n">
        <v>0</v>
      </c>
      <c r="E42" s="50" t="n">
        <v>7033.622215260406</v>
      </c>
      <c r="F42" s="50" t="n">
        <v>1344.967986722688</v>
      </c>
      <c r="G42" s="50" t="n">
        <v>3744.777064345897</v>
      </c>
      <c r="H42" s="50" t="n">
        <v>0</v>
      </c>
      <c r="I42" s="50" t="n">
        <v>7033.622215260406</v>
      </c>
      <c r="J42" s="50" t="n">
        <v>13407.74860816761</v>
      </c>
    </row>
    <row r="43">
      <c r="A43" s="7" t="n">
        <v>41</v>
      </c>
      <c r="B43" s="50" t="n">
        <v>13840.65868469144</v>
      </c>
      <c r="C43" s="50" t="n">
        <v>5563.266606205885</v>
      </c>
      <c r="D43" s="50" t="n">
        <v>0</v>
      </c>
      <c r="E43" s="50" t="n">
        <v>11786.1923855498</v>
      </c>
      <c r="F43" s="50" t="n">
        <v>1362.181815631367</v>
      </c>
      <c r="G43" s="50" t="n">
        <v>6352.307117102449</v>
      </c>
      <c r="H43" s="50" t="n">
        <v>0</v>
      </c>
      <c r="I43" s="50" t="n">
        <v>11786.1923855498</v>
      </c>
      <c r="J43" s="50" t="n">
        <v>23687.01414332198</v>
      </c>
    </row>
    <row r="44">
      <c r="A44" s="7" t="n">
        <v>42</v>
      </c>
      <c r="B44" s="50" t="n">
        <v>8530.621499990686</v>
      </c>
      <c r="C44" s="50" t="n">
        <v>2515.506526862246</v>
      </c>
      <c r="D44" s="50" t="n">
        <v>0</v>
      </c>
      <c r="E44" s="50" t="n">
        <v>7288.966483576092</v>
      </c>
      <c r="F44" s="50" t="n">
        <v>1345.919644298647</v>
      </c>
      <c r="G44" s="50" t="n">
        <v>3888.058575996283</v>
      </c>
      <c r="H44" s="50" t="n">
        <v>0</v>
      </c>
      <c r="I44" s="50" t="n">
        <v>7288.966483576092</v>
      </c>
      <c r="J44" s="50" t="n">
        <v>14002.10062228702</v>
      </c>
    </row>
    <row r="45">
      <c r="A45" s="7" t="n">
        <v>43</v>
      </c>
      <c r="B45" s="50" t="n">
        <v>14707.248622479</v>
      </c>
      <c r="C45" s="50" t="n">
        <v>6065.122951576181</v>
      </c>
      <c r="D45" s="50" t="n">
        <v>0</v>
      </c>
      <c r="E45" s="50" t="n">
        <v>12507.82370786293</v>
      </c>
      <c r="F45" s="50" t="n">
        <v>1364.777831375453</v>
      </c>
      <c r="G45" s="50" t="n">
        <v>6744.215543847815</v>
      </c>
      <c r="H45" s="50" t="n">
        <v>0</v>
      </c>
      <c r="I45" s="50" t="n">
        <v>12507.82370786293</v>
      </c>
      <c r="J45" s="50" t="n">
        <v>25286.62458203526</v>
      </c>
    </row>
    <row r="46">
      <c r="A46" s="7" t="n">
        <v>44</v>
      </c>
      <c r="B46" s="50" t="n">
        <v>8852.453588445676</v>
      </c>
      <c r="C46" s="50" t="n">
        <v>2710.174136095255</v>
      </c>
      <c r="D46" s="50" t="n">
        <v>0</v>
      </c>
      <c r="E46" s="50" t="n">
        <v>7562.678771372039</v>
      </c>
      <c r="F46" s="50" t="n">
        <v>1347.012134486708</v>
      </c>
      <c r="G46" s="50" t="n">
        <v>4042.868861693136</v>
      </c>
      <c r="H46" s="50" t="n">
        <v>0</v>
      </c>
      <c r="I46" s="50" t="n">
        <v>7562.678771372039</v>
      </c>
      <c r="J46" s="50" t="n">
        <v>14620.58925648994</v>
      </c>
    </row>
    <row r="47">
      <c r="A47" s="7" t="n">
        <v>45</v>
      </c>
      <c r="B47" s="50" t="n">
        <v>15643.40601403269</v>
      </c>
      <c r="C47" s="50" t="n">
        <v>6604.689625493083</v>
      </c>
      <c r="D47" s="50" t="n">
        <v>0</v>
      </c>
      <c r="E47" s="50" t="n">
        <v>13286.68199833612</v>
      </c>
      <c r="F47" s="50" t="n">
        <v>1367.64270893819</v>
      </c>
      <c r="G47" s="50" t="n">
        <v>7168.3543073732</v>
      </c>
      <c r="H47" s="50" t="n">
        <v>0</v>
      </c>
      <c r="I47" s="50" t="n">
        <v>13286.68199833612</v>
      </c>
      <c r="J47" s="50" t="n">
        <v>27001.98519003263</v>
      </c>
    </row>
    <row r="48">
      <c r="A48" s="7" t="n">
        <v>46</v>
      </c>
      <c r="B48" s="50" t="n">
        <v>9202.562628140857</v>
      </c>
      <c r="C48" s="50" t="n">
        <v>2918.684726202926</v>
      </c>
      <c r="D48" s="50" t="n">
        <v>0</v>
      </c>
      <c r="E48" s="50" t="n">
        <v>7860.364026103005</v>
      </c>
      <c r="F48" s="50" t="n">
        <v>1348.253625875819</v>
      </c>
      <c r="G48" s="50" t="n">
        <v>4212.590132192036</v>
      </c>
      <c r="H48" s="50" t="n">
        <v>0</v>
      </c>
      <c r="I48" s="50" t="n">
        <v>7860.364026103005</v>
      </c>
      <c r="J48" s="50" t="n">
        <v>15278.93253036549</v>
      </c>
    </row>
    <row r="49">
      <c r="A49" s="7" t="n">
        <v>47</v>
      </c>
      <c r="B49" s="50" t="n">
        <v>16657.83977329465</v>
      </c>
      <c r="C49" s="50" t="n">
        <v>7186.46613581889</v>
      </c>
      <c r="D49" s="50" t="n">
        <v>0</v>
      </c>
      <c r="E49" s="50" t="n">
        <v>14130.25255449971</v>
      </c>
      <c r="F49" s="50" t="n">
        <v>1370.792494841327</v>
      </c>
      <c r="G49" s="50" t="n">
        <v>7628.438336135827</v>
      </c>
      <c r="H49" s="50" t="n">
        <v>0</v>
      </c>
      <c r="I49" s="50" t="n">
        <v>14130.25255449971</v>
      </c>
      <c r="J49" s="50" t="n">
        <v>28847.5000871313</v>
      </c>
    </row>
    <row r="50">
      <c r="A50" s="7" t="n">
        <v>48</v>
      </c>
      <c r="B50" s="50" t="n">
        <v>9586.627540296487</v>
      </c>
      <c r="C50" s="50" t="n">
        <v>3145.043853619773</v>
      </c>
      <c r="D50" s="50" t="n">
        <v>0</v>
      </c>
      <c r="E50" s="50" t="n">
        <v>8186.529361373763</v>
      </c>
      <c r="F50" s="50" t="n">
        <v>1349.650407513604</v>
      </c>
      <c r="G50" s="50" t="n">
        <v>4400.271737555828</v>
      </c>
      <c r="H50" s="50" t="n">
        <v>0</v>
      </c>
      <c r="I50" s="50" t="n">
        <v>8186.529361373763</v>
      </c>
      <c r="J50" s="50" t="n">
        <v>15990.52927351366</v>
      </c>
    </row>
    <row r="51">
      <c r="A51" s="7" t="n">
        <v>49</v>
      </c>
      <c r="B51" s="50" t="n">
        <v>17763.43254504698</v>
      </c>
      <c r="C51" s="50" t="n">
        <v>7816.183084735436</v>
      </c>
      <c r="D51" s="50" t="n">
        <v>0</v>
      </c>
      <c r="E51" s="50" t="n">
        <v>15050.08003176209</v>
      </c>
      <c r="F51" s="50" t="n">
        <v>1374.253614447516</v>
      </c>
      <c r="G51" s="50" t="n">
        <v>8129.002416514195</v>
      </c>
      <c r="H51" s="50" t="n">
        <v>0</v>
      </c>
      <c r="I51" s="50" t="n">
        <v>15050.08003176209</v>
      </c>
      <c r="J51" s="50" t="n">
        <v>30841.40394584421</v>
      </c>
    </row>
    <row r="52">
      <c r="A52" s="7" t="n">
        <v>50</v>
      </c>
      <c r="B52" s="50" t="n">
        <v>10017.68308706216</v>
      </c>
      <c r="C52" s="50" t="n">
        <v>3393.214809260942</v>
      </c>
      <c r="D52" s="50" t="n">
        <v>0</v>
      </c>
      <c r="E52" s="50" t="n">
        <v>8553.594361014586</v>
      </c>
      <c r="F52" s="50" t="n">
        <v>1351.221395859342</v>
      </c>
      <c r="G52" s="50" t="n">
        <v>4609.379266319</v>
      </c>
      <c r="H52" s="50" t="n">
        <v>0</v>
      </c>
      <c r="I52" s="50" t="n">
        <v>8553.594361014586</v>
      </c>
      <c r="J52" s="50" t="n">
        <v>16768.03256609743</v>
      </c>
    </row>
    <row r="53">
      <c r="A53" s="7" t="n">
        <v>51</v>
      </c>
      <c r="B53" s="50" t="n">
        <v>18970.76313058686</v>
      </c>
      <c r="C53" s="50" t="n">
        <v>8500.229644970081</v>
      </c>
      <c r="D53" s="50" t="n">
        <v>0</v>
      </c>
      <c r="E53" s="50" t="n">
        <v>16054.79563489995</v>
      </c>
      <c r="F53" s="50" t="n">
        <v>1378.018917317662</v>
      </c>
      <c r="G53" s="50" t="n">
        <v>8673.7599553623</v>
      </c>
      <c r="H53" s="50" t="n">
        <v>0</v>
      </c>
      <c r="I53" s="50" t="n">
        <v>16054.79563489995</v>
      </c>
      <c r="J53" s="50" t="n">
        <v>33005.46136667774</v>
      </c>
    </row>
    <row r="54">
      <c r="A54" s="7" t="n">
        <v>52</v>
      </c>
      <c r="B54" s="50" t="n">
        <v>10506.93774754525</v>
      </c>
      <c r="C54" s="50" t="n">
        <v>3670.08542339324</v>
      </c>
      <c r="D54" s="50" t="n">
        <v>0</v>
      </c>
      <c r="E54" s="50" t="n">
        <v>8970.834273953409</v>
      </c>
      <c r="F54" s="50" t="n">
        <v>1352.954534917561</v>
      </c>
      <c r="G54" s="50" t="n">
        <v>4843.369016334105</v>
      </c>
      <c r="H54" s="50" t="n">
        <v>0</v>
      </c>
      <c r="I54" s="50" t="n">
        <v>8970.834273953409</v>
      </c>
      <c r="J54" s="50" t="n">
        <v>17635.84150646869</v>
      </c>
    </row>
    <row r="55">
      <c r="A55" s="7" t="n">
        <v>53</v>
      </c>
      <c r="B55" s="50" t="n">
        <v>20288.34888564383</v>
      </c>
      <c r="C55" s="50" t="n">
        <v>9243.910188531081</v>
      </c>
      <c r="D55" s="50" t="n">
        <v>0</v>
      </c>
      <c r="E55" s="50" t="n">
        <v>17151.24446954604</v>
      </c>
      <c r="F55" s="50" t="n">
        <v>1382.063262176642</v>
      </c>
      <c r="G55" s="50" t="n">
        <v>9265.186577102431</v>
      </c>
      <c r="H55" s="50" t="n">
        <v>0</v>
      </c>
      <c r="I55" s="50" t="n">
        <v>17151.24446954604</v>
      </c>
      <c r="J55" s="50" t="n">
        <v>35358.21870296285</v>
      </c>
    </row>
    <row r="56">
      <c r="A56" s="7" t="n">
        <v>54</v>
      </c>
      <c r="B56" s="50" t="n">
        <v>11061.57871950561</v>
      </c>
      <c r="C56" s="50" t="n">
        <v>3983.287088425477</v>
      </c>
      <c r="D56" s="50" t="n">
        <v>0</v>
      </c>
      <c r="E56" s="50" t="n">
        <v>9442.69033130816</v>
      </c>
      <c r="F56" s="50" t="n">
        <v>1354.858574088525</v>
      </c>
      <c r="G56" s="50" t="n">
        <v>5106.156647249292</v>
      </c>
      <c r="H56" s="50" t="n">
        <v>0</v>
      </c>
      <c r="I56" s="50" t="n">
        <v>9442.69033130816</v>
      </c>
      <c r="J56" s="50" t="n">
        <v>18620.09129408353</v>
      </c>
    </row>
    <row r="57">
      <c r="A57" s="7" t="n">
        <v>55</v>
      </c>
      <c r="B57" s="50" t="n">
        <v>21723.20007547108</v>
      </c>
      <c r="C57" s="50" t="n">
        <v>10053.53450220361</v>
      </c>
      <c r="D57" s="50" t="n">
        <v>0</v>
      </c>
      <c r="E57" s="50" t="n">
        <v>18343.95790910214</v>
      </c>
      <c r="F57" s="50" t="n">
        <v>1386.392175457251</v>
      </c>
      <c r="G57" s="50" t="n">
        <v>9906.633546562778</v>
      </c>
      <c r="H57" s="50" t="n">
        <v>0</v>
      </c>
      <c r="I57" s="50" t="n">
        <v>18343.95790910214</v>
      </c>
      <c r="J57" s="50" t="n">
        <v>37920.46725800844</v>
      </c>
    </row>
    <row r="58">
      <c r="A58" s="7" t="n">
        <v>56</v>
      </c>
      <c r="B58" s="50" t="n">
        <v>11687.50001879442</v>
      </c>
      <c r="C58" s="50" t="n">
        <v>4337.74407350814</v>
      </c>
      <c r="D58" s="50" t="n">
        <v>0</v>
      </c>
      <c r="E58" s="50" t="n">
        <v>9973.159456816877</v>
      </c>
      <c r="F58" s="50" t="n">
        <v>1356.968884908769</v>
      </c>
      <c r="G58" s="50" t="n">
        <v>5401.287474888089</v>
      </c>
      <c r="H58" s="50" t="n">
        <v>0</v>
      </c>
      <c r="I58" s="50" t="n">
        <v>9973.159456816877</v>
      </c>
      <c r="J58" s="50" t="n">
        <v>19736.18014053566</v>
      </c>
    </row>
    <row r="59">
      <c r="A59" s="7" t="n">
        <v>57</v>
      </c>
      <c r="B59" s="50" t="n">
        <v>23296.63176045918</v>
      </c>
      <c r="C59" s="50" t="n">
        <v>10933.63553352363</v>
      </c>
      <c r="D59" s="50" t="n">
        <v>0</v>
      </c>
      <c r="E59" s="50" t="n">
        <v>19654.73827888566</v>
      </c>
      <c r="F59" s="50" t="n">
        <v>1391.034516400818</v>
      </c>
      <c r="G59" s="50" t="n">
        <v>10601.36293553459</v>
      </c>
      <c r="H59" s="50" t="n">
        <v>0</v>
      </c>
      <c r="I59" s="50" t="n">
        <v>19654.73827888566</v>
      </c>
      <c r="J59" s="50" t="n">
        <v>40705.87894013857</v>
      </c>
    </row>
    <row r="60">
      <c r="A60" s="7" t="n">
        <v>58</v>
      </c>
      <c r="B60" s="50" t="n">
        <v>12394.41872253416</v>
      </c>
      <c r="C60" s="50" t="n">
        <v>4736.499599092611</v>
      </c>
      <c r="D60" s="50" t="n">
        <v>0</v>
      </c>
      <c r="E60" s="50" t="n">
        <v>10571.21448667753</v>
      </c>
      <c r="F60" s="50" t="n">
        <v>1359.319223278231</v>
      </c>
      <c r="G60" s="50" t="n">
        <v>5731.72407899638</v>
      </c>
      <c r="H60" s="50" t="n">
        <v>0</v>
      </c>
      <c r="I60" s="50" t="n">
        <v>10571.21448667753</v>
      </c>
      <c r="J60" s="50" t="n">
        <v>20992.88747785729</v>
      </c>
    </row>
    <row r="61">
      <c r="A61" s="7" t="n">
        <v>59</v>
      </c>
      <c r="B61" s="50" t="n">
        <v>25033.02381275409</v>
      </c>
      <c r="C61" s="50" t="n">
        <v>11898.64778056765</v>
      </c>
      <c r="D61" s="50" t="n">
        <v>0</v>
      </c>
      <c r="E61" s="50" t="n">
        <v>21103.53743816141</v>
      </c>
      <c r="F61" s="50" t="n">
        <v>1396.018743098131</v>
      </c>
      <c r="G61" s="50" t="n">
        <v>11355.69200807558</v>
      </c>
      <c r="H61" s="50" t="n">
        <v>0</v>
      </c>
      <c r="I61" s="50" t="n">
        <v>21103.53743816141</v>
      </c>
      <c r="J61" s="50" t="n">
        <v>43762.47508377969</v>
      </c>
    </row>
    <row r="62">
      <c r="A62" s="7" t="n">
        <v>60</v>
      </c>
      <c r="B62" s="50" t="n">
        <v>13197.58900667176</v>
      </c>
      <c r="C62" s="50" t="n">
        <v>5186.505057910952</v>
      </c>
      <c r="D62" s="50" t="n">
        <v>0</v>
      </c>
      <c r="E62" s="50" t="n">
        <v>11250.21513679049</v>
      </c>
      <c r="F62" s="50" t="n">
        <v>1361.959757691322</v>
      </c>
      <c r="G62" s="50" t="n">
        <v>6102.485104698178</v>
      </c>
      <c r="H62" s="50" t="n">
        <v>0</v>
      </c>
      <c r="I62" s="50" t="n">
        <v>11250.21513679049</v>
      </c>
      <c r="J62" s="50" t="n">
        <v>22411.97327513754</v>
      </c>
    </row>
    <row r="63">
      <c r="A63" s="7" t="n">
        <v>61</v>
      </c>
      <c r="B63" s="50" t="n">
        <v>26944.49444113114</v>
      </c>
      <c r="C63" s="50" t="n">
        <v>12962.84572732903</v>
      </c>
      <c r="D63" s="50" t="n">
        <v>0</v>
      </c>
      <c r="E63" s="50" t="n">
        <v>22696.20577022628</v>
      </c>
      <c r="F63" s="50" t="n">
        <v>1401.375117438205</v>
      </c>
      <c r="G63" s="50" t="n">
        <v>12174.96446735441</v>
      </c>
      <c r="H63" s="50" t="n">
        <v>0</v>
      </c>
      <c r="I63" s="50" t="n">
        <v>22696.20577022628</v>
      </c>
      <c r="J63" s="50" t="n">
        <v>47137.59438866965</v>
      </c>
    </row>
    <row r="64">
      <c r="A64" s="7" t="n">
        <v>62</v>
      </c>
      <c r="B64" s="50" t="n">
        <v>14108.32693137213</v>
      </c>
      <c r="C64" s="50" t="n">
        <v>5697.35711475159</v>
      </c>
      <c r="D64" s="50" t="n">
        <v>0</v>
      </c>
      <c r="E64" s="50" t="n">
        <v>12017.89747392547</v>
      </c>
      <c r="F64" s="50" t="n">
        <v>1364.945996882831</v>
      </c>
      <c r="G64" s="50" t="n">
        <v>6519.690430573086</v>
      </c>
      <c r="H64" s="50" t="n">
        <v>0</v>
      </c>
      <c r="I64" s="50" t="n">
        <v>12017.89747392547</v>
      </c>
      <c r="J64" s="50" t="n">
        <v>24024.22694665132</v>
      </c>
    </row>
    <row r="65">
      <c r="A65" s="7" t="n">
        <v>63</v>
      </c>
      <c r="B65" s="50" t="n">
        <v>29033.27632948162</v>
      </c>
      <c r="C65" s="50" t="n">
        <v>14131.45243257572</v>
      </c>
      <c r="D65" s="50" t="n">
        <v>0</v>
      </c>
      <c r="E65" s="50" t="n">
        <v>24432.17529691536</v>
      </c>
      <c r="F65" s="50" t="n">
        <v>1407.139904284646</v>
      </c>
      <c r="G65" s="50" t="n">
        <v>13060.837644749</v>
      </c>
      <c r="H65" s="50" t="n">
        <v>0</v>
      </c>
      <c r="I65" s="50" t="n">
        <v>24432.17529691536</v>
      </c>
      <c r="J65" s="50" t="n">
        <v>50846.94143860118</v>
      </c>
    </row>
    <row r="66">
      <c r="A66" s="7" t="n">
        <v>64</v>
      </c>
      <c r="B66" s="50" t="n">
        <v>15139.5970760497</v>
      </c>
      <c r="C66" s="50" t="n">
        <v>6276.553336347693</v>
      </c>
      <c r="D66" s="50" t="n">
        <v>0</v>
      </c>
      <c r="E66" s="50" t="n">
        <v>12884.66534907375</v>
      </c>
      <c r="F66" s="50" t="n">
        <v>1368.366111791096</v>
      </c>
      <c r="G66" s="50" t="n">
        <v>6989.782958992779</v>
      </c>
      <c r="H66" s="50" t="n">
        <v>0</v>
      </c>
      <c r="I66" s="50" t="n">
        <v>12884.66534907375</v>
      </c>
      <c r="J66" s="50" t="n">
        <v>25851.61484171482</v>
      </c>
    </row>
    <row r="67">
      <c r="A67" s="7" t="n">
        <v>65</v>
      </c>
      <c r="B67" s="50" t="n">
        <v>31298.18823956464</v>
      </c>
      <c r="C67" s="50" t="n">
        <v>15403.28057841757</v>
      </c>
      <c r="D67" s="50" t="n">
        <v>0</v>
      </c>
      <c r="E67" s="50" t="n">
        <v>26310.59983733055</v>
      </c>
      <c r="F67" s="50" t="n">
        <v>1413.325919386029</v>
      </c>
      <c r="G67" s="50" t="n">
        <v>14011.97250442608</v>
      </c>
      <c r="H67" s="50" t="n">
        <v>0</v>
      </c>
      <c r="I67" s="50" t="n">
        <v>26310.59983733055</v>
      </c>
      <c r="J67" s="50" t="n">
        <v>54884.68421608549</v>
      </c>
    </row>
    <row r="68">
      <c r="A68" s="7" t="n">
        <v>66</v>
      </c>
      <c r="B68" s="50" t="n">
        <v>16299.57891729574</v>
      </c>
      <c r="C68" s="50" t="n">
        <v>6930.863607764462</v>
      </c>
      <c r="D68" s="50" t="n">
        <v>0</v>
      </c>
      <c r="E68" s="50" t="n">
        <v>13855.90921851036</v>
      </c>
      <c r="F68" s="50" t="n">
        <v>1372.294950900279</v>
      </c>
      <c r="G68" s="50" t="n">
        <v>7518.936034813589</v>
      </c>
      <c r="H68" s="50" t="n">
        <v>0</v>
      </c>
      <c r="I68" s="50" t="n">
        <v>13855.90921851036</v>
      </c>
      <c r="J68" s="50" t="n">
        <v>27914.01081812744</v>
      </c>
    </row>
    <row r="69">
      <c r="A69" s="7" t="n">
        <v>67</v>
      </c>
      <c r="B69" s="50" t="n">
        <v>33737.92894795224</v>
      </c>
      <c r="C69" s="50" t="n">
        <v>16781.9614601066</v>
      </c>
      <c r="D69" s="50" t="n">
        <v>0</v>
      </c>
      <c r="E69" s="50" t="n">
        <v>28327.62290630079</v>
      </c>
      <c r="F69" s="50" t="n">
        <v>1420.065284384968</v>
      </c>
      <c r="G69" s="50" t="n">
        <v>15031.94934809678</v>
      </c>
      <c r="H69" s="50" t="n">
        <v>0</v>
      </c>
      <c r="I69" s="50" t="n">
        <v>28327.62290630079</v>
      </c>
      <c r="J69" s="50" t="n">
        <v>59258.28731125026</v>
      </c>
    </row>
    <row r="70">
      <c r="A70" s="7" t="n">
        <v>68</v>
      </c>
      <c r="B70" s="50" t="n">
        <v>17602.65065800294</v>
      </c>
      <c r="C70" s="50" t="n">
        <v>7665.501870312015</v>
      </c>
      <c r="D70" s="50" t="n">
        <v>0</v>
      </c>
      <c r="E70" s="50" t="n">
        <v>14944.70763009806</v>
      </c>
      <c r="F70" s="50" t="n">
        <v>1376.833529287702</v>
      </c>
      <c r="G70" s="50" t="n">
        <v>8114.099616321349</v>
      </c>
      <c r="H70" s="50" t="n">
        <v>0</v>
      </c>
      <c r="I70" s="50" t="n">
        <v>14944.70763009806</v>
      </c>
      <c r="J70" s="50" t="n">
        <v>30224.70900880973</v>
      </c>
    </row>
    <row r="71">
      <c r="A71" s="7" t="n">
        <v>69</v>
      </c>
      <c r="B71" s="50" t="n">
        <v>36363.8859772539</v>
      </c>
      <c r="C71" s="50" t="n">
        <v>18264.591307825</v>
      </c>
      <c r="D71" s="50" t="n">
        <v>0</v>
      </c>
      <c r="E71" s="50" t="n">
        <v>30497.97507503274</v>
      </c>
      <c r="F71" s="50" t="n">
        <v>1427.510740942351</v>
      </c>
      <c r="G71" s="50" t="n">
        <v>16123.37213783561</v>
      </c>
      <c r="H71" s="50" t="n">
        <v>0</v>
      </c>
      <c r="I71" s="50" t="n">
        <v>30497.97507503274</v>
      </c>
      <c r="J71" s="50" t="n">
        <v>63952.80553780348</v>
      </c>
    </row>
    <row r="72">
      <c r="A72" s="7" t="n">
        <v>70</v>
      </c>
      <c r="B72" s="50" t="n">
        <v>19068.88645692046</v>
      </c>
      <c r="C72" s="50" t="n">
        <v>8489.513570349125</v>
      </c>
      <c r="D72" s="50" t="n">
        <v>0</v>
      </c>
      <c r="E72" s="50" t="n">
        <v>16168.70832994897</v>
      </c>
      <c r="F72" s="50" t="n">
        <v>1382.091821486043</v>
      </c>
      <c r="G72" s="50" t="n">
        <v>8784.566249728567</v>
      </c>
      <c r="H72" s="50" t="n">
        <v>0</v>
      </c>
      <c r="I72" s="50" t="n">
        <v>16168.70832994897</v>
      </c>
      <c r="J72" s="50" t="n">
        <v>32810.06023650017</v>
      </c>
    </row>
    <row r="73">
      <c r="A73" s="7" t="n">
        <v>71</v>
      </c>
      <c r="B73" s="50" t="n">
        <v>39201.90997894888</v>
      </c>
      <c r="C73" s="50" t="n">
        <v>19856.51201134958</v>
      </c>
      <c r="D73" s="50" t="n">
        <v>0</v>
      </c>
      <c r="E73" s="50" t="n">
        <v>32848.58185991662</v>
      </c>
      <c r="F73" s="50" t="n">
        <v>1435.774612166017</v>
      </c>
      <c r="G73" s="50" t="n">
        <v>17291.19574540475</v>
      </c>
      <c r="H73" s="50" t="n">
        <v>0</v>
      </c>
      <c r="I73" s="50" t="n">
        <v>32848.58185991662</v>
      </c>
      <c r="J73" s="50" t="n">
        <v>68983.37658431192</v>
      </c>
    </row>
    <row r="74">
      <c r="A74" s="7" t="n">
        <v>72</v>
      </c>
      <c r="B74" s="50" t="n">
        <v>20727.21798284779</v>
      </c>
      <c r="C74" s="50" t="n">
        <v>9412.772918003262</v>
      </c>
      <c r="D74" s="50" t="n">
        <v>0</v>
      </c>
      <c r="E74" s="50" t="n">
        <v>17555.28425478331</v>
      </c>
      <c r="F74" s="50" t="n">
        <v>1388.140710605934</v>
      </c>
      <c r="G74" s="50" t="n">
        <v>9539.258932680401</v>
      </c>
      <c r="H74" s="50" t="n">
        <v>0</v>
      </c>
      <c r="I74" s="50" t="n">
        <v>17555.28425478331</v>
      </c>
      <c r="J74" s="50" t="n">
        <v>35700.89344914749</v>
      </c>
    </row>
    <row r="75">
      <c r="A75" s="7" t="n">
        <v>73</v>
      </c>
      <c r="B75" s="50" t="n">
        <v>42270.43789177293</v>
      </c>
      <c r="C75" s="50" t="n">
        <v>21568.39587325722</v>
      </c>
      <c r="D75" s="50" t="n">
        <v>0</v>
      </c>
      <c r="E75" s="50" t="n">
        <v>35394.70956031981</v>
      </c>
      <c r="F75" s="50" t="n">
        <v>1444.841198807815</v>
      </c>
      <c r="G75" s="50" t="n">
        <v>18538.39859197347</v>
      </c>
      <c r="H75" s="50" t="n">
        <v>0</v>
      </c>
      <c r="I75" s="50" t="n">
        <v>35394.70956031981</v>
      </c>
      <c r="J75" s="50" t="n">
        <v>74386.62496119706</v>
      </c>
    </row>
    <row r="76">
      <c r="A76" s="7" t="n">
        <v>74</v>
      </c>
      <c r="B76" s="50" t="n">
        <v>22601.63768789903</v>
      </c>
      <c r="C76" s="50" t="n">
        <v>10451.69473348747</v>
      </c>
      <c r="D76" s="50" t="n">
        <v>0</v>
      </c>
      <c r="E76" s="50" t="n">
        <v>19122.84209136317</v>
      </c>
      <c r="F76" s="50" t="n">
        <v>1395.02089000438</v>
      </c>
      <c r="G76" s="50" t="n">
        <v>10388.35468154875</v>
      </c>
      <c r="H76" s="50" t="n">
        <v>0</v>
      </c>
      <c r="I76" s="50" t="n">
        <v>19122.84209136317</v>
      </c>
      <c r="J76" s="50" t="n">
        <v>38952.06267507393</v>
      </c>
    </row>
    <row r="77">
      <c r="A77" s="7" t="n">
        <v>75</v>
      </c>
      <c r="B77" s="50" t="n">
        <v>45583.30426693257</v>
      </c>
      <c r="C77" s="50" t="n">
        <v>23409.68673496335</v>
      </c>
      <c r="D77" s="50" t="n">
        <v>0</v>
      </c>
      <c r="E77" s="50" t="n">
        <v>38146.92213789758</v>
      </c>
      <c r="F77" s="50" t="n">
        <v>1454.719159864297</v>
      </c>
      <c r="G77" s="50" t="n">
        <v>19866.63026369218</v>
      </c>
      <c r="H77" s="50" t="n">
        <v>0</v>
      </c>
      <c r="I77" s="50" t="n">
        <v>38146.92213789758</v>
      </c>
      <c r="J77" s="50" t="n">
        <v>80194.72825727047</v>
      </c>
    </row>
    <row r="78">
      <c r="A78" s="7" t="n">
        <v>76</v>
      </c>
      <c r="B78" s="50" t="n">
        <v>24716.00047255695</v>
      </c>
      <c r="C78" s="50" t="n">
        <v>11617.76793294377</v>
      </c>
      <c r="D78" s="50" t="n">
        <v>0</v>
      </c>
      <c r="E78" s="50" t="n">
        <v>20892.23159544975</v>
      </c>
      <c r="F78" s="50" t="n">
        <v>1402.753699536144</v>
      </c>
      <c r="G78" s="50" t="n">
        <v>11339.12375145324</v>
      </c>
      <c r="H78" s="50" t="n">
        <v>0</v>
      </c>
      <c r="I78" s="50" t="n">
        <v>20892.23159544975</v>
      </c>
      <c r="J78" s="50" t="n">
        <v>42601.99643064517</v>
      </c>
    </row>
    <row r="79">
      <c r="A79" s="7" t="n">
        <v>77</v>
      </c>
      <c r="B79" s="50" t="n">
        <v>49137.04870024351</v>
      </c>
      <c r="C79" s="50" t="n">
        <v>25380.3238081859</v>
      </c>
      <c r="D79" s="50" t="n">
        <v>0</v>
      </c>
      <c r="E79" s="50" t="n">
        <v>41101.37263350116</v>
      </c>
      <c r="F79" s="50" t="n">
        <v>1465.265557620092</v>
      </c>
      <c r="G79" s="50" t="n">
        <v>21269.52269487039</v>
      </c>
      <c r="H79" s="50" t="n">
        <v>0</v>
      </c>
      <c r="I79" s="50" t="n">
        <v>41101.37263350116</v>
      </c>
      <c r="J79" s="50" t="n">
        <v>86410.15520210651</v>
      </c>
    </row>
    <row r="80">
      <c r="A80" s="7" t="n">
        <v>78</v>
      </c>
      <c r="B80" s="50" t="n">
        <v>27088.19189649828</v>
      </c>
      <c r="C80" s="50" t="n">
        <v>12921.97351517645</v>
      </c>
      <c r="D80" s="50" t="n">
        <v>0</v>
      </c>
      <c r="E80" s="50" t="n">
        <v>22877.82386243422</v>
      </c>
      <c r="F80" s="50" t="n">
        <v>1411.308858315198</v>
      </c>
      <c r="G80" s="50" t="n">
        <v>12396.4384374131</v>
      </c>
      <c r="H80" s="50" t="n">
        <v>0</v>
      </c>
      <c r="I80" s="50" t="n">
        <v>22877.82386243422</v>
      </c>
      <c r="J80" s="50" t="n">
        <v>46689.09739307693</v>
      </c>
    </row>
    <row r="81">
      <c r="A81" s="7" t="n">
        <v>79</v>
      </c>
      <c r="B81" s="50" t="n">
        <v>52933.65403502801</v>
      </c>
      <c r="C81" s="50" t="n">
        <v>27475.0979568249</v>
      </c>
      <c r="D81" s="50" t="n">
        <v>0</v>
      </c>
      <c r="E81" s="50" t="n">
        <v>44263.79675100386</v>
      </c>
      <c r="F81" s="50" t="n">
        <v>1476.302798151737</v>
      </c>
      <c r="G81" s="50" t="n">
        <v>22737.04111980839</v>
      </c>
      <c r="H81" s="50" t="n">
        <v>0</v>
      </c>
      <c r="I81" s="50" t="n">
        <v>44263.79675100386</v>
      </c>
      <c r="J81" s="50" t="n">
        <v>93017.8753023115</v>
      </c>
    </row>
    <row r="82">
      <c r="A82" s="7" t="n">
        <v>80</v>
      </c>
      <c r="B82" s="50" t="n">
        <v>29746.3469064345</v>
      </c>
      <c r="C82" s="50" t="n">
        <v>14374.00410077063</v>
      </c>
      <c r="D82" s="50" t="n">
        <v>0</v>
      </c>
      <c r="E82" s="50" t="n">
        <v>25106.49766188905</v>
      </c>
      <c r="F82" s="50" t="n">
        <v>1420.676433994231</v>
      </c>
      <c r="G82" s="50" t="n">
        <v>13564.19288520771</v>
      </c>
      <c r="H82" s="50" t="n">
        <v>0</v>
      </c>
      <c r="I82" s="50" t="n">
        <v>25106.49766188905</v>
      </c>
      <c r="J82" s="50" t="n">
        <v>51246.5338465012</v>
      </c>
    </row>
    <row r="83">
      <c r="A83" s="7" t="n">
        <v>81</v>
      </c>
      <c r="B83" s="50" t="n">
        <v>56982.25668424154</v>
      </c>
      <c r="C83" s="50" t="n">
        <v>29694.9282368983</v>
      </c>
      <c r="D83" s="50" t="n">
        <v>0</v>
      </c>
      <c r="E83" s="50" t="n">
        <v>47644.65130003233</v>
      </c>
      <c r="F83" s="50" t="n">
        <v>1487.596817893558</v>
      </c>
      <c r="G83" s="50" t="n">
        <v>24258.69486454723</v>
      </c>
      <c r="H83" s="50" t="n">
        <v>0</v>
      </c>
      <c r="I83" s="50" t="n">
        <v>47644.65130003233</v>
      </c>
      <c r="J83" s="50" t="n">
        <v>100022.8339229974</v>
      </c>
    </row>
    <row r="84">
      <c r="A84" s="7" t="n">
        <v>82</v>
      </c>
      <c r="B84" s="50" t="n">
        <v>32715.20154061144</v>
      </c>
      <c r="C84" s="50" t="n">
        <v>15989.72668588941</v>
      </c>
      <c r="D84" s="50" t="n">
        <v>0</v>
      </c>
      <c r="E84" s="50" t="n">
        <v>27597.80163396447</v>
      </c>
      <c r="F84" s="50" t="n">
        <v>1430.831820547231</v>
      </c>
      <c r="G84" s="50" t="n">
        <v>14846.50582717167</v>
      </c>
      <c r="H84" s="50" t="n">
        <v>0</v>
      </c>
      <c r="I84" s="50" t="n">
        <v>27597.80163396447</v>
      </c>
      <c r="J84" s="50" t="n">
        <v>56329.19818485339</v>
      </c>
    </row>
    <row r="85">
      <c r="A85" s="7" t="n">
        <v>83</v>
      </c>
      <c r="B85" s="50" t="n">
        <v>61288.57023970418</v>
      </c>
      <c r="C85" s="50" t="n">
        <v>32048.66623305553</v>
      </c>
      <c r="D85" s="50" t="n">
        <v>0</v>
      </c>
      <c r="E85" s="50" t="n">
        <v>51245.3971387551</v>
      </c>
      <c r="F85" s="50" t="n">
        <v>1498.954177342472</v>
      </c>
      <c r="G85" s="50" t="n">
        <v>25825.37736115474</v>
      </c>
      <c r="H85" s="50" t="n">
        <v>0</v>
      </c>
      <c r="I85" s="50" t="n">
        <v>51245.3971387551</v>
      </c>
      <c r="J85" s="50" t="n">
        <v>107454.4998649975</v>
      </c>
    </row>
    <row r="86">
      <c r="A86" s="7" t="n">
        <v>84</v>
      </c>
      <c r="B86" s="50" t="n">
        <v>36015.38595094192</v>
      </c>
      <c r="C86" s="50" t="n">
        <v>17782.28775717749</v>
      </c>
      <c r="D86" s="50" t="n">
        <v>0</v>
      </c>
      <c r="E86" s="50" t="n">
        <v>30368.01709740236</v>
      </c>
      <c r="F86" s="50" t="n">
        <v>1441.780052387534</v>
      </c>
      <c r="G86" s="50" t="n">
        <v>16245.25756922297</v>
      </c>
      <c r="H86" s="50" t="n">
        <v>0</v>
      </c>
      <c r="I86" s="50" t="n">
        <v>30368.01709740236</v>
      </c>
      <c r="J86" s="50" t="n">
        <v>61981.70209695192</v>
      </c>
    </row>
    <row r="87">
      <c r="A87" s="7" t="n">
        <v>85</v>
      </c>
      <c r="B87" s="50" t="n">
        <v>65856.54717255187</v>
      </c>
      <c r="C87" s="50" t="n">
        <v>34541.23511718295</v>
      </c>
      <c r="D87" s="50" t="n">
        <v>0</v>
      </c>
      <c r="E87" s="50" t="n">
        <v>55067.7330230849</v>
      </c>
      <c r="F87" s="50" t="n">
        <v>1510.28732459282</v>
      </c>
      <c r="G87" s="50" t="n">
        <v>27426.35202865078</v>
      </c>
      <c r="H87" s="50" t="n">
        <v>0</v>
      </c>
      <c r="I87" s="50" t="n">
        <v>55067.7330230849</v>
      </c>
      <c r="J87" s="50" t="n">
        <v>115327.850323584</v>
      </c>
    </row>
    <row r="88">
      <c r="A88" s="7" t="n">
        <v>86</v>
      </c>
      <c r="B88" s="50" t="n">
        <v>39669.35503034985</v>
      </c>
      <c r="C88" s="50" t="n">
        <v>19760.63679024624</v>
      </c>
      <c r="D88" s="50" t="n">
        <v>0</v>
      </c>
      <c r="E88" s="50" t="n">
        <v>33437.96937631746</v>
      </c>
      <c r="F88" s="50" t="n">
        <v>1453.529694346129</v>
      </c>
      <c r="G88" s="50" t="n">
        <v>17758.85813557994</v>
      </c>
      <c r="H88" s="50" t="n">
        <v>0</v>
      </c>
      <c r="I88" s="50" t="n">
        <v>33437.96937631746</v>
      </c>
      <c r="J88" s="50" t="n">
        <v>68234.40476016526</v>
      </c>
    </row>
    <row r="89">
      <c r="A89" s="7" t="n">
        <v>87</v>
      </c>
      <c r="B89" s="50" t="n">
        <v>70679.22771092709</v>
      </c>
      <c r="C89" s="50" t="n">
        <v>37173.04293244227</v>
      </c>
      <c r="D89" s="50" t="n">
        <v>0</v>
      </c>
      <c r="E89" s="50" t="n">
        <v>59103.30714100302</v>
      </c>
      <c r="F89" s="50" t="n">
        <v>1521.464790965081</v>
      </c>
      <c r="G89" s="50" t="n">
        <v>29046.9787213621</v>
      </c>
      <c r="H89" s="50" t="n">
        <v>0</v>
      </c>
      <c r="I89" s="50" t="n">
        <v>59103.30714100302</v>
      </c>
      <c r="J89" s="50" t="n">
        <v>123641.6378233696</v>
      </c>
    </row>
    <row r="90">
      <c r="A90" s="7" t="n">
        <v>88</v>
      </c>
      <c r="B90" s="50" t="n">
        <v>43684.9478866986</v>
      </c>
      <c r="C90" s="50" t="n">
        <v>21931.44961247171</v>
      </c>
      <c r="D90" s="50" t="n">
        <v>0</v>
      </c>
      <c r="E90" s="50" t="n">
        <v>36812.97238992353</v>
      </c>
      <c r="F90" s="50" t="n">
        <v>1465.970962487627</v>
      </c>
      <c r="G90" s="50" t="n">
        <v>19379.64064767232</v>
      </c>
      <c r="H90" s="50" t="n">
        <v>0</v>
      </c>
      <c r="I90" s="50" t="n">
        <v>36812.97238992353</v>
      </c>
      <c r="J90" s="50" t="n">
        <v>75112.44458849481</v>
      </c>
    </row>
    <row r="91">
      <c r="A91" s="7" t="n">
        <v>89</v>
      </c>
      <c r="B91" s="50" t="n">
        <v>75746.89982238208</v>
      </c>
      <c r="C91" s="50" t="n">
        <v>39939.76120329567</v>
      </c>
      <c r="D91" s="50" t="n">
        <v>0</v>
      </c>
      <c r="E91" s="50" t="n">
        <v>63343.44654358234</v>
      </c>
      <c r="F91" s="50" t="n">
        <v>1532.382581566984</v>
      </c>
      <c r="G91" s="50" t="n">
        <v>30670.19449659582</v>
      </c>
      <c r="H91" s="50" t="n">
        <v>0</v>
      </c>
      <c r="I91" s="50" t="n">
        <v>63343.44654358234</v>
      </c>
      <c r="J91" s="50" t="n">
        <v>132378.8073638821</v>
      </c>
    </row>
    <row r="92">
      <c r="A92" s="7" t="n">
        <v>90</v>
      </c>
      <c r="B92" s="50" t="n">
        <v>48062.99097460002</v>
      </c>
      <c r="C92" s="50" t="n">
        <v>24295.44184627157</v>
      </c>
      <c r="D92" s="50" t="n">
        <v>0</v>
      </c>
      <c r="E92" s="50" t="n">
        <v>40493.69745048691</v>
      </c>
      <c r="F92" s="50" t="n">
        <v>1478.981563339883</v>
      </c>
      <c r="G92" s="50" t="n">
        <v>21094.7794531321</v>
      </c>
      <c r="H92" s="50" t="n">
        <v>0</v>
      </c>
      <c r="I92" s="50" t="n">
        <v>40493.69745048691</v>
      </c>
      <c r="J92" s="50" t="n">
        <v>82620.54467091104</v>
      </c>
    </row>
    <row r="93">
      <c r="A93" s="7" t="n">
        <v>91</v>
      </c>
      <c r="B93" s="50" t="n">
        <v>81051.91605249108</v>
      </c>
      <c r="C93" s="50" t="n">
        <v>42835.87462516618</v>
      </c>
      <c r="D93" s="50" t="n">
        <v>0</v>
      </c>
      <c r="E93" s="50" t="n">
        <v>67782.68737317724</v>
      </c>
      <c r="F93" s="50" t="n">
        <v>1542.900532142899</v>
      </c>
      <c r="G93" s="50" t="n">
        <v>32277.50236252835</v>
      </c>
      <c r="H93" s="50" t="n">
        <v>0</v>
      </c>
      <c r="I93" s="50" t="n">
        <v>67782.68737317724</v>
      </c>
      <c r="J93" s="50" t="n">
        <v>141517.6730385076</v>
      </c>
    </row>
    <row r="94">
      <c r="A94" s="7" t="n">
        <v>92</v>
      </c>
      <c r="B94" s="50" t="n">
        <v>52788.75020855217</v>
      </c>
      <c r="C94" s="50" t="n">
        <v>26848.53088278961</v>
      </c>
      <c r="D94" s="50" t="n">
        <v>0</v>
      </c>
      <c r="E94" s="50" t="n">
        <v>44465.57335326058</v>
      </c>
      <c r="F94" s="50" t="n">
        <v>1492.388027942507</v>
      </c>
      <c r="G94" s="50" t="n">
        <v>22885.96445432361</v>
      </c>
      <c r="H94" s="50" t="n">
        <v>0</v>
      </c>
      <c r="I94" s="50" t="n">
        <v>44465.57335326058</v>
      </c>
      <c r="J94" s="50" t="n">
        <v>90747.5996280977</v>
      </c>
    </row>
    <row r="95">
      <c r="A95" s="7" t="n">
        <v>93</v>
      </c>
      <c r="B95" s="50" t="n">
        <v>86612.90011176838</v>
      </c>
      <c r="C95" s="50" t="n">
        <v>45857.06797801919</v>
      </c>
      <c r="D95" s="50" t="n">
        <v>0</v>
      </c>
      <c r="E95" s="50" t="n">
        <v>72445.67630230292</v>
      </c>
      <c r="F95" s="50" t="n">
        <v>1553.201154216775</v>
      </c>
      <c r="G95" s="50" t="n">
        <v>33850.15678691637</v>
      </c>
      <c r="H95" s="50" t="n">
        <v>0</v>
      </c>
      <c r="I95" s="50" t="n">
        <v>72445.67630230292</v>
      </c>
      <c r="J95" s="50" t="n">
        <v>151051.9820631253</v>
      </c>
    </row>
    <row r="96">
      <c r="A96" s="7" t="n">
        <v>94</v>
      </c>
      <c r="B96" s="50" t="n">
        <v>57853.44175749087</v>
      </c>
      <c r="C96" s="50" t="n">
        <v>29580.64070717213</v>
      </c>
      <c r="D96" s="50" t="n">
        <v>0</v>
      </c>
      <c r="E96" s="50" t="n">
        <v>48724.48743532575</v>
      </c>
      <c r="F96" s="50" t="n">
        <v>1506.141388946562</v>
      </c>
      <c r="G96" s="50" t="n">
        <v>24732.38008666539</v>
      </c>
      <c r="H96" s="50" t="n">
        <v>0</v>
      </c>
      <c r="I96" s="50" t="n">
        <v>48724.48743532575</v>
      </c>
      <c r="J96" s="50" t="n">
        <v>99462.07046559235</v>
      </c>
    </row>
    <row r="97">
      <c r="A97" s="7" t="n">
        <v>95</v>
      </c>
      <c r="B97" s="50" t="n">
        <v>92386.69818784505</v>
      </c>
      <c r="C97" s="50" t="n">
        <v>49022.05379984388</v>
      </c>
      <c r="D97" s="50" t="n">
        <v>0</v>
      </c>
      <c r="E97" s="50" t="n">
        <v>77270.0319720266</v>
      </c>
      <c r="F97" s="50" t="n">
        <v>1562.577131825266</v>
      </c>
      <c r="G97" s="50" t="n">
        <v>35374.53037118574</v>
      </c>
      <c r="H97" s="50" t="n">
        <v>0</v>
      </c>
      <c r="I97" s="50" t="n">
        <v>77270.0319720266</v>
      </c>
      <c r="J97" s="50" t="n">
        <v>161017.4755987517</v>
      </c>
    </row>
    <row r="98">
      <c r="A98" s="7" t="n">
        <v>96</v>
      </c>
      <c r="B98" s="50" t="n">
        <v>63226.86341861011</v>
      </c>
      <c r="C98" s="50" t="n">
        <v>32478.31811876874</v>
      </c>
      <c r="D98" s="50" t="n">
        <v>0</v>
      </c>
      <c r="E98" s="50" t="n">
        <v>53243.50098761253</v>
      </c>
      <c r="F98" s="50" t="n">
        <v>1520.009228042909</v>
      </c>
      <c r="G98" s="50" t="n">
        <v>26606.19183842407</v>
      </c>
      <c r="H98" s="50" t="n">
        <v>0</v>
      </c>
      <c r="I98" s="50" t="n">
        <v>53243.50098761253</v>
      </c>
      <c r="J98" s="50" t="n">
        <v>108723.125463377</v>
      </c>
    </row>
    <row r="99">
      <c r="A99" s="7" t="n">
        <v>97</v>
      </c>
      <c r="B99" s="50" t="n">
        <v>98324.8476600662</v>
      </c>
      <c r="C99" s="50" t="n">
        <v>52315.2522671785</v>
      </c>
      <c r="D99" s="50" t="n">
        <v>0</v>
      </c>
      <c r="E99" s="50" t="n">
        <v>82208.17655847041</v>
      </c>
      <c r="F99" s="50" t="n">
        <v>1570.955496359617</v>
      </c>
      <c r="G99" s="50" t="n">
        <v>36832.5869552794</v>
      </c>
      <c r="H99" s="50" t="n">
        <v>0</v>
      </c>
      <c r="I99" s="50" t="n">
        <v>82208.17655847041</v>
      </c>
      <c r="J99" s="50" t="n">
        <v>171352.4897048228</v>
      </c>
    </row>
    <row r="100">
      <c r="A100" s="7" t="n">
        <v>98</v>
      </c>
      <c r="B100" s="50" t="n">
        <v>68855.60178610233</v>
      </c>
      <c r="C100" s="50" t="n">
        <v>35518.13894808909</v>
      </c>
      <c r="D100" s="50" t="n">
        <v>0</v>
      </c>
      <c r="E100" s="50" t="n">
        <v>57974.65517938312</v>
      </c>
      <c r="F100" s="50" t="n">
        <v>1533.573232965718</v>
      </c>
      <c r="G100" s="50" t="n">
        <v>28472.49278757066</v>
      </c>
      <c r="H100" s="50" t="n">
        <v>0</v>
      </c>
      <c r="I100" s="50" t="n">
        <v>57974.65517938312</v>
      </c>
      <c r="J100" s="50" t="n">
        <v>118454.3939925226</v>
      </c>
    </row>
    <row r="101">
      <c r="A101" s="7" t="n">
        <v>99</v>
      </c>
      <c r="B101" s="50" t="n">
        <v>104369.8180535273</v>
      </c>
      <c r="C101" s="50" t="n">
        <v>55711.19561437232</v>
      </c>
      <c r="D101" s="50" t="n">
        <v>0</v>
      </c>
      <c r="E101" s="50" t="n">
        <v>87207.91738185124</v>
      </c>
      <c r="F101" s="50" t="n">
        <v>1578.342063477146</v>
      </c>
      <c r="G101" s="50" t="n">
        <v>38207.6412346104</v>
      </c>
      <c r="H101" s="50" t="n">
        <v>0</v>
      </c>
      <c r="I101" s="50" t="n">
        <v>87207.91738185124</v>
      </c>
      <c r="J101" s="50" t="n">
        <v>181965.9058354209</v>
      </c>
    </row>
    <row r="102">
      <c r="A102" s="7" t="n">
        <v>100</v>
      </c>
      <c r="B102" s="50" t="n">
        <v>74688.79460352671</v>
      </c>
      <c r="C102" s="50" t="n">
        <v>38671.84913242236</v>
      </c>
      <c r="D102" s="50" t="n">
        <v>0</v>
      </c>
      <c r="E102" s="50" t="n">
        <v>62875.94926614012</v>
      </c>
      <c r="F102" s="50" t="n">
        <v>1546.345292931888</v>
      </c>
      <c r="G102" s="50" t="n">
        <v>30296.12158334896</v>
      </c>
      <c r="H102" s="50" t="n">
        <v>0</v>
      </c>
      <c r="I102" s="50" t="n">
        <v>62875.94926614012</v>
      </c>
      <c r="J102" s="50" t="n">
        <v>128557.1396845093</v>
      </c>
    </row>
    <row r="103">
      <c r="A103" s="7" t="n">
        <v>101</v>
      </c>
      <c r="B103" s="50" t="n">
        <v>11300.14801335443</v>
      </c>
      <c r="C103" s="50" t="n">
        <v>793.1103815732349</v>
      </c>
      <c r="D103" s="50" t="n">
        <v>0</v>
      </c>
      <c r="E103" s="50" t="n">
        <v>9824.295356205563</v>
      </c>
      <c r="F103" s="50" t="n">
        <v>2417.123349819754</v>
      </c>
      <c r="G103" s="50" t="n">
        <v>6138.248525012219</v>
      </c>
      <c r="H103" s="50" t="n">
        <v>0</v>
      </c>
      <c r="I103" s="50" t="n">
        <v>9824.295356205563</v>
      </c>
      <c r="J103" s="50" t="n">
        <v>13256.38015041534</v>
      </c>
    </row>
    <row r="104">
      <c r="A104" s="7" t="n">
        <v>102</v>
      </c>
      <c r="B104" s="50" t="n">
        <v>10571.18396436749</v>
      </c>
      <c r="C104" s="50" t="n">
        <v>388.2372699554835</v>
      </c>
      <c r="D104" s="50" t="n">
        <v>0</v>
      </c>
      <c r="E104" s="50" t="n">
        <v>9120.223887897875</v>
      </c>
      <c r="F104" s="50" t="n">
        <v>2421.667811722218</v>
      </c>
      <c r="G104" s="50" t="n">
        <v>5518.333746904929</v>
      </c>
      <c r="H104" s="50" t="n">
        <v>0</v>
      </c>
      <c r="I104" s="50" t="n">
        <v>9120.223887897875</v>
      </c>
      <c r="J104" s="50" t="n">
        <v>11660.08955025091</v>
      </c>
    </row>
    <row r="105">
      <c r="A105" s="7" t="n">
        <v>103</v>
      </c>
      <c r="B105" s="50" t="n">
        <v>11408.95435650772</v>
      </c>
      <c r="C105" s="50" t="n">
        <v>851.9733130342502</v>
      </c>
      <c r="D105" s="50" t="n">
        <v>0</v>
      </c>
      <c r="E105" s="50" t="n">
        <v>9928.591171744309</v>
      </c>
      <c r="F105" s="50" t="n">
        <v>2416.50979451937</v>
      </c>
      <c r="G105" s="50" t="n">
        <v>6222.799958367912</v>
      </c>
      <c r="H105" s="50" t="n">
        <v>0</v>
      </c>
      <c r="I105" s="50" t="n">
        <v>9928.591171744309</v>
      </c>
      <c r="J105" s="50" t="n">
        <v>13491.33679954195</v>
      </c>
    </row>
    <row r="106">
      <c r="A106" s="7" t="n">
        <v>104</v>
      </c>
      <c r="B106" s="50" t="n">
        <v>10641.89678114804</v>
      </c>
      <c r="C106" s="50" t="n">
        <v>417.8605843193945</v>
      </c>
      <c r="D106" s="50" t="n">
        <v>0</v>
      </c>
      <c r="E106" s="50" t="n">
        <v>9189.565754891148</v>
      </c>
      <c r="F106" s="50" t="n">
        <v>2421.859534700387</v>
      </c>
      <c r="G106" s="50" t="n">
        <v>5575.876444730937</v>
      </c>
      <c r="H106" s="50" t="n">
        <v>0</v>
      </c>
      <c r="I106" s="50" t="n">
        <v>9189.565754891148</v>
      </c>
      <c r="J106" s="50" t="n">
        <v>11812.79225988274</v>
      </c>
    </row>
    <row r="107">
      <c r="A107" s="7" t="n">
        <v>105</v>
      </c>
      <c r="B107" s="50" t="n">
        <v>11515.29984462401</v>
      </c>
      <c r="C107" s="50" t="n">
        <v>907.1666272392176</v>
      </c>
      <c r="D107" s="50" t="n">
        <v>0</v>
      </c>
      <c r="E107" s="50" t="n">
        <v>10030.65224087538</v>
      </c>
      <c r="F107" s="50" t="n">
        <v>2415.884157668494</v>
      </c>
      <c r="G107" s="50" t="n">
        <v>6309.21014213431</v>
      </c>
      <c r="H107" s="50" t="n">
        <v>0</v>
      </c>
      <c r="I107" s="50" t="n">
        <v>10030.65224087538</v>
      </c>
      <c r="J107" s="50" t="n">
        <v>13720.03639640857</v>
      </c>
    </row>
    <row r="108">
      <c r="A108" s="7" t="n">
        <v>106</v>
      </c>
      <c r="B108" s="50" t="n">
        <v>10712.88093652203</v>
      </c>
      <c r="C108" s="50" t="n">
        <v>446.2048479844962</v>
      </c>
      <c r="D108" s="50" t="n">
        <v>0</v>
      </c>
      <c r="E108" s="50" t="n">
        <v>9259.259622182144</v>
      </c>
      <c r="F108" s="50" t="n">
        <v>2422.032497145308</v>
      </c>
      <c r="G108" s="50" t="n">
        <v>5634.778844982924</v>
      </c>
      <c r="H108" s="50" t="n">
        <v>0</v>
      </c>
      <c r="I108" s="50" t="n">
        <v>9259.259622182144</v>
      </c>
      <c r="J108" s="50" t="n">
        <v>11965.80837355409</v>
      </c>
    </row>
    <row r="109">
      <c r="A109" s="7" t="n">
        <v>107</v>
      </c>
      <c r="B109" s="50" t="n">
        <v>11618.45526213384</v>
      </c>
      <c r="C109" s="50" t="n">
        <v>957.1163494440989</v>
      </c>
      <c r="D109" s="50" t="n">
        <v>0</v>
      </c>
      <c r="E109" s="50" t="n">
        <v>10129.98593807277</v>
      </c>
      <c r="F109" s="50" t="n">
        <v>2415.256291536716</v>
      </c>
      <c r="G109" s="50" t="n">
        <v>6396.909839973276</v>
      </c>
      <c r="H109" s="50" t="n">
        <v>0</v>
      </c>
      <c r="I109" s="50" t="n">
        <v>10129.98593807277</v>
      </c>
      <c r="J109" s="50" t="n">
        <v>13941.24243458195</v>
      </c>
    </row>
    <row r="110">
      <c r="A110" s="7" t="n">
        <v>108</v>
      </c>
      <c r="B110" s="50" t="n">
        <v>10784.94106339799</v>
      </c>
      <c r="C110" s="50" t="n">
        <v>474.3128873818641</v>
      </c>
      <c r="D110" s="50" t="n">
        <v>0</v>
      </c>
      <c r="E110" s="50" t="n">
        <v>9330.044916897772</v>
      </c>
      <c r="F110" s="50" t="n">
        <v>2422.166339462419</v>
      </c>
      <c r="G110" s="50" t="n">
        <v>5695.850165915755</v>
      </c>
      <c r="H110" s="50" t="n">
        <v>0</v>
      </c>
      <c r="I110" s="50" t="n">
        <v>9330.044916897772</v>
      </c>
      <c r="J110" s="50" t="n">
        <v>12120.93551745932</v>
      </c>
    </row>
    <row r="111">
      <c r="A111" s="7" t="n">
        <v>109</v>
      </c>
      <c r="B111" s="50" t="n">
        <v>11720.3133452949</v>
      </c>
      <c r="C111" s="50" t="n">
        <v>1003.605501499871</v>
      </c>
      <c r="D111" s="50" t="n">
        <v>0</v>
      </c>
      <c r="E111" s="50" t="n">
        <v>10228.35954436335</v>
      </c>
      <c r="F111" s="50" t="n">
        <v>2414.589646272347</v>
      </c>
      <c r="G111" s="50" t="n">
        <v>6486.97738262717</v>
      </c>
      <c r="H111" s="50" t="n">
        <v>0</v>
      </c>
      <c r="I111" s="50" t="n">
        <v>10228.35954436335</v>
      </c>
      <c r="J111" s="50" t="n">
        <v>14159.2846802682</v>
      </c>
    </row>
    <row r="112">
      <c r="A112" s="7" t="n">
        <v>110</v>
      </c>
      <c r="B112" s="50" t="n">
        <v>10858.6984452953</v>
      </c>
      <c r="C112" s="50" t="n">
        <v>502.1712775570486</v>
      </c>
      <c r="D112" s="50" t="n">
        <v>0</v>
      </c>
      <c r="E112" s="50" t="n">
        <v>9402.565099649153</v>
      </c>
      <c r="F112" s="50" t="n">
        <v>2422.255167350871</v>
      </c>
      <c r="G112" s="50" t="n">
        <v>5758.688608733362</v>
      </c>
      <c r="H112" s="50" t="n">
        <v>0</v>
      </c>
      <c r="I112" s="50" t="n">
        <v>9402.565099649153</v>
      </c>
      <c r="J112" s="50" t="n">
        <v>12279.75423950984</v>
      </c>
    </row>
    <row r="113">
      <c r="A113" s="7" t="n">
        <v>111</v>
      </c>
      <c r="B113" s="50" t="n">
        <v>11823.29648504171</v>
      </c>
      <c r="C113" s="50" t="n">
        <v>1048.624031407817</v>
      </c>
      <c r="D113" s="50" t="n">
        <v>0</v>
      </c>
      <c r="E113" s="50" t="n">
        <v>10328.02984015486</v>
      </c>
      <c r="F113" s="50" t="n">
        <v>2413.845524472388</v>
      </c>
      <c r="G113" s="50" t="n">
        <v>6580.113320927674</v>
      </c>
      <c r="H113" s="50" t="n">
        <v>0</v>
      </c>
      <c r="I113" s="50" t="n">
        <v>10328.02984015486</v>
      </c>
      <c r="J113" s="50" t="n">
        <v>14379.71072445752</v>
      </c>
    </row>
    <row r="114">
      <c r="A114" s="7" t="n">
        <v>112</v>
      </c>
      <c r="B114" s="50" t="n">
        <v>10935.69414425513</v>
      </c>
      <c r="C114" s="50" t="n">
        <v>532.1177723873989</v>
      </c>
      <c r="D114" s="50" t="n">
        <v>0</v>
      </c>
      <c r="E114" s="50" t="n">
        <v>9478.176246355717</v>
      </c>
      <c r="F114" s="50" t="n">
        <v>2422.261208893615</v>
      </c>
      <c r="G114" s="50" t="n">
        <v>5824.919074438039</v>
      </c>
      <c r="H114" s="50" t="n">
        <v>0</v>
      </c>
      <c r="I114" s="50" t="n">
        <v>9478.176246355717</v>
      </c>
      <c r="J114" s="50" t="n">
        <v>12445.57272126457</v>
      </c>
    </row>
    <row r="115">
      <c r="A115" s="7" t="n">
        <v>113</v>
      </c>
      <c r="B115" s="50" t="n">
        <v>11930.44583364488</v>
      </c>
      <c r="C115" s="50" t="n">
        <v>1095.577258548903</v>
      </c>
      <c r="D115" s="50" t="n">
        <v>0</v>
      </c>
      <c r="E115" s="50" t="n">
        <v>10431.67076883328</v>
      </c>
      <c r="F115" s="50" t="n">
        <v>2412.967650549515</v>
      </c>
      <c r="G115" s="50" t="n">
        <v>6678.13241544315</v>
      </c>
      <c r="H115" s="50" t="n">
        <v>0</v>
      </c>
      <c r="I115" s="50" t="n">
        <v>10431.67076883328</v>
      </c>
      <c r="J115" s="50" t="n">
        <v>14609.07624489313</v>
      </c>
    </row>
    <row r="116">
      <c r="A116" s="7" t="n">
        <v>114</v>
      </c>
      <c r="B116" s="50" t="n">
        <v>11015.34191544574</v>
      </c>
      <c r="C116" s="50" t="n">
        <v>563.2294167373911</v>
      </c>
      <c r="D116" s="50" t="n">
        <v>0</v>
      </c>
      <c r="E116" s="50" t="n">
        <v>9556.361931377978</v>
      </c>
      <c r="F116" s="50" t="n">
        <v>2422.191617020842</v>
      </c>
      <c r="G116" s="50" t="n">
        <v>5894.254489320614</v>
      </c>
      <c r="H116" s="50" t="n">
        <v>0</v>
      </c>
      <c r="I116" s="50" t="n">
        <v>9556.361931377978</v>
      </c>
      <c r="J116" s="50" t="n">
        <v>12617.09186940285</v>
      </c>
    </row>
    <row r="117">
      <c r="A117" s="7" t="n">
        <v>115</v>
      </c>
      <c r="B117" s="50" t="n">
        <v>12043.05487751388</v>
      </c>
      <c r="C117" s="50" t="n">
        <v>1145.907225077943</v>
      </c>
      <c r="D117" s="50" t="n">
        <v>0</v>
      </c>
      <c r="E117" s="50" t="n">
        <v>10540.40159645678</v>
      </c>
      <c r="F117" s="50" t="n">
        <v>2411.927518110766</v>
      </c>
      <c r="G117" s="50" t="n">
        <v>6782.069880757976</v>
      </c>
      <c r="H117" s="50" t="n">
        <v>0</v>
      </c>
      <c r="I117" s="50" t="n">
        <v>10540.40159645678</v>
      </c>
      <c r="J117" s="50" t="n">
        <v>14850.09852641904</v>
      </c>
    </row>
    <row r="118">
      <c r="A118" s="7" t="n">
        <v>116</v>
      </c>
      <c r="B118" s="50" t="n">
        <v>11098.14567819433</v>
      </c>
      <c r="C118" s="50" t="n">
        <v>595.6560423411283</v>
      </c>
      <c r="D118" s="50" t="n">
        <v>0</v>
      </c>
      <c r="E118" s="50" t="n">
        <v>9637.620526828585</v>
      </c>
      <c r="F118" s="50" t="n">
        <v>2422.037996668063</v>
      </c>
      <c r="G118" s="50" t="n">
        <v>5966.634711812541</v>
      </c>
      <c r="H118" s="50" t="n">
        <v>0</v>
      </c>
      <c r="I118" s="50" t="n">
        <v>9637.620526828585</v>
      </c>
      <c r="J118" s="50" t="n">
        <v>12795.52247693222</v>
      </c>
    </row>
    <row r="119">
      <c r="A119" s="7" t="n">
        <v>117</v>
      </c>
      <c r="B119" s="50" t="n">
        <v>12161.65671396785</v>
      </c>
      <c r="C119" s="50" t="n">
        <v>1200.047171424187</v>
      </c>
      <c r="D119" s="50" t="n">
        <v>0</v>
      </c>
      <c r="E119" s="50" t="n">
        <v>10654.68932842257</v>
      </c>
      <c r="F119" s="50" t="n">
        <v>2410.710277194812</v>
      </c>
      <c r="G119" s="50" t="n">
        <v>6892.449463406607</v>
      </c>
      <c r="H119" s="50" t="n">
        <v>0</v>
      </c>
      <c r="I119" s="50" t="n">
        <v>10654.68932842257</v>
      </c>
      <c r="J119" s="50" t="n">
        <v>15103.88743691712</v>
      </c>
    </row>
    <row r="120">
      <c r="A120" s="7" t="n">
        <v>118</v>
      </c>
      <c r="B120" s="50" t="n">
        <v>11184.95109334369</v>
      </c>
      <c r="C120" s="50" t="n">
        <v>630.7444810461748</v>
      </c>
      <c r="D120" s="50" t="n">
        <v>0</v>
      </c>
      <c r="E120" s="50" t="n">
        <v>9722.674394235524</v>
      </c>
      <c r="F120" s="50" t="n">
        <v>2421.775701825158</v>
      </c>
      <c r="G120" s="50" t="n">
        <v>6043.194621708441</v>
      </c>
      <c r="H120" s="50" t="n">
        <v>0</v>
      </c>
      <c r="I120" s="50" t="n">
        <v>9722.674394235524</v>
      </c>
      <c r="J120" s="50" t="n">
        <v>12982.60620538577</v>
      </c>
    </row>
    <row r="121">
      <c r="A121" s="7" t="n">
        <v>119</v>
      </c>
      <c r="B121" s="50" t="n">
        <v>12287.43328773323</v>
      </c>
      <c r="C121" s="50" t="n">
        <v>1258.486298384611</v>
      </c>
      <c r="D121" s="50" t="n">
        <v>0</v>
      </c>
      <c r="E121" s="50" t="n">
        <v>10775.65250414742</v>
      </c>
      <c r="F121" s="50" t="n">
        <v>2409.300034489657</v>
      </c>
      <c r="G121" s="50" t="n">
        <v>7009.138376623552</v>
      </c>
      <c r="H121" s="50" t="n">
        <v>0</v>
      </c>
      <c r="I121" s="50" t="n">
        <v>10775.65250414742</v>
      </c>
      <c r="J121" s="50" t="n">
        <v>15373.17750252255</v>
      </c>
    </row>
    <row r="122">
      <c r="A122" s="7" t="n">
        <v>120</v>
      </c>
      <c r="B122" s="50" t="n">
        <v>11275.83395685222</v>
      </c>
      <c r="C122" s="50" t="n">
        <v>667.6426598920516</v>
      </c>
      <c r="D122" s="50" t="n">
        <v>0</v>
      </c>
      <c r="E122" s="50" t="n">
        <v>9811.679026383943</v>
      </c>
      <c r="F122" s="50" t="n">
        <v>2421.409798409048</v>
      </c>
      <c r="G122" s="50" t="n">
        <v>6123.009020269761</v>
      </c>
      <c r="H122" s="50" t="n">
        <v>0</v>
      </c>
      <c r="I122" s="50" t="n">
        <v>9811.679026383943</v>
      </c>
      <c r="J122" s="50" t="n">
        <v>13178.71763180124</v>
      </c>
    </row>
    <row r="123">
      <c r="A123" s="7" t="n">
        <v>121</v>
      </c>
      <c r="B123" s="50" t="n">
        <v>12423.27375972645</v>
      </c>
      <c r="C123" s="50" t="n">
        <v>1324.144374184078</v>
      </c>
      <c r="D123" s="50" t="n">
        <v>0</v>
      </c>
      <c r="E123" s="50" t="n">
        <v>10905.78937564409</v>
      </c>
      <c r="F123" s="50" t="n">
        <v>2407.649405822303</v>
      </c>
      <c r="G123" s="50" t="n">
        <v>7133.338359052097</v>
      </c>
      <c r="H123" s="50" t="n">
        <v>0</v>
      </c>
      <c r="I123" s="50" t="n">
        <v>10905.78937564409</v>
      </c>
      <c r="J123" s="50" t="n">
        <v>15664.08855046939</v>
      </c>
    </row>
    <row r="124">
      <c r="A124" s="7" t="n">
        <v>122</v>
      </c>
      <c r="B124" s="50" t="n">
        <v>11372.63134507116</v>
      </c>
      <c r="C124" s="50" t="n">
        <v>708.9380215630226</v>
      </c>
      <c r="D124" s="50" t="n">
        <v>0</v>
      </c>
      <c r="E124" s="50" t="n">
        <v>9906.225234148282</v>
      </c>
      <c r="F124" s="50" t="n">
        <v>2420.898721750811</v>
      </c>
      <c r="G124" s="50" t="n">
        <v>6207.715500357532</v>
      </c>
      <c r="H124" s="50" t="n">
        <v>0</v>
      </c>
      <c r="I124" s="50" t="n">
        <v>9906.225234148282</v>
      </c>
      <c r="J124" s="50" t="n">
        <v>13387.73645521393</v>
      </c>
    </row>
    <row r="125">
      <c r="A125" s="7" t="n">
        <v>123</v>
      </c>
      <c r="B125" s="50" t="n">
        <v>12571.51109573689</v>
      </c>
      <c r="C125" s="50" t="n">
        <v>1399.109660455404</v>
      </c>
      <c r="D125" s="50" t="n">
        <v>0</v>
      </c>
      <c r="E125" s="50" t="n">
        <v>11047.11023176528</v>
      </c>
      <c r="F125" s="50" t="n">
        <v>2405.723812279874</v>
      </c>
      <c r="G125" s="50" t="n">
        <v>7265.608602026667</v>
      </c>
      <c r="H125" s="50" t="n">
        <v>0</v>
      </c>
      <c r="I125" s="50" t="n">
        <v>11047.11023176528</v>
      </c>
      <c r="J125" s="50" t="n">
        <v>15981.54096688668</v>
      </c>
    </row>
    <row r="126">
      <c r="A126" s="7" t="n">
        <v>124</v>
      </c>
      <c r="B126" s="50" t="n">
        <v>11475.34662896253</v>
      </c>
      <c r="C126" s="50" t="n">
        <v>753.9842687355122</v>
      </c>
      <c r="D126" s="50" t="n">
        <v>0</v>
      </c>
      <c r="E126" s="50" t="n">
        <v>10006.36008264655</v>
      </c>
      <c r="F126" s="50" t="n">
        <v>2420.245244830832</v>
      </c>
      <c r="G126" s="50" t="n">
        <v>6296.663436518647</v>
      </c>
      <c r="H126" s="50" t="n">
        <v>0</v>
      </c>
      <c r="I126" s="50" t="n">
        <v>10006.36008264655</v>
      </c>
      <c r="J126" s="50" t="n">
        <v>13609.75954000057</v>
      </c>
    </row>
    <row r="127">
      <c r="A127" s="7" t="n">
        <v>125</v>
      </c>
      <c r="B127" s="50" t="n">
        <v>12734.20581813367</v>
      </c>
      <c r="C127" s="50" t="n">
        <v>1485.729058249592</v>
      </c>
      <c r="D127" s="50" t="n">
        <v>0</v>
      </c>
      <c r="E127" s="50" t="n">
        <v>11201.26340999731</v>
      </c>
      <c r="F127" s="50" t="n">
        <v>2403.486941301293</v>
      </c>
      <c r="G127" s="50" t="n">
        <v>7407.082726453431</v>
      </c>
      <c r="H127" s="50" t="n">
        <v>0</v>
      </c>
      <c r="I127" s="50" t="n">
        <v>11201.26340999731</v>
      </c>
      <c r="J127" s="50" t="n">
        <v>16329.54202179582</v>
      </c>
    </row>
    <row r="128">
      <c r="A128" s="7" t="n">
        <v>126</v>
      </c>
      <c r="B128" s="50" t="n">
        <v>11585.16534268444</v>
      </c>
      <c r="C128" s="50" t="n">
        <v>804.4237492762186</v>
      </c>
      <c r="D128" s="50" t="n">
        <v>0</v>
      </c>
      <c r="E128" s="50" t="n">
        <v>10113.08238693291</v>
      </c>
      <c r="F128" s="50" t="n">
        <v>2419.421088000978</v>
      </c>
      <c r="G128" s="50" t="n">
        <v>6390.917292371189</v>
      </c>
      <c r="H128" s="50" t="n">
        <v>0</v>
      </c>
      <c r="I128" s="50" t="n">
        <v>10113.08238693291</v>
      </c>
      <c r="J128" s="50" t="n">
        <v>13847.20568540601</v>
      </c>
    </row>
    <row r="129">
      <c r="A129" s="7" t="n">
        <v>127</v>
      </c>
      <c r="B129" s="50" t="n">
        <v>12911.23699752659</v>
      </c>
      <c r="C129" s="50" t="n">
        <v>1584.272580456221</v>
      </c>
      <c r="D129" s="50" t="n">
        <v>0</v>
      </c>
      <c r="E129" s="50" t="n">
        <v>11367.94360062822</v>
      </c>
      <c r="F129" s="50" t="n">
        <v>2400.930826131662</v>
      </c>
      <c r="G129" s="50" t="n">
        <v>7558.481727969396</v>
      </c>
      <c r="H129" s="50" t="n">
        <v>0</v>
      </c>
      <c r="I129" s="50" t="n">
        <v>11367.94360062822</v>
      </c>
      <c r="J129" s="50" t="n">
        <v>16707.26747887908</v>
      </c>
    </row>
    <row r="130">
      <c r="A130" s="7" t="n">
        <v>128</v>
      </c>
      <c r="B130" s="50" t="n">
        <v>11701.64532984779</v>
      </c>
      <c r="C130" s="50" t="n">
        <v>859.7346110897197</v>
      </c>
      <c r="D130" s="50" t="n">
        <v>0</v>
      </c>
      <c r="E130" s="50" t="n">
        <v>10225.95859070701</v>
      </c>
      <c r="F130" s="50" t="n">
        <v>2418.427291496671</v>
      </c>
      <c r="G130" s="50" t="n">
        <v>6490.490966258585</v>
      </c>
      <c r="H130" s="50" t="n">
        <v>0</v>
      </c>
      <c r="I130" s="50" t="n">
        <v>10225.95859070701</v>
      </c>
      <c r="J130" s="50" t="n">
        <v>14098.96389908245</v>
      </c>
    </row>
    <row r="131">
      <c r="A131" s="7" t="n">
        <v>129</v>
      </c>
      <c r="B131" s="50" t="n">
        <v>13100.87587962164</v>
      </c>
      <c r="C131" s="50" t="n">
        <v>1692.68436088966</v>
      </c>
      <c r="D131" s="50" t="n">
        <v>0</v>
      </c>
      <c r="E131" s="50" t="n">
        <v>11545.57201728517</v>
      </c>
      <c r="F131" s="50" t="n">
        <v>2398.076856868982</v>
      </c>
      <c r="G131" s="50" t="n">
        <v>7719.227935924879</v>
      </c>
      <c r="H131" s="50" t="n">
        <v>0</v>
      </c>
      <c r="I131" s="50" t="n">
        <v>11545.57201728517</v>
      </c>
      <c r="J131" s="50" t="n">
        <v>17110.76703017691</v>
      </c>
    </row>
    <row r="132">
      <c r="A132" s="7" t="n">
        <v>130</v>
      </c>
      <c r="B132" s="50" t="n">
        <v>11824.57970705919</v>
      </c>
      <c r="C132" s="50" t="n">
        <v>919.3398111777351</v>
      </c>
      <c r="D132" s="50" t="n">
        <v>0</v>
      </c>
      <c r="E132" s="50" t="n">
        <v>10344.80782950249</v>
      </c>
      <c r="F132" s="50" t="n">
        <v>2417.264653322185</v>
      </c>
      <c r="G132" s="50" t="n">
        <v>6595.113358701419</v>
      </c>
      <c r="H132" s="50" t="n">
        <v>0</v>
      </c>
      <c r="I132" s="50" t="n">
        <v>10344.80782950249</v>
      </c>
      <c r="J132" s="50" t="n">
        <v>14364.55300483509</v>
      </c>
    </row>
    <row r="133">
      <c r="A133" s="7" t="n">
        <v>131</v>
      </c>
      <c r="B133" s="50" t="n">
        <v>13343.50161488495</v>
      </c>
      <c r="C133" s="50" t="n">
        <v>1809.865078284813</v>
      </c>
      <c r="D133" s="50" t="n">
        <v>0</v>
      </c>
      <c r="E133" s="50" t="n">
        <v>11775.75248677617</v>
      </c>
      <c r="F133" s="50" t="n">
        <v>2394.931970230478</v>
      </c>
      <c r="G133" s="50" t="n">
        <v>7898.40271510891</v>
      </c>
      <c r="H133" s="50" t="n">
        <v>0</v>
      </c>
      <c r="I133" s="50" t="n">
        <v>11775.75248677617</v>
      </c>
      <c r="J133" s="50" t="n">
        <v>17518.41236156426</v>
      </c>
    </row>
    <row r="134">
      <c r="A134" s="7" t="n">
        <v>132</v>
      </c>
      <c r="B134" s="50" t="n">
        <v>11954.62952595703</v>
      </c>
      <c r="C134" s="50" t="n">
        <v>983.7817961042019</v>
      </c>
      <c r="D134" s="50" t="n">
        <v>0</v>
      </c>
      <c r="E134" s="50" t="n">
        <v>10470.20318570315</v>
      </c>
      <c r="F134" s="50" t="n">
        <v>2415.918350341366</v>
      </c>
      <c r="G134" s="50" t="n">
        <v>6705.062038816628</v>
      </c>
      <c r="H134" s="50" t="n">
        <v>0</v>
      </c>
      <c r="I134" s="50" t="n">
        <v>10470.20318570315</v>
      </c>
      <c r="J134" s="50" t="n">
        <v>14645.34566183589</v>
      </c>
    </row>
    <row r="135">
      <c r="A135" s="7" t="n">
        <v>133</v>
      </c>
      <c r="B135" s="50" t="n">
        <v>13614.53455085634</v>
      </c>
      <c r="C135" s="50" t="n">
        <v>1934.599282130337</v>
      </c>
      <c r="D135" s="50" t="n">
        <v>0</v>
      </c>
      <c r="E135" s="50" t="n">
        <v>12033.38729659251</v>
      </c>
      <c r="F135" s="50" t="n">
        <v>2391.50291069175</v>
      </c>
      <c r="G135" s="50" t="n">
        <v>8089.957426345602</v>
      </c>
      <c r="H135" s="50" t="n">
        <v>0</v>
      </c>
      <c r="I135" s="50" t="n">
        <v>12033.38729659251</v>
      </c>
      <c r="J135" s="50" t="n">
        <v>17940.90414918528</v>
      </c>
    </row>
    <row r="136">
      <c r="A136" s="7" t="n">
        <v>134</v>
      </c>
      <c r="B136" s="50" t="n">
        <v>12092.24593298714</v>
      </c>
      <c r="C136" s="50" t="n">
        <v>1053.673169745729</v>
      </c>
      <c r="D136" s="50" t="n">
        <v>0</v>
      </c>
      <c r="E136" s="50" t="n">
        <v>10602.48383364581</v>
      </c>
      <c r="F136" s="50" t="n">
        <v>2414.372586574726</v>
      </c>
      <c r="G136" s="50" t="n">
        <v>6820.955822029966</v>
      </c>
      <c r="H136" s="50" t="n">
        <v>0</v>
      </c>
      <c r="I136" s="50" t="n">
        <v>10602.48383364581</v>
      </c>
      <c r="J136" s="50" t="n">
        <v>14942.1253616591</v>
      </c>
    </row>
    <row r="137">
      <c r="A137" s="7" t="n">
        <v>135</v>
      </c>
      <c r="B137" s="50" t="n">
        <v>13899.86451246045</v>
      </c>
      <c r="C137" s="50" t="n">
        <v>2069.108519595844</v>
      </c>
      <c r="D137" s="50" t="n">
        <v>0</v>
      </c>
      <c r="E137" s="50" t="n">
        <v>12303.4847709966</v>
      </c>
      <c r="F137" s="50" t="n">
        <v>2387.751829044282</v>
      </c>
      <c r="G137" s="50" t="n">
        <v>8291.928054673146</v>
      </c>
      <c r="H137" s="50" t="n">
        <v>0</v>
      </c>
      <c r="I137" s="50" t="n">
        <v>12303.4847709966</v>
      </c>
      <c r="J137" s="50" t="n">
        <v>18389.36945163278</v>
      </c>
    </row>
    <row r="138">
      <c r="A138" s="7" t="n">
        <v>136</v>
      </c>
      <c r="B138" s="50" t="n">
        <v>12237.32241046596</v>
      </c>
      <c r="C138" s="50" t="n">
        <v>1128.522706276941</v>
      </c>
      <c r="D138" s="50" t="n">
        <v>0</v>
      </c>
      <c r="E138" s="50" t="n">
        <v>10741.55605716551</v>
      </c>
      <c r="F138" s="50" t="n">
        <v>2412.625782943884</v>
      </c>
      <c r="G138" s="50" t="n">
        <v>6942.579207652176</v>
      </c>
      <c r="H138" s="50" t="n">
        <v>0</v>
      </c>
      <c r="I138" s="50" t="n">
        <v>10741.55605716551</v>
      </c>
      <c r="J138" s="50" t="n">
        <v>15254.61825156145</v>
      </c>
    </row>
    <row r="139">
      <c r="A139" s="7" t="n">
        <v>137</v>
      </c>
      <c r="B139" s="50" t="n">
        <v>14205.6091553919</v>
      </c>
      <c r="C139" s="50" t="n">
        <v>2213.519543212984</v>
      </c>
      <c r="D139" s="50" t="n">
        <v>0</v>
      </c>
      <c r="E139" s="50" t="n">
        <v>12592.21850310317</v>
      </c>
      <c r="F139" s="50" t="n">
        <v>2383.668357262941</v>
      </c>
      <c r="G139" s="50" t="n">
        <v>8504.835928258166</v>
      </c>
      <c r="H139" s="50" t="n">
        <v>0</v>
      </c>
      <c r="I139" s="50" t="n">
        <v>12592.21850310317</v>
      </c>
      <c r="J139" s="50" t="n">
        <v>18864.09079052307</v>
      </c>
    </row>
    <row r="140">
      <c r="A140" s="7" t="n">
        <v>138</v>
      </c>
      <c r="B140" s="50" t="n">
        <v>12390.64715942988</v>
      </c>
      <c r="C140" s="50" t="n">
        <v>1208.972096692727</v>
      </c>
      <c r="D140" s="50" t="n">
        <v>0</v>
      </c>
      <c r="E140" s="50" t="n">
        <v>10888.09135688006</v>
      </c>
      <c r="F140" s="50" t="n">
        <v>2410.660724526824</v>
      </c>
      <c r="G140" s="50" t="n">
        <v>7070.268920029775</v>
      </c>
      <c r="H140" s="50" t="n">
        <v>0</v>
      </c>
      <c r="I140" s="50" t="n">
        <v>10888.09135688006</v>
      </c>
      <c r="J140" s="50" t="n">
        <v>15584.43053366628</v>
      </c>
    </row>
    <row r="141">
      <c r="A141" s="7" t="n">
        <v>139</v>
      </c>
      <c r="B141" s="50" t="n">
        <v>14534.40956219103</v>
      </c>
      <c r="C141" s="50" t="n">
        <v>2371.570592916978</v>
      </c>
      <c r="D141" s="50" t="n">
        <v>0</v>
      </c>
      <c r="E141" s="50" t="n">
        <v>12901.46451291666</v>
      </c>
      <c r="F141" s="50" t="n">
        <v>2379.197361714818</v>
      </c>
      <c r="G141" s="50" t="n">
        <v>8729.706413288965</v>
      </c>
      <c r="H141" s="50" t="n">
        <v>0</v>
      </c>
      <c r="I141" s="50" t="n">
        <v>12901.46451291666</v>
      </c>
      <c r="J141" s="50" t="n">
        <v>19373.59266511322</v>
      </c>
    </row>
    <row r="142">
      <c r="A142" s="7" t="n">
        <v>140</v>
      </c>
      <c r="B142" s="50" t="n">
        <v>12553.10878729766</v>
      </c>
      <c r="C142" s="50" t="n">
        <v>1295.747994738893</v>
      </c>
      <c r="D142" s="50" t="n">
        <v>0</v>
      </c>
      <c r="E142" s="50" t="n">
        <v>11042.83920564232</v>
      </c>
      <c r="F142" s="50" t="n">
        <v>2408.45908803778</v>
      </c>
      <c r="G142" s="50" t="n">
        <v>7204.354573812045</v>
      </c>
      <c r="H142" s="50" t="n">
        <v>0</v>
      </c>
      <c r="I142" s="50" t="n">
        <v>11042.83920564232</v>
      </c>
      <c r="J142" s="50" t="n">
        <v>15933.35775563536</v>
      </c>
    </row>
    <row r="143">
      <c r="A143" s="7" t="n">
        <v>141</v>
      </c>
      <c r="B143" s="50" t="n">
        <v>14886.27819000687</v>
      </c>
      <c r="C143" s="50" t="n">
        <v>2546.292565490672</v>
      </c>
      <c r="D143" s="50" t="n">
        <v>0</v>
      </c>
      <c r="E143" s="50" t="n">
        <v>13230.44155096519</v>
      </c>
      <c r="F143" s="50" t="n">
        <v>2374.295834452583</v>
      </c>
      <c r="G143" s="50" t="n">
        <v>8967.219631939224</v>
      </c>
      <c r="H143" s="50" t="n">
        <v>0</v>
      </c>
      <c r="I143" s="50" t="n">
        <v>13230.44155096519</v>
      </c>
      <c r="J143" s="50" t="n">
        <v>19924.73467318402</v>
      </c>
    </row>
    <row r="144">
      <c r="A144" s="7" t="n">
        <v>142</v>
      </c>
      <c r="B144" s="50" t="n">
        <v>12725.42079214487</v>
      </c>
      <c r="C144" s="50" t="n">
        <v>1389.673206337393</v>
      </c>
      <c r="D144" s="50" t="n">
        <v>0</v>
      </c>
      <c r="E144" s="50" t="n">
        <v>11206.33984757139</v>
      </c>
      <c r="F144" s="50" t="n">
        <v>2406.00139991293</v>
      </c>
      <c r="G144" s="50" t="n">
        <v>7345.500950323723</v>
      </c>
      <c r="H144" s="50" t="n">
        <v>0</v>
      </c>
      <c r="I144" s="50" t="n">
        <v>11206.33984757139</v>
      </c>
      <c r="J144" s="50" t="n">
        <v>16302.66626053111</v>
      </c>
    </row>
    <row r="145">
      <c r="A145" s="7" t="n">
        <v>143</v>
      </c>
      <c r="B145" s="50" t="n">
        <v>15260.91231999714</v>
      </c>
      <c r="C145" s="50" t="n">
        <v>2738.734985057497</v>
      </c>
      <c r="D145" s="50" t="n">
        <v>0</v>
      </c>
      <c r="E145" s="50" t="n">
        <v>13578.38087005253</v>
      </c>
      <c r="F145" s="50" t="n">
        <v>2368.947758875554</v>
      </c>
      <c r="G145" s="50" t="n">
        <v>9217.597372712306</v>
      </c>
      <c r="H145" s="50" t="n">
        <v>0</v>
      </c>
      <c r="I145" s="50" t="n">
        <v>13578.38087005253</v>
      </c>
      <c r="J145" s="50" t="n">
        <v>20519.80282892779</v>
      </c>
    </row>
    <row r="146">
      <c r="A146" s="7" t="n">
        <v>144</v>
      </c>
      <c r="B146" s="50" t="n">
        <v>12917.27819778556</v>
      </c>
      <c r="C146" s="50" t="n">
        <v>1490.494364428421</v>
      </c>
      <c r="D146" s="50" t="n">
        <v>0</v>
      </c>
      <c r="E146" s="50" t="n">
        <v>11388.49959209334</v>
      </c>
      <c r="F146" s="50" t="n">
        <v>2403.282002521068</v>
      </c>
      <c r="G146" s="50" t="n">
        <v>7495.588486275446</v>
      </c>
      <c r="H146" s="50" t="n">
        <v>0</v>
      </c>
      <c r="I146" s="50" t="n">
        <v>11388.49959209334</v>
      </c>
      <c r="J146" s="50" t="n">
        <v>16688.22458332687</v>
      </c>
    </row>
    <row r="147">
      <c r="A147" s="7" t="n">
        <v>145</v>
      </c>
      <c r="B147" s="50" t="n">
        <v>15656.85347206123</v>
      </c>
      <c r="C147" s="50" t="n">
        <v>2948.918531721429</v>
      </c>
      <c r="D147" s="50" t="n">
        <v>0</v>
      </c>
      <c r="E147" s="50" t="n">
        <v>13943.51023976364</v>
      </c>
      <c r="F147" s="50" t="n">
        <v>2363.150485138263</v>
      </c>
      <c r="G147" s="50" t="n">
        <v>9480.884567647212</v>
      </c>
      <c r="H147" s="50" t="n">
        <v>0</v>
      </c>
      <c r="I147" s="50" t="n">
        <v>13943.51023976364</v>
      </c>
      <c r="J147" s="50" t="n">
        <v>21158.70234686325</v>
      </c>
    </row>
    <row r="148">
      <c r="A148" s="7" t="n">
        <v>146</v>
      </c>
      <c r="B148" s="50" t="n">
        <v>13169.21934316918</v>
      </c>
      <c r="C148" s="50" t="n">
        <v>1599.125615744153</v>
      </c>
      <c r="D148" s="50" t="n">
        <v>0</v>
      </c>
      <c r="E148" s="50" t="n">
        <v>11630.71964869223</v>
      </c>
      <c r="F148" s="50" t="n">
        <v>2400.279615448526</v>
      </c>
      <c r="G148" s="50" t="n">
        <v>7663.513495635983</v>
      </c>
      <c r="H148" s="50" t="n">
        <v>0</v>
      </c>
      <c r="I148" s="50" t="n">
        <v>11630.71964869223</v>
      </c>
      <c r="J148" s="50" t="n">
        <v>17074.049593259</v>
      </c>
    </row>
    <row r="149">
      <c r="A149" s="7" t="n">
        <v>147</v>
      </c>
      <c r="B149" s="50" t="n">
        <v>16075.08168441546</v>
      </c>
      <c r="C149" s="50" t="n">
        <v>3175.706416202651</v>
      </c>
      <c r="D149" s="50" t="n">
        <v>0</v>
      </c>
      <c r="E149" s="50" t="n">
        <v>14326.84541510354</v>
      </c>
      <c r="F149" s="50" t="n">
        <v>2356.915007160453</v>
      </c>
      <c r="G149" s="50" t="n">
        <v>9757.035567797109</v>
      </c>
      <c r="H149" s="50" t="n">
        <v>0</v>
      </c>
      <c r="I149" s="50" t="n">
        <v>14326.84541510354</v>
      </c>
      <c r="J149" s="50" t="n">
        <v>21838.68432273431</v>
      </c>
    </row>
    <row r="150">
      <c r="A150" s="7" t="n">
        <v>148</v>
      </c>
      <c r="B150" s="50" t="n">
        <v>13434.26069745846</v>
      </c>
      <c r="C150" s="50" t="n">
        <v>1716.606220212008</v>
      </c>
      <c r="D150" s="50" t="n">
        <v>0</v>
      </c>
      <c r="E150" s="50" t="n">
        <v>11884.56389925531</v>
      </c>
      <c r="F150" s="50" t="n">
        <v>2396.971675344452</v>
      </c>
      <c r="G150" s="50" t="n">
        <v>7839.58558462371</v>
      </c>
      <c r="H150" s="50" t="n">
        <v>0</v>
      </c>
      <c r="I150" s="50" t="n">
        <v>11884.56389925531</v>
      </c>
      <c r="J150" s="50" t="n">
        <v>17484.01408954686</v>
      </c>
    </row>
    <row r="151">
      <c r="A151" s="7" t="n">
        <v>149</v>
      </c>
      <c r="B151" s="50" t="n">
        <v>16519.71257892598</v>
      </c>
      <c r="C151" s="50" t="n">
        <v>3419.056031239335</v>
      </c>
      <c r="D151" s="50" t="n">
        <v>0</v>
      </c>
      <c r="E151" s="50" t="n">
        <v>14732.44051901429</v>
      </c>
      <c r="F151" s="50" t="n">
        <v>2350.237905296293</v>
      </c>
      <c r="G151" s="50" t="n">
        <v>10046.3098308543</v>
      </c>
      <c r="H151" s="50" t="n">
        <v>0</v>
      </c>
      <c r="I151" s="50" t="n">
        <v>14732.44051901429</v>
      </c>
      <c r="J151" s="50" t="n">
        <v>22559.48175110939</v>
      </c>
    </row>
    <row r="152">
      <c r="A152" s="7" t="n">
        <v>150</v>
      </c>
      <c r="B152" s="50" t="n">
        <v>13714.58105501952</v>
      </c>
      <c r="C152" s="50" t="n">
        <v>1842.926415984286</v>
      </c>
      <c r="D152" s="50" t="n">
        <v>0</v>
      </c>
      <c r="E152" s="50" t="n">
        <v>12152.17868301948</v>
      </c>
      <c r="F152" s="50" t="n">
        <v>2393.3491015615</v>
      </c>
      <c r="G152" s="50" t="n">
        <v>8024.00339879992</v>
      </c>
      <c r="H152" s="50" t="n">
        <v>0</v>
      </c>
      <c r="I152" s="50" t="n">
        <v>12152.17868301948</v>
      </c>
      <c r="J152" s="50" t="n">
        <v>17918.14257073044</v>
      </c>
    </row>
    <row r="153">
      <c r="A153" s="7" t="n">
        <v>151</v>
      </c>
      <c r="B153" s="50" t="n">
        <v>16993.96433371447</v>
      </c>
      <c r="C153" s="50" t="n">
        <v>3681.363488027418</v>
      </c>
      <c r="D153" s="50" t="n">
        <v>0</v>
      </c>
      <c r="E153" s="50" t="n">
        <v>15162.83643744611</v>
      </c>
      <c r="F153" s="50" t="n">
        <v>2343.086941032991</v>
      </c>
      <c r="G153" s="50" t="n">
        <v>10349.35374239752</v>
      </c>
      <c r="H153" s="50" t="n">
        <v>0</v>
      </c>
      <c r="I153" s="50" t="n">
        <v>15162.83643744611</v>
      </c>
      <c r="J153" s="50" t="n">
        <v>23326.34622615488</v>
      </c>
    </row>
    <row r="154">
      <c r="A154" s="7" t="n">
        <v>152</v>
      </c>
      <c r="B154" s="50" t="n">
        <v>14009.91316329796</v>
      </c>
      <c r="C154" s="50" t="n">
        <v>1979.282170307793</v>
      </c>
      <c r="D154" s="50" t="n">
        <v>0</v>
      </c>
      <c r="E154" s="50" t="n">
        <v>12432.98390153583</v>
      </c>
      <c r="F154" s="50" t="n">
        <v>2389.387239144329</v>
      </c>
      <c r="G154" s="50" t="n">
        <v>8217.150958184095</v>
      </c>
      <c r="H154" s="50" t="n">
        <v>0</v>
      </c>
      <c r="I154" s="50" t="n">
        <v>12432.98390153583</v>
      </c>
      <c r="J154" s="50" t="n">
        <v>18379.21202156885</v>
      </c>
    </row>
    <row r="155">
      <c r="A155" s="7" t="n">
        <v>153</v>
      </c>
      <c r="B155" s="50" t="n">
        <v>17499.65809026481</v>
      </c>
      <c r="C155" s="50" t="n">
        <v>3965.380640656629</v>
      </c>
      <c r="D155" s="50" t="n">
        <v>0</v>
      </c>
      <c r="E155" s="50" t="n">
        <v>15618.96774736342</v>
      </c>
      <c r="F155" s="50" t="n">
        <v>2335.428319532861</v>
      </c>
      <c r="G155" s="50" t="n">
        <v>10666.72377212484</v>
      </c>
      <c r="H155" s="50" t="n">
        <v>0</v>
      </c>
      <c r="I155" s="50" t="n">
        <v>15618.96774736342</v>
      </c>
      <c r="J155" s="50" t="n">
        <v>24145.28276955476</v>
      </c>
    </row>
    <row r="156">
      <c r="A156" s="7" t="n">
        <v>154</v>
      </c>
      <c r="B156" s="50" t="n">
        <v>14320.76546509642</v>
      </c>
      <c r="C156" s="50" t="n">
        <v>2125.845632310957</v>
      </c>
      <c r="D156" s="50" t="n">
        <v>0</v>
      </c>
      <c r="E156" s="50" t="n">
        <v>12727.35912845058</v>
      </c>
      <c r="F156" s="50" t="n">
        <v>2385.074676983379</v>
      </c>
      <c r="G156" s="50" t="n">
        <v>8419.229988074512</v>
      </c>
      <c r="H156" s="50" t="n">
        <v>0</v>
      </c>
      <c r="I156" s="50" t="n">
        <v>12727.35912845058</v>
      </c>
      <c r="J156" s="50" t="n">
        <v>18867.6315383997</v>
      </c>
    </row>
    <row r="157">
      <c r="A157" s="7" t="n">
        <v>155</v>
      </c>
      <c r="B157" s="50" t="n">
        <v>18037.74122287786</v>
      </c>
      <c r="C157" s="50" t="n">
        <v>4273.06709492713</v>
      </c>
      <c r="D157" s="50" t="n">
        <v>0</v>
      </c>
      <c r="E157" s="50" t="n">
        <v>16100.98929069308</v>
      </c>
      <c r="F157" s="50" t="n">
        <v>2327.240490095748</v>
      </c>
      <c r="G157" s="50" t="n">
        <v>10998.69443229689</v>
      </c>
      <c r="H157" s="50" t="n">
        <v>0</v>
      </c>
      <c r="I157" s="50" t="n">
        <v>16100.98929069308</v>
      </c>
      <c r="J157" s="50" t="n">
        <v>25020.43119659909</v>
      </c>
    </row>
    <row r="158">
      <c r="A158" s="7" t="n">
        <v>156</v>
      </c>
      <c r="B158" s="50" t="n">
        <v>14645.80679382479</v>
      </c>
      <c r="C158" s="50" t="n">
        <v>2282.832201347686</v>
      </c>
      <c r="D158" s="50" t="n">
        <v>0</v>
      </c>
      <c r="E158" s="50" t="n">
        <v>13033.77964245543</v>
      </c>
      <c r="F158" s="50" t="n">
        <v>2380.399044544727</v>
      </c>
      <c r="G158" s="50" t="n">
        <v>8630.480533098133</v>
      </c>
      <c r="H158" s="50" t="n">
        <v>0</v>
      </c>
      <c r="I158" s="50" t="n">
        <v>13033.77964245543</v>
      </c>
      <c r="J158" s="50" t="n">
        <v>19383.89198140666</v>
      </c>
    </row>
    <row r="159">
      <c r="A159" s="7" t="n">
        <v>157</v>
      </c>
      <c r="B159" s="50" t="n">
        <v>18608.15522640077</v>
      </c>
      <c r="C159" s="50" t="n">
        <v>4605.493447372573</v>
      </c>
      <c r="D159" s="50" t="n">
        <v>0</v>
      </c>
      <c r="E159" s="50" t="n">
        <v>16608.19306626941</v>
      </c>
      <c r="F159" s="50" t="n">
        <v>2318.5143518431</v>
      </c>
      <c r="G159" s="50" t="n">
        <v>11345.30352344638</v>
      </c>
      <c r="H159" s="50" t="n">
        <v>0</v>
      </c>
      <c r="I159" s="50" t="n">
        <v>16608.19306626941</v>
      </c>
      <c r="J159" s="50" t="n">
        <v>25953.87127562112</v>
      </c>
    </row>
    <row r="160">
      <c r="A160" s="7" t="n">
        <v>158</v>
      </c>
      <c r="B160" s="50" t="n">
        <v>14986.21333121035</v>
      </c>
      <c r="C160" s="50" t="n">
        <v>2449.313718535443</v>
      </c>
      <c r="D160" s="50" t="n">
        <v>0</v>
      </c>
      <c r="E160" s="50" t="n">
        <v>13353.5260237108</v>
      </c>
      <c r="F160" s="50" t="n">
        <v>2375.36141903064</v>
      </c>
      <c r="G160" s="50" t="n">
        <v>8851.049932583759</v>
      </c>
      <c r="H160" s="50" t="n">
        <v>0</v>
      </c>
      <c r="I160" s="50" t="n">
        <v>13353.5260237108</v>
      </c>
      <c r="J160" s="50" t="n">
        <v>19925.85853981358</v>
      </c>
    </row>
    <row r="161">
      <c r="A161" s="7" t="n">
        <v>159</v>
      </c>
      <c r="B161" s="50" t="n">
        <v>19211.53065032656</v>
      </c>
      <c r="C161" s="50" t="n">
        <v>4962.731440881675</v>
      </c>
      <c r="D161" s="50" t="n">
        <v>0</v>
      </c>
      <c r="E161" s="50" t="n">
        <v>17140.85405854713</v>
      </c>
      <c r="F161" s="50" t="n">
        <v>2309.253388124227</v>
      </c>
      <c r="G161" s="50" t="n">
        <v>11706.41103848148</v>
      </c>
      <c r="H161" s="50" t="n">
        <v>0</v>
      </c>
      <c r="I161" s="50" t="n">
        <v>17140.85405854713</v>
      </c>
      <c r="J161" s="50" t="n">
        <v>26945.37988049354</v>
      </c>
    </row>
    <row r="162">
      <c r="A162" s="7" t="n">
        <v>160</v>
      </c>
      <c r="B162" s="50" t="n">
        <v>15346.31170895732</v>
      </c>
      <c r="C162" s="50" t="n">
        <v>2625.463391155557</v>
      </c>
      <c r="D162" s="50" t="n">
        <v>0</v>
      </c>
      <c r="E162" s="50" t="n">
        <v>13690.93377506298</v>
      </c>
      <c r="F162" s="50" t="n">
        <v>2369.94784397466</v>
      </c>
      <c r="G162" s="50" t="n">
        <v>9081.381641197222</v>
      </c>
      <c r="H162" s="50" t="n">
        <v>0</v>
      </c>
      <c r="I162" s="50" t="n">
        <v>13690.93377506298</v>
      </c>
      <c r="J162" s="50" t="n">
        <v>20493.91774653154</v>
      </c>
    </row>
    <row r="163">
      <c r="A163" s="7" t="n">
        <v>161</v>
      </c>
      <c r="B163" s="50" t="n">
        <v>19850.44856742435</v>
      </c>
      <c r="C163" s="50" t="n">
        <v>5344.939264562709</v>
      </c>
      <c r="D163" s="50" t="n">
        <v>0</v>
      </c>
      <c r="E163" s="50" t="n">
        <v>17701.29250768511</v>
      </c>
      <c r="F163" s="50" t="n">
        <v>2299.460350843321</v>
      </c>
      <c r="G163" s="50" t="n">
        <v>12081.93025028132</v>
      </c>
      <c r="H163" s="50" t="n">
        <v>0</v>
      </c>
      <c r="I163" s="50" t="n">
        <v>17701.29250768511</v>
      </c>
      <c r="J163" s="50" t="n">
        <v>27994.88459644472</v>
      </c>
    </row>
    <row r="164">
      <c r="A164" s="7" t="n">
        <v>162</v>
      </c>
      <c r="B164" s="50" t="n">
        <v>15727.56827662542</v>
      </c>
      <c r="C164" s="50" t="n">
        <v>2813.894189048413</v>
      </c>
      <c r="D164" s="50" t="n">
        <v>0</v>
      </c>
      <c r="E164" s="50" t="n">
        <v>14046.87701859063</v>
      </c>
      <c r="F164" s="50" t="n">
        <v>2364.114617825951</v>
      </c>
      <c r="G164" s="50" t="n">
        <v>9322.287336781141</v>
      </c>
      <c r="H164" s="50" t="n">
        <v>0</v>
      </c>
      <c r="I164" s="50" t="n">
        <v>14046.87701859063</v>
      </c>
      <c r="J164" s="50" t="n">
        <v>21094.00495551396</v>
      </c>
    </row>
    <row r="165">
      <c r="A165" s="7" t="n">
        <v>163</v>
      </c>
      <c r="B165" s="50" t="n">
        <v>20523.54851327145</v>
      </c>
      <c r="C165" s="50" t="n">
        <v>5753.594591479952</v>
      </c>
      <c r="D165" s="50" t="n">
        <v>0</v>
      </c>
      <c r="E165" s="50" t="n">
        <v>18287.28768932396</v>
      </c>
      <c r="F165" s="50" t="n">
        <v>2289.123932277871</v>
      </c>
      <c r="G165" s="50" t="n">
        <v>12471.98959348089</v>
      </c>
      <c r="H165" s="50" t="n">
        <v>0</v>
      </c>
      <c r="I165" s="50" t="n">
        <v>18287.28768932396</v>
      </c>
      <c r="J165" s="50" t="n">
        <v>29105.24268397383</v>
      </c>
    </row>
    <row r="166">
      <c r="A166" s="7" t="n">
        <v>164</v>
      </c>
      <c r="B166" s="50" t="n">
        <v>16132.43487714881</v>
      </c>
      <c r="C166" s="50" t="n">
        <v>3016.381322327972</v>
      </c>
      <c r="D166" s="50" t="n">
        <v>0</v>
      </c>
      <c r="E166" s="50" t="n">
        <v>14423.37061879273</v>
      </c>
      <c r="F166" s="50" t="n">
        <v>2357.830161527032</v>
      </c>
      <c r="G166" s="50" t="n">
        <v>9574.329915367503</v>
      </c>
      <c r="H166" s="50" t="n">
        <v>0</v>
      </c>
      <c r="I166" s="50" t="n">
        <v>14423.37061879273</v>
      </c>
      <c r="J166" s="50" t="n">
        <v>21730.11201573658</v>
      </c>
    </row>
    <row r="167">
      <c r="A167" s="7" t="n">
        <v>165</v>
      </c>
      <c r="B167" s="50" t="n">
        <v>21232.41672410977</v>
      </c>
      <c r="C167" s="50" t="n">
        <v>6188.025731529488</v>
      </c>
      <c r="D167" s="50" t="n">
        <v>0</v>
      </c>
      <c r="E167" s="50" t="n">
        <v>18900.38341966319</v>
      </c>
      <c r="F167" s="50" t="n">
        <v>2278.257822036074</v>
      </c>
      <c r="G167" s="50" t="n">
        <v>12876.37727785288</v>
      </c>
      <c r="H167" s="50" t="n">
        <v>0</v>
      </c>
      <c r="I167" s="50" t="n">
        <v>18900.38341966319</v>
      </c>
      <c r="J167" s="50" t="n">
        <v>30274.43832863023</v>
      </c>
    </row>
    <row r="168">
      <c r="A168" s="7" t="n">
        <v>166</v>
      </c>
      <c r="B168" s="50" t="n">
        <v>16558.06314535229</v>
      </c>
      <c r="C168" s="50" t="n">
        <v>3234.95987029461</v>
      </c>
      <c r="D168" s="50" t="n">
        <v>0</v>
      </c>
      <c r="E168" s="50" t="n">
        <v>14816.84501699514</v>
      </c>
      <c r="F168" s="50" t="n">
        <v>2351.061247126374</v>
      </c>
      <c r="G168" s="50" t="n">
        <v>9838.020478000224</v>
      </c>
      <c r="H168" s="50" t="n">
        <v>0</v>
      </c>
      <c r="I168" s="50" t="n">
        <v>14816.84501699514</v>
      </c>
      <c r="J168" s="50" t="n">
        <v>22406.80765633853</v>
      </c>
    </row>
    <row r="169">
      <c r="A169" s="7" t="n">
        <v>167</v>
      </c>
      <c r="B169" s="50" t="n">
        <v>21980.11767888279</v>
      </c>
      <c r="C169" s="50" t="n">
        <v>6648.788167110848</v>
      </c>
      <c r="D169" s="50" t="n">
        <v>0</v>
      </c>
      <c r="E169" s="50" t="n">
        <v>19543.34945107711</v>
      </c>
      <c r="F169" s="50" t="n">
        <v>2266.861968908896</v>
      </c>
      <c r="G169" s="50" t="n">
        <v>13295.18182681408</v>
      </c>
      <c r="H169" s="50" t="n">
        <v>0</v>
      </c>
      <c r="I169" s="50" t="n">
        <v>19543.34945107711</v>
      </c>
      <c r="J169" s="50" t="n">
        <v>31503.17967017955</v>
      </c>
    </row>
    <row r="170">
      <c r="A170" s="7" t="n">
        <v>168</v>
      </c>
      <c r="B170" s="50" t="n">
        <v>17003.46042570515</v>
      </c>
      <c r="C170" s="50" t="n">
        <v>3468.364854287414</v>
      </c>
      <c r="D170" s="50" t="n">
        <v>0</v>
      </c>
      <c r="E170" s="50" t="n">
        <v>15226.36712674287</v>
      </c>
      <c r="F170" s="50" t="n">
        <v>2343.814842981781</v>
      </c>
      <c r="G170" s="50" t="n">
        <v>10113.35380718546</v>
      </c>
      <c r="H170" s="50" t="n">
        <v>0</v>
      </c>
      <c r="I170" s="50" t="n">
        <v>15226.36712674287</v>
      </c>
      <c r="J170" s="50" t="n">
        <v>23121.11509886861</v>
      </c>
    </row>
    <row r="171">
      <c r="A171" s="7" t="n">
        <v>169</v>
      </c>
      <c r="B171" s="50" t="n">
        <v>22767.8033209032</v>
      </c>
      <c r="C171" s="50" t="n">
        <v>7137.848055449256</v>
      </c>
      <c r="D171" s="50" t="n">
        <v>0</v>
      </c>
      <c r="E171" s="50" t="n">
        <v>20216.45687880812</v>
      </c>
      <c r="F171" s="50" t="n">
        <v>2254.922443655669</v>
      </c>
      <c r="G171" s="50" t="n">
        <v>13728.7277233637</v>
      </c>
      <c r="H171" s="50" t="n">
        <v>0</v>
      </c>
      <c r="I171" s="50" t="n">
        <v>20216.45687880812</v>
      </c>
      <c r="J171" s="50" t="n">
        <v>32795.26855804856</v>
      </c>
    </row>
    <row r="172">
      <c r="A172" s="7" t="n">
        <v>170</v>
      </c>
      <c r="B172" s="50" t="n">
        <v>17469.36010265453</v>
      </c>
      <c r="C172" s="50" t="n">
        <v>3715.213893288252</v>
      </c>
      <c r="D172" s="50" t="n">
        <v>0</v>
      </c>
      <c r="E172" s="50" t="n">
        <v>15652.86587623623</v>
      </c>
      <c r="F172" s="50" t="n">
        <v>2336.097259679053</v>
      </c>
      <c r="G172" s="50" t="n">
        <v>10400.512873951</v>
      </c>
      <c r="H172" s="50" t="n">
        <v>0</v>
      </c>
      <c r="I172" s="50" t="n">
        <v>15652.86587623623</v>
      </c>
      <c r="J172" s="50" t="n">
        <v>23869.77687073767</v>
      </c>
    </row>
    <row r="173">
      <c r="A173" s="7" t="n">
        <v>171</v>
      </c>
      <c r="B173" s="50" t="n">
        <v>23592.00129904243</v>
      </c>
      <c r="C173" s="50" t="n">
        <v>7656.339976502728</v>
      </c>
      <c r="D173" s="50" t="n">
        <v>0</v>
      </c>
      <c r="E173" s="50" t="n">
        <v>20915.27792423681</v>
      </c>
      <c r="F173" s="50" t="n">
        <v>2242.436521171709</v>
      </c>
      <c r="G173" s="50" t="n">
        <v>14177.16032190999</v>
      </c>
      <c r="H173" s="50" t="n">
        <v>0</v>
      </c>
      <c r="I173" s="50" t="n">
        <v>20915.27792423681</v>
      </c>
      <c r="J173" s="50" t="n">
        <v>34152.54061021659</v>
      </c>
    </row>
    <row r="174">
      <c r="A174" s="7" t="n">
        <v>172</v>
      </c>
      <c r="B174" s="50" t="n">
        <v>17952.11554320131</v>
      </c>
      <c r="C174" s="50" t="n">
        <v>3975.197161369782</v>
      </c>
      <c r="D174" s="50" t="n">
        <v>0</v>
      </c>
      <c r="E174" s="50" t="n">
        <v>16092.49759410815</v>
      </c>
      <c r="F174" s="50" t="n">
        <v>2327.900303177419</v>
      </c>
      <c r="G174" s="50" t="n">
        <v>10700.06581483176</v>
      </c>
      <c r="H174" s="50" t="n">
        <v>0</v>
      </c>
      <c r="I174" s="50" t="n">
        <v>16092.49759410815</v>
      </c>
      <c r="J174" s="50" t="n">
        <v>24651.95081451206</v>
      </c>
    </row>
    <row r="175">
      <c r="A175" s="7" t="n">
        <v>173</v>
      </c>
      <c r="B175" s="50" t="n">
        <v>24455.8971260789</v>
      </c>
      <c r="C175" s="50" t="n">
        <v>8201.996304738044</v>
      </c>
      <c r="D175" s="50" t="n">
        <v>0</v>
      </c>
      <c r="E175" s="50" t="n">
        <v>21643.74018764775</v>
      </c>
      <c r="F175" s="50" t="n">
        <v>2229.43733110273</v>
      </c>
      <c r="G175" s="50" t="n">
        <v>14640.17928507528</v>
      </c>
      <c r="H175" s="50" t="n">
        <v>0</v>
      </c>
      <c r="I175" s="50" t="n">
        <v>21643.74018764775</v>
      </c>
      <c r="J175" s="50" t="n">
        <v>35569.11361183209</v>
      </c>
    </row>
    <row r="176">
      <c r="A176" s="7" t="n">
        <v>174</v>
      </c>
      <c r="B176" s="50" t="n">
        <v>18460.2031507714</v>
      </c>
      <c r="C176" s="50" t="n">
        <v>4245.600525474118</v>
      </c>
      <c r="D176" s="50" t="n">
        <v>0</v>
      </c>
      <c r="E176" s="50" t="n">
        <v>16554.68209333562</v>
      </c>
      <c r="F176" s="50" t="n">
        <v>2319.241671701806</v>
      </c>
      <c r="G176" s="50" t="n">
        <v>11012.47980003693</v>
      </c>
      <c r="H176" s="50" t="n">
        <v>0</v>
      </c>
      <c r="I176" s="50" t="n">
        <v>16554.68209333562</v>
      </c>
      <c r="J176" s="50" t="n">
        <v>25461.30021831027</v>
      </c>
    </row>
    <row r="177">
      <c r="A177" s="7" t="n">
        <v>175</v>
      </c>
      <c r="B177" s="50" t="n">
        <v>25363.40741624776</v>
      </c>
      <c r="C177" s="50" t="n">
        <v>8776.077723100054</v>
      </c>
      <c r="D177" s="50" t="n">
        <v>0</v>
      </c>
      <c r="E177" s="50" t="n">
        <v>22405.36852542555</v>
      </c>
      <c r="F177" s="50" t="n">
        <v>2215.920258034836</v>
      </c>
      <c r="G177" s="50" t="n">
        <v>15118.32404005024</v>
      </c>
      <c r="H177" s="50" t="n">
        <v>0</v>
      </c>
      <c r="I177" s="50" t="n">
        <v>22405.36852542555</v>
      </c>
      <c r="J177" s="50" t="n">
        <v>37046.91805570811</v>
      </c>
    </row>
    <row r="178">
      <c r="A178" s="7" t="n">
        <v>176</v>
      </c>
      <c r="B178" s="50" t="n">
        <v>18997.23742835327</v>
      </c>
      <c r="C178" s="50" t="n">
        <v>4530.666095867899</v>
      </c>
      <c r="D178" s="50" t="n">
        <v>0</v>
      </c>
      <c r="E178" s="50" t="n">
        <v>17042.02504753234</v>
      </c>
      <c r="F178" s="50" t="n">
        <v>2310.057662546868</v>
      </c>
      <c r="G178" s="50" t="n">
        <v>11339.56440531142</v>
      </c>
      <c r="H178" s="50" t="n">
        <v>0</v>
      </c>
      <c r="I178" s="50" t="n">
        <v>17042.02504753234</v>
      </c>
      <c r="J178" s="50" t="n">
        <v>26307.16143031215</v>
      </c>
    </row>
    <row r="179">
      <c r="A179" s="7" t="n">
        <v>177</v>
      </c>
      <c r="B179" s="50" t="n">
        <v>26318.65923742072</v>
      </c>
      <c r="C179" s="50" t="n">
        <v>9381.428319151368</v>
      </c>
      <c r="D179" s="50" t="n">
        <v>0</v>
      </c>
      <c r="E179" s="50" t="n">
        <v>23203.30748390406</v>
      </c>
      <c r="F179" s="50" t="n">
        <v>2201.867139816051</v>
      </c>
      <c r="G179" s="50" t="n">
        <v>15612.44999173513</v>
      </c>
      <c r="H179" s="50" t="n">
        <v>0</v>
      </c>
      <c r="I179" s="50" t="n">
        <v>23203.30748390406</v>
      </c>
      <c r="J179" s="50" t="n">
        <v>38591.27768799051</v>
      </c>
    </row>
    <row r="180">
      <c r="A180" s="7" t="n">
        <v>178</v>
      </c>
      <c r="B180" s="50" t="n">
        <v>19566.22950030588</v>
      </c>
      <c r="C180" s="50" t="n">
        <v>4834.050932092301</v>
      </c>
      <c r="D180" s="50" t="n">
        <v>0</v>
      </c>
      <c r="E180" s="50" t="n">
        <v>17556.55957323639</v>
      </c>
      <c r="F180" s="50" t="n">
        <v>2300.295387033053</v>
      </c>
      <c r="G180" s="50" t="n">
        <v>11682.93173798994</v>
      </c>
      <c r="H180" s="50" t="n">
        <v>0</v>
      </c>
      <c r="I180" s="50" t="n">
        <v>17556.55957323639</v>
      </c>
      <c r="J180" s="50" t="n">
        <v>27197.43348326729</v>
      </c>
    </row>
    <row r="181">
      <c r="A181" s="7" t="n">
        <v>179</v>
      </c>
      <c r="B181" s="50" t="n">
        <v>27328.38618640071</v>
      </c>
      <c r="C181" s="50" t="n">
        <v>10021.48975495633</v>
      </c>
      <c r="D181" s="50" t="n">
        <v>0</v>
      </c>
      <c r="E181" s="50" t="n">
        <v>24043.24757391933</v>
      </c>
      <c r="F181" s="50" t="n">
        <v>2187.258172420552</v>
      </c>
      <c r="G181" s="50" t="n">
        <v>16123.48215673713</v>
      </c>
      <c r="H181" s="50" t="n">
        <v>0</v>
      </c>
      <c r="I181" s="50" t="n">
        <v>24043.24757391933</v>
      </c>
      <c r="J181" s="50" t="n">
        <v>40208.69238154113</v>
      </c>
    </row>
    <row r="182">
      <c r="A182" s="7" t="n">
        <v>180</v>
      </c>
      <c r="B182" s="50" t="n">
        <v>20176.931105238</v>
      </c>
      <c r="C182" s="50" t="n">
        <v>5158.762904935546</v>
      </c>
      <c r="D182" s="50" t="n">
        <v>0</v>
      </c>
      <c r="E182" s="50" t="n">
        <v>18107.48178666094</v>
      </c>
      <c r="F182" s="50" t="n">
        <v>2289.912954637985</v>
      </c>
      <c r="G182" s="50" t="n">
        <v>12044.0434834949</v>
      </c>
      <c r="H182" s="50" t="n">
        <v>0</v>
      </c>
      <c r="I182" s="50" t="n">
        <v>18107.48178666094</v>
      </c>
      <c r="J182" s="50" t="n">
        <v>28138.44698197331</v>
      </c>
    </row>
    <row r="183">
      <c r="A183" s="7" t="n">
        <v>181</v>
      </c>
      <c r="B183" s="50" t="n">
        <v>28398.30612134096</v>
      </c>
      <c r="C183" s="50" t="n">
        <v>10701.68604238896</v>
      </c>
      <c r="D183" s="50" t="n">
        <v>0</v>
      </c>
      <c r="E183" s="50" t="n">
        <v>24928.90724157373</v>
      </c>
      <c r="F183" s="50" t="n">
        <v>2172.060322124395</v>
      </c>
      <c r="G183" s="50" t="n">
        <v>16652.56518313292</v>
      </c>
      <c r="H183" s="50" t="n">
        <v>0</v>
      </c>
      <c r="I183" s="50" t="n">
        <v>24928.90724157373</v>
      </c>
      <c r="J183" s="50" t="n">
        <v>41909.78499985515</v>
      </c>
    </row>
    <row r="184">
      <c r="A184" s="7" t="n">
        <v>182</v>
      </c>
      <c r="B184" s="50" t="n">
        <v>20836.74376953798</v>
      </c>
      <c r="C184" s="50" t="n">
        <v>5511.963543105259</v>
      </c>
      <c r="D184" s="50" t="n">
        <v>0</v>
      </c>
      <c r="E184" s="50" t="n">
        <v>18700.26730402201</v>
      </c>
      <c r="F184" s="50" t="n">
        <v>2278.827744483046</v>
      </c>
      <c r="G184" s="50" t="n">
        <v>12424.89204491227</v>
      </c>
      <c r="H184" s="50" t="n">
        <v>0</v>
      </c>
      <c r="I184" s="50" t="n">
        <v>18700.26730402201</v>
      </c>
      <c r="J184" s="50" t="n">
        <v>29145.74236807827</v>
      </c>
    </row>
    <row r="185">
      <c r="A185" s="7" t="n">
        <v>183</v>
      </c>
      <c r="B185" s="50" t="n">
        <v>29533.98136299722</v>
      </c>
      <c r="C185" s="50" t="n">
        <v>11427.26126658177</v>
      </c>
      <c r="D185" s="50" t="n">
        <v>0</v>
      </c>
      <c r="E185" s="50" t="n">
        <v>25863.78781338682</v>
      </c>
      <c r="F185" s="50" t="n">
        <v>2156.25034692476</v>
      </c>
      <c r="G185" s="50" t="n">
        <v>17200.58796556728</v>
      </c>
      <c r="H185" s="50" t="n">
        <v>0</v>
      </c>
      <c r="I185" s="50" t="n">
        <v>25863.78781338682</v>
      </c>
      <c r="J185" s="50" t="n">
        <v>43704.43833660585</v>
      </c>
    </row>
    <row r="186">
      <c r="A186" s="7" t="n">
        <v>184</v>
      </c>
      <c r="B186" s="50" t="n">
        <v>21547.5225511612</v>
      </c>
      <c r="C186" s="50" t="n">
        <v>5900.69503904166</v>
      </c>
      <c r="D186" s="50" t="n">
        <v>0</v>
      </c>
      <c r="E186" s="50" t="n">
        <v>19334.41357423566</v>
      </c>
      <c r="F186" s="50" t="n">
        <v>2266.96776468755</v>
      </c>
      <c r="G186" s="50" t="n">
        <v>12827.05778846695</v>
      </c>
      <c r="H186" s="50" t="n">
        <v>0</v>
      </c>
      <c r="I186" s="50" t="n">
        <v>19334.41357423566</v>
      </c>
      <c r="J186" s="50" t="n">
        <v>30234.35946790938</v>
      </c>
    </row>
    <row r="187">
      <c r="A187" s="7" t="n">
        <v>185</v>
      </c>
      <c r="B187" s="50" t="n">
        <v>30737.32787876633</v>
      </c>
      <c r="C187" s="50" t="n">
        <v>12203.29048011778</v>
      </c>
      <c r="D187" s="50" t="n">
        <v>0</v>
      </c>
      <c r="E187" s="50" t="n">
        <v>26847.33704310408</v>
      </c>
      <c r="F187" s="50" t="n">
        <v>2139.814611055946</v>
      </c>
      <c r="G187" s="50" t="n">
        <v>17768.20442296285</v>
      </c>
      <c r="H187" s="50" t="n">
        <v>0</v>
      </c>
      <c r="I187" s="50" t="n">
        <v>26847.33704310408</v>
      </c>
      <c r="J187" s="50" t="n">
        <v>45601.89062636165</v>
      </c>
    </row>
    <row r="188">
      <c r="A188" s="7" t="n">
        <v>186</v>
      </c>
      <c r="B188" s="50" t="n">
        <v>22310.38799501046</v>
      </c>
      <c r="C188" s="50" t="n">
        <v>6328.227977815346</v>
      </c>
      <c r="D188" s="50" t="n">
        <v>0</v>
      </c>
      <c r="E188" s="50" t="n">
        <v>20009.60493808505</v>
      </c>
      <c r="F188" s="50" t="n">
        <v>2254.309764472768</v>
      </c>
      <c r="G188" s="50" t="n">
        <v>13251.20097403211</v>
      </c>
      <c r="H188" s="50" t="n">
        <v>0</v>
      </c>
      <c r="I188" s="50" t="n">
        <v>20009.60493808505</v>
      </c>
      <c r="J188" s="50" t="n">
        <v>31410.66251342048</v>
      </c>
    </row>
    <row r="189">
      <c r="A189" s="7" t="n">
        <v>187</v>
      </c>
      <c r="B189" s="50" t="n">
        <v>32024.50891454712</v>
      </c>
      <c r="C189" s="50" t="n">
        <v>13032.16696848185</v>
      </c>
      <c r="D189" s="50" t="n">
        <v>0</v>
      </c>
      <c r="E189" s="50" t="n">
        <v>27895.82498713103</v>
      </c>
      <c r="F189" s="50" t="n">
        <v>2122.770625809557</v>
      </c>
      <c r="G189" s="50" t="n">
        <v>18355.47521216425</v>
      </c>
      <c r="H189" s="50" t="n">
        <v>0</v>
      </c>
      <c r="I189" s="50" t="n">
        <v>27895.82498713103</v>
      </c>
      <c r="J189" s="50" t="n">
        <v>47605.23963398463</v>
      </c>
    </row>
    <row r="190">
      <c r="A190" s="7" t="n">
        <v>188</v>
      </c>
      <c r="B190" s="50" t="n">
        <v>23131.66656003595</v>
      </c>
      <c r="C190" s="50" t="n">
        <v>6796.009347812302</v>
      </c>
      <c r="D190" s="50" t="n">
        <v>0</v>
      </c>
      <c r="E190" s="50" t="n">
        <v>20731.5236197593</v>
      </c>
      <c r="F190" s="50" t="n">
        <v>2240.854228868324</v>
      </c>
      <c r="G190" s="50" t="n">
        <v>13697.63438495781</v>
      </c>
      <c r="H190" s="50" t="n">
        <v>0</v>
      </c>
      <c r="I190" s="50" t="n">
        <v>20731.5236197593</v>
      </c>
      <c r="J190" s="50" t="n">
        <v>32676.76893269748</v>
      </c>
    </row>
    <row r="191">
      <c r="A191" s="7" t="n">
        <v>189</v>
      </c>
      <c r="B191" s="50" t="n">
        <v>33408.45374469544</v>
      </c>
      <c r="C191" s="50" t="n">
        <v>13925.94936754822</v>
      </c>
      <c r="D191" s="50" t="n">
        <v>0</v>
      </c>
      <c r="E191" s="50" t="n">
        <v>29017.58478288859</v>
      </c>
      <c r="F191" s="50" t="n">
        <v>2105.059379888989</v>
      </c>
      <c r="G191" s="50" t="n">
        <v>18963.96095362669</v>
      </c>
      <c r="H191" s="50" t="n">
        <v>0</v>
      </c>
      <c r="I191" s="50" t="n">
        <v>29017.58478288859</v>
      </c>
      <c r="J191" s="50" t="n">
        <v>49738.66370684479</v>
      </c>
    </row>
    <row r="192">
      <c r="A192" s="7" t="n">
        <v>190</v>
      </c>
      <c r="B192" s="50" t="n">
        <v>24019.41406606018</v>
      </c>
      <c r="C192" s="50" t="n">
        <v>7308.341310815566</v>
      </c>
      <c r="D192" s="50" t="n">
        <v>0</v>
      </c>
      <c r="E192" s="50" t="n">
        <v>21506.74456546595</v>
      </c>
      <c r="F192" s="50" t="n">
        <v>2226.576233155036</v>
      </c>
      <c r="G192" s="50" t="n">
        <v>14167.134478922</v>
      </c>
      <c r="H192" s="50" t="n">
        <v>0</v>
      </c>
      <c r="I192" s="50" t="n">
        <v>21506.74456546595</v>
      </c>
      <c r="J192" s="50" t="n">
        <v>34041.06080276362</v>
      </c>
    </row>
    <row r="193">
      <c r="A193" s="7" t="n">
        <v>191</v>
      </c>
      <c r="B193" s="50" t="n">
        <v>34890.0002257767</v>
      </c>
      <c r="C193" s="50" t="n">
        <v>14896.53531661863</v>
      </c>
      <c r="D193" s="50" t="n">
        <v>0</v>
      </c>
      <c r="E193" s="50" t="n">
        <v>30207.24588125356</v>
      </c>
      <c r="F193" s="50" t="n">
        <v>2086.641920283088</v>
      </c>
      <c r="G193" s="50" t="n">
        <v>19594.40812426084</v>
      </c>
      <c r="H193" s="50" t="n">
        <v>0</v>
      </c>
      <c r="I193" s="50" t="n">
        <v>30207.24588125356</v>
      </c>
      <c r="J193" s="50" t="n">
        <v>52025.68380632438</v>
      </c>
    </row>
    <row r="194">
      <c r="A194" s="7" t="n">
        <v>192</v>
      </c>
      <c r="B194" s="50" t="n">
        <v>24975.25931905419</v>
      </c>
      <c r="C194" s="50" t="n">
        <v>7871.604169714556</v>
      </c>
      <c r="D194" s="50" t="n">
        <v>0</v>
      </c>
      <c r="E194" s="50" t="n">
        <v>22334.20005133064</v>
      </c>
      <c r="F194" s="50" t="n">
        <v>2211.437833987118</v>
      </c>
      <c r="G194" s="50" t="n">
        <v>14660.59662791537</v>
      </c>
      <c r="H194" s="50" t="n">
        <v>0</v>
      </c>
      <c r="I194" s="50" t="n">
        <v>22334.20005133064</v>
      </c>
      <c r="J194" s="50" t="n">
        <v>35516.35170285002</v>
      </c>
    </row>
    <row r="195">
      <c r="A195" s="7" t="n">
        <v>193</v>
      </c>
      <c r="B195" s="50" t="n">
        <v>36465.42310387942</v>
      </c>
      <c r="C195" s="50" t="n">
        <v>15946.76984701969</v>
      </c>
      <c r="D195" s="50" t="n">
        <v>0</v>
      </c>
      <c r="E195" s="50" t="n">
        <v>31458.30572452454</v>
      </c>
      <c r="F195" s="50" t="n">
        <v>2067.569729046547</v>
      </c>
      <c r="G195" s="50" t="n">
        <v>20245.24748840297</v>
      </c>
      <c r="H195" s="50" t="n">
        <v>0</v>
      </c>
      <c r="I195" s="50" t="n">
        <v>31458.30572452454</v>
      </c>
      <c r="J195" s="50" t="n">
        <v>54469.58107809105</v>
      </c>
    </row>
    <row r="196">
      <c r="A196" s="7" t="n">
        <v>194</v>
      </c>
      <c r="B196" s="50" t="n">
        <v>26001.79685007065</v>
      </c>
      <c r="C196" s="50" t="n">
        <v>8488.429791909119</v>
      </c>
      <c r="D196" s="50" t="n">
        <v>0</v>
      </c>
      <c r="E196" s="50" t="n">
        <v>23214.96964477151</v>
      </c>
      <c r="F196" s="50" t="n">
        <v>2195.44736547221</v>
      </c>
      <c r="G196" s="50" t="n">
        <v>15178.02721098444</v>
      </c>
      <c r="H196" s="50" t="n">
        <v>0</v>
      </c>
      <c r="I196" s="50" t="n">
        <v>23214.96964477151</v>
      </c>
      <c r="J196" s="50" t="n">
        <v>37106.82972074189</v>
      </c>
    </row>
    <row r="197">
      <c r="A197" s="7" t="n">
        <v>195</v>
      </c>
      <c r="B197" s="50" t="n">
        <v>38132.68522547125</v>
      </c>
      <c r="C197" s="50" t="n">
        <v>17074.1637492181</v>
      </c>
      <c r="D197" s="50" t="n">
        <v>0</v>
      </c>
      <c r="E197" s="50" t="n">
        <v>32768.71568421824</v>
      </c>
      <c r="F197" s="50" t="n">
        <v>2047.940746236825</v>
      </c>
      <c r="G197" s="50" t="n">
        <v>20913.80639089731</v>
      </c>
      <c r="H197" s="50" t="n">
        <v>0</v>
      </c>
      <c r="I197" s="50" t="n">
        <v>32768.71568421824</v>
      </c>
      <c r="J197" s="50" t="n">
        <v>57061.62041750754</v>
      </c>
    </row>
    <row r="198">
      <c r="A198" s="7" t="n">
        <v>196</v>
      </c>
      <c r="B198" s="50" t="n">
        <v>27097.39653947725</v>
      </c>
      <c r="C198" s="50" t="n">
        <v>9160.915883947455</v>
      </c>
      <c r="D198" s="50" t="n">
        <v>0</v>
      </c>
      <c r="E198" s="50" t="n">
        <v>24145.73567678191</v>
      </c>
      <c r="F198" s="50" t="n">
        <v>2178.623716838716</v>
      </c>
      <c r="G198" s="50" t="n">
        <v>15719.30016922267</v>
      </c>
      <c r="H198" s="50" t="n">
        <v>0</v>
      </c>
      <c r="I198" s="50" t="n">
        <v>24145.73567678191</v>
      </c>
      <c r="J198" s="50" t="n">
        <v>38815.19265401043</v>
      </c>
    </row>
    <row r="199">
      <c r="A199" s="7" t="n">
        <v>197</v>
      </c>
      <c r="B199" s="50" t="n">
        <v>39879.78015640095</v>
      </c>
      <c r="C199" s="50" t="n">
        <v>18276.50787140377</v>
      </c>
      <c r="D199" s="50" t="n">
        <v>0</v>
      </c>
      <c r="E199" s="50" t="n">
        <v>34125.09982791197</v>
      </c>
      <c r="F199" s="50" t="n">
        <v>2027.848299466888</v>
      </c>
      <c r="G199" s="50" t="n">
        <v>21597.64381140814</v>
      </c>
      <c r="H199" s="50" t="n">
        <v>0</v>
      </c>
      <c r="I199" s="50" t="n">
        <v>34125.09982791197</v>
      </c>
      <c r="J199" s="50" t="n">
        <v>59793.4105463727</v>
      </c>
    </row>
    <row r="200">
      <c r="A200" s="7" t="n">
        <v>198</v>
      </c>
      <c r="B200" s="50" t="n">
        <v>28265.60796093726</v>
      </c>
      <c r="C200" s="50" t="n">
        <v>9888.086056195083</v>
      </c>
      <c r="D200" s="50" t="n">
        <v>0</v>
      </c>
      <c r="E200" s="50" t="n">
        <v>25129.86425792275</v>
      </c>
      <c r="F200" s="50" t="n">
        <v>2161.018469628412</v>
      </c>
      <c r="G200" s="50" t="n">
        <v>16283.87067253102</v>
      </c>
      <c r="H200" s="50" t="n">
        <v>0</v>
      </c>
      <c r="I200" s="50" t="n">
        <v>25129.86425792275</v>
      </c>
      <c r="J200" s="50" t="n">
        <v>40637.04145905719</v>
      </c>
    </row>
    <row r="201">
      <c r="A201" s="7" t="n">
        <v>199</v>
      </c>
      <c r="B201" s="50" t="n">
        <v>41708.615721091</v>
      </c>
      <c r="C201" s="50" t="n">
        <v>19544.08715910336</v>
      </c>
      <c r="D201" s="50" t="n">
        <v>0</v>
      </c>
      <c r="E201" s="50" t="n">
        <v>35533.9087583377</v>
      </c>
      <c r="F201" s="50" t="n">
        <v>2007.436239446164</v>
      </c>
      <c r="G201" s="50" t="n">
        <v>22293.31881151762</v>
      </c>
      <c r="H201" s="50" t="n">
        <v>0</v>
      </c>
      <c r="I201" s="50" t="n">
        <v>35533.9087583377</v>
      </c>
      <c r="J201" s="50" t="n">
        <v>62640.01865425997</v>
      </c>
    </row>
    <row r="202">
      <c r="A202" s="7" t="n">
        <v>200</v>
      </c>
      <c r="B202" s="50" t="n">
        <v>29511.59202464598</v>
      </c>
      <c r="C202" s="50" t="n">
        <v>10671.70493042376</v>
      </c>
      <c r="D202" s="50" t="n">
        <v>0</v>
      </c>
      <c r="E202" s="50" t="n">
        <v>26171.51573129749</v>
      </c>
      <c r="F202" s="50" t="n">
        <v>2142.659234984312</v>
      </c>
      <c r="G202" s="50" t="n">
        <v>16871.93631059656</v>
      </c>
      <c r="H202" s="50" t="n">
        <v>0</v>
      </c>
      <c r="I202" s="50" t="n">
        <v>26171.51573129749</v>
      </c>
      <c r="J202" s="50" t="n">
        <v>42573.77521429479</v>
      </c>
    </row>
    <row r="203">
      <c r="A203" s="7" t="n">
        <v>201</v>
      </c>
      <c r="B203" s="50" t="n">
        <v>1200905.445366825</v>
      </c>
      <c r="C203" s="50" t="n">
        <v>1896.39064685069</v>
      </c>
      <c r="D203" s="50" t="n">
        <v>0</v>
      </c>
      <c r="E203" s="50" t="n">
        <v>1198736.998253992</v>
      </c>
      <c r="F203" s="50" t="n">
        <v>4318.840538631193</v>
      </c>
      <c r="G203" s="50" t="n">
        <v>475141.2339964835</v>
      </c>
      <c r="H203" s="50" t="n">
        <v>0</v>
      </c>
      <c r="I203" s="50" t="n">
        <v>1198736.998253992</v>
      </c>
      <c r="J203" s="50" t="n">
        <v>2936242.701831328</v>
      </c>
    </row>
    <row r="204">
      <c r="A204" s="7" t="n">
        <v>202</v>
      </c>
      <c r="B204" s="50" t="n">
        <v>1202747.490427032</v>
      </c>
      <c r="C204" s="50" t="n">
        <v>980.9400477553718</v>
      </c>
      <c r="D204" s="50" t="n">
        <v>0</v>
      </c>
      <c r="E204" s="50" t="n">
        <v>1200579.079989239</v>
      </c>
      <c r="F204" s="50" t="n">
        <v>4322.606670738664</v>
      </c>
      <c r="G204" s="50" t="n">
        <v>476013.0890400633</v>
      </c>
      <c r="H204" s="50" t="n">
        <v>0</v>
      </c>
      <c r="I204" s="50" t="n">
        <v>1200579.079989239</v>
      </c>
      <c r="J204" s="50" t="n">
        <v>2940873.413204469</v>
      </c>
    </row>
    <row r="205">
      <c r="A205" s="7" t="n">
        <v>203</v>
      </c>
      <c r="B205" s="50" t="n">
        <v>1200669.939125199</v>
      </c>
      <c r="C205" s="50" t="n">
        <v>2012.709431185853</v>
      </c>
      <c r="D205" s="50" t="n">
        <v>0</v>
      </c>
      <c r="E205" s="50" t="n">
        <v>1198501.425251665</v>
      </c>
      <c r="F205" s="50" t="n">
        <v>4318.385443638545</v>
      </c>
      <c r="G205" s="50" t="n">
        <v>475022.6444912874</v>
      </c>
      <c r="H205" s="50" t="n">
        <v>0</v>
      </c>
      <c r="I205" s="50" t="n">
        <v>1198501.425251665</v>
      </c>
      <c r="J205" s="50" t="n">
        <v>2935650.571913327</v>
      </c>
    </row>
    <row r="206">
      <c r="A206" s="7" t="n">
        <v>204</v>
      </c>
      <c r="B206" s="50" t="n">
        <v>1202602.299213965</v>
      </c>
      <c r="C206" s="50" t="n">
        <v>1053.003940834664</v>
      </c>
      <c r="D206" s="50" t="n">
        <v>0</v>
      </c>
      <c r="E206" s="50" t="n">
        <v>1200433.908019705</v>
      </c>
      <c r="F206" s="50" t="n">
        <v>4322.316762962379</v>
      </c>
      <c r="G206" s="50" t="n">
        <v>475941.9065020191</v>
      </c>
      <c r="H206" s="50" t="n">
        <v>0</v>
      </c>
      <c r="I206" s="50" t="n">
        <v>1200433.908019705</v>
      </c>
      <c r="J206" s="50" t="n">
        <v>2940508.490460227</v>
      </c>
    </row>
    <row r="207">
      <c r="A207" s="7" t="n">
        <v>205</v>
      </c>
      <c r="B207" s="50" t="n">
        <v>1200416.463476713</v>
      </c>
      <c r="C207" s="50" t="n">
        <v>2137.982051626313</v>
      </c>
      <c r="D207" s="50" t="n">
        <v>0</v>
      </c>
      <c r="E207" s="50" t="n">
        <v>1198247.86256389</v>
      </c>
      <c r="F207" s="50" t="n">
        <v>4317.900146718137</v>
      </c>
      <c r="G207" s="50" t="n">
        <v>474890.7731954074</v>
      </c>
      <c r="H207" s="50" t="n">
        <v>0</v>
      </c>
      <c r="I207" s="50" t="n">
        <v>1198247.86256389</v>
      </c>
      <c r="J207" s="50" t="n">
        <v>2935013.209229894</v>
      </c>
    </row>
    <row r="208">
      <c r="A208" s="7" t="n">
        <v>206</v>
      </c>
      <c r="B208" s="50" t="n">
        <v>1202446.858990872</v>
      </c>
      <c r="C208" s="50" t="n">
        <v>1130.087417507544</v>
      </c>
      <c r="D208" s="50" t="n">
        <v>0</v>
      </c>
      <c r="E208" s="50" t="n">
        <v>1200278.481927984</v>
      </c>
      <c r="F208" s="50" t="n">
        <v>4322.009936683346</v>
      </c>
      <c r="G208" s="50" t="n">
        <v>475864.2815066474</v>
      </c>
      <c r="H208" s="50" t="n">
        <v>0</v>
      </c>
      <c r="I208" s="50" t="n">
        <v>1200278.481927984</v>
      </c>
      <c r="J208" s="50" t="n">
        <v>2940117.797563656</v>
      </c>
    </row>
    <row r="209">
      <c r="A209" s="7" t="n">
        <v>207</v>
      </c>
      <c r="B209" s="50" t="n">
        <v>1200147.929549839</v>
      </c>
      <c r="C209" s="50" t="n">
        <v>2270.769048549701</v>
      </c>
      <c r="D209" s="50" t="n">
        <v>0</v>
      </c>
      <c r="E209" s="50" t="n">
        <v>1197979.217058435</v>
      </c>
      <c r="F209" s="50" t="n">
        <v>4317.395514897071</v>
      </c>
      <c r="G209" s="50" t="n">
        <v>474743.0919413166</v>
      </c>
      <c r="H209" s="50" t="n">
        <v>0</v>
      </c>
      <c r="I209" s="50" t="n">
        <v>1197979.217058435</v>
      </c>
      <c r="J209" s="50" t="n">
        <v>2934337.918142946</v>
      </c>
    </row>
    <row r="210">
      <c r="A210" s="7" t="n">
        <v>208</v>
      </c>
      <c r="B210" s="50" t="n">
        <v>1202276.415462066</v>
      </c>
      <c r="C210" s="50" t="n">
        <v>1214.470981915016</v>
      </c>
      <c r="D210" s="50" t="n">
        <v>0</v>
      </c>
      <c r="E210" s="50" t="n">
        <v>1200108.045724197</v>
      </c>
      <c r="F210" s="50" t="n">
        <v>4321.678916825447</v>
      </c>
      <c r="G210" s="50" t="n">
        <v>475777.5311662364</v>
      </c>
      <c r="H210" s="50" t="n">
        <v>0</v>
      </c>
      <c r="I210" s="50" t="n">
        <v>1200108.045724197</v>
      </c>
      <c r="J210" s="50" t="n">
        <v>2939689.387641052</v>
      </c>
    </row>
    <row r="211">
      <c r="A211" s="7" t="n">
        <v>209</v>
      </c>
      <c r="B211" s="50" t="n">
        <v>1199837.057558087</v>
      </c>
      <c r="C211" s="50" t="n">
        <v>2424.515157672111</v>
      </c>
      <c r="D211" s="50" t="n">
        <v>0</v>
      </c>
      <c r="E211" s="50" t="n">
        <v>1197668.198105998</v>
      </c>
      <c r="F211" s="50" t="n">
        <v>4316.809729152359</v>
      </c>
      <c r="G211" s="50" t="n">
        <v>474571.7668024153</v>
      </c>
      <c r="H211" s="50" t="n">
        <v>0</v>
      </c>
      <c r="I211" s="50" t="n">
        <v>1197668.198105998</v>
      </c>
      <c r="J211" s="50" t="n">
        <v>2933556.104109369</v>
      </c>
    </row>
    <row r="212">
      <c r="A212" s="7" t="n">
        <v>210</v>
      </c>
      <c r="B212" s="50" t="n">
        <v>1202085.901777092</v>
      </c>
      <c r="C212" s="50" t="n">
        <v>1308.712607639842</v>
      </c>
      <c r="D212" s="50" t="n">
        <v>0</v>
      </c>
      <c r="E212" s="50" t="n">
        <v>1199917.531644551</v>
      </c>
      <c r="F212" s="50" t="n">
        <v>4321.312273688149</v>
      </c>
      <c r="G212" s="50" t="n">
        <v>475679.4184199935</v>
      </c>
      <c r="H212" s="50" t="n">
        <v>0</v>
      </c>
      <c r="I212" s="50" t="n">
        <v>1199917.531644551</v>
      </c>
      <c r="J212" s="50" t="n">
        <v>2939210.516136779</v>
      </c>
    </row>
    <row r="213">
      <c r="A213" s="7" t="n">
        <v>211</v>
      </c>
      <c r="B213" s="50" t="n">
        <v>1199461.257411029</v>
      </c>
      <c r="C213" s="50" t="n">
        <v>2610.324093286414</v>
      </c>
      <c r="D213" s="50" t="n">
        <v>0</v>
      </c>
      <c r="E213" s="50" t="n">
        <v>1197292.199141448</v>
      </c>
      <c r="F213" s="50" t="n">
        <v>4316.091156094335</v>
      </c>
      <c r="G213" s="50" t="n">
        <v>474371.1993637835</v>
      </c>
      <c r="H213" s="50" t="n">
        <v>0</v>
      </c>
      <c r="I213" s="50" t="n">
        <v>1197292.199141448</v>
      </c>
      <c r="J213" s="50" t="n">
        <v>2932610.947457183</v>
      </c>
    </row>
    <row r="214">
      <c r="A214" s="7" t="n">
        <v>212</v>
      </c>
      <c r="B214" s="50" t="n">
        <v>1201871.311365787</v>
      </c>
      <c r="C214" s="50" t="n">
        <v>1415.001584526151</v>
      </c>
      <c r="D214" s="50" t="n">
        <v>0</v>
      </c>
      <c r="E214" s="50" t="n">
        <v>1199702.933669594</v>
      </c>
      <c r="F214" s="50" t="n">
        <v>4320.895183108281</v>
      </c>
      <c r="G214" s="50" t="n">
        <v>475569.5639212979</v>
      </c>
      <c r="H214" s="50" t="n">
        <v>0</v>
      </c>
      <c r="I214" s="50" t="n">
        <v>1199702.933669594</v>
      </c>
      <c r="J214" s="50" t="n">
        <v>2938671.089680627</v>
      </c>
    </row>
    <row r="215">
      <c r="A215" s="7" t="n">
        <v>213</v>
      </c>
      <c r="B215" s="50" t="n">
        <v>1199014.203221753</v>
      </c>
      <c r="C215" s="50" t="n">
        <v>2831.318272688426</v>
      </c>
      <c r="D215" s="50" t="n">
        <v>0</v>
      </c>
      <c r="E215" s="50" t="n">
        <v>1196844.876509705</v>
      </c>
      <c r="F215" s="50" t="n">
        <v>4315.224792915396</v>
      </c>
      <c r="G215" s="50" t="n">
        <v>474139.9552379549</v>
      </c>
      <c r="H215" s="50" t="n">
        <v>0</v>
      </c>
      <c r="I215" s="50" t="n">
        <v>1196844.876509705</v>
      </c>
      <c r="J215" s="50" t="n">
        <v>2931486.498537119</v>
      </c>
    </row>
    <row r="216">
      <c r="A216" s="7" t="n">
        <v>214</v>
      </c>
      <c r="B216" s="50" t="n">
        <v>1201637.223365387</v>
      </c>
      <c r="C216" s="50" t="n">
        <v>1531.126555076335</v>
      </c>
      <c r="D216" s="50" t="n">
        <v>0</v>
      </c>
      <c r="E216" s="50" t="n">
        <v>1199468.827674912</v>
      </c>
      <c r="F216" s="50" t="n">
        <v>4320.437345534097</v>
      </c>
      <c r="G216" s="50" t="n">
        <v>475448.7514111083</v>
      </c>
      <c r="H216" s="50" t="n">
        <v>0</v>
      </c>
      <c r="I216" s="50" t="n">
        <v>1199468.827674912</v>
      </c>
      <c r="J216" s="50" t="n">
        <v>2938082.602841266</v>
      </c>
    </row>
    <row r="217">
      <c r="A217" s="7" t="n">
        <v>215</v>
      </c>
      <c r="B217" s="50" t="n">
        <v>1198496.089699098</v>
      </c>
      <c r="C217" s="50" t="n">
        <v>3087.219185410533</v>
      </c>
      <c r="D217" s="50" t="n">
        <v>0</v>
      </c>
      <c r="E217" s="50" t="n">
        <v>1196326.402773821</v>
      </c>
      <c r="F217" s="50" t="n">
        <v>4314.217404903378</v>
      </c>
      <c r="G217" s="50" t="n">
        <v>473876.2949078102</v>
      </c>
      <c r="H217" s="50" t="n">
        <v>0</v>
      </c>
      <c r="I217" s="50" t="n">
        <v>1196326.402773821</v>
      </c>
      <c r="J217" s="50" t="n">
        <v>2930183.20494667</v>
      </c>
    </row>
    <row r="218">
      <c r="A218" s="7" t="n">
        <v>216</v>
      </c>
      <c r="B218" s="50" t="n">
        <v>1201379.377070031</v>
      </c>
      <c r="C218" s="50" t="n">
        <v>1659.230922834016</v>
      </c>
      <c r="D218" s="50" t="n">
        <v>0</v>
      </c>
      <c r="E218" s="50" t="n">
        <v>1199210.95119859</v>
      </c>
      <c r="F218" s="50" t="n">
        <v>4319.926762549672</v>
      </c>
      <c r="G218" s="50" t="n">
        <v>475316.4822405963</v>
      </c>
      <c r="H218" s="50" t="n">
        <v>0</v>
      </c>
      <c r="I218" s="50" t="n">
        <v>1199210.95119859</v>
      </c>
      <c r="J218" s="50" t="n">
        <v>2937434.336820467</v>
      </c>
    </row>
    <row r="219">
      <c r="A219" s="7" t="n">
        <v>217</v>
      </c>
      <c r="B219" s="50" t="n">
        <v>1197917.137600659</v>
      </c>
      <c r="C219" s="50" t="n">
        <v>3372.973545122426</v>
      </c>
      <c r="D219" s="50" t="n">
        <v>0</v>
      </c>
      <c r="E219" s="50" t="n">
        <v>1195746.980684347</v>
      </c>
      <c r="F219" s="50" t="n">
        <v>4313.097239762545</v>
      </c>
      <c r="G219" s="50" t="n">
        <v>473579.3980698222</v>
      </c>
      <c r="H219" s="50" t="n">
        <v>0</v>
      </c>
      <c r="I219" s="50" t="n">
        <v>1195746.980684347</v>
      </c>
      <c r="J219" s="50" t="n">
        <v>2928726.704313629</v>
      </c>
    </row>
    <row r="220">
      <c r="A220" s="7" t="n">
        <v>218</v>
      </c>
      <c r="B220" s="50" t="n">
        <v>1201089.977723516</v>
      </c>
      <c r="C220" s="50" t="n">
        <v>1802.924967190716</v>
      </c>
      <c r="D220" s="50" t="n">
        <v>0</v>
      </c>
      <c r="E220" s="50" t="n">
        <v>1198921.503057959</v>
      </c>
      <c r="F220" s="50" t="n">
        <v>4319.351194948889</v>
      </c>
      <c r="G220" s="50" t="n">
        <v>475170.1880324958</v>
      </c>
      <c r="H220" s="50" t="n">
        <v>0</v>
      </c>
      <c r="I220" s="50" t="n">
        <v>1198921.503057959</v>
      </c>
      <c r="J220" s="50" t="n">
        <v>2936706.709140979</v>
      </c>
    </row>
    <row r="221">
      <c r="A221" s="7" t="n">
        <v>219</v>
      </c>
      <c r="B221" s="50" t="n">
        <v>1197280.067981252</v>
      </c>
      <c r="C221" s="50" t="n">
        <v>3687.394447939936</v>
      </c>
      <c r="D221" s="50" t="n">
        <v>0</v>
      </c>
      <c r="E221" s="50" t="n">
        <v>1195109.310986603</v>
      </c>
      <c r="F221" s="50" t="n">
        <v>4311.870920798741</v>
      </c>
      <c r="G221" s="50" t="n">
        <v>473246.5941887619</v>
      </c>
      <c r="H221" s="50" t="n">
        <v>0</v>
      </c>
      <c r="I221" s="50" t="n">
        <v>1195109.310986603</v>
      </c>
      <c r="J221" s="50" t="n">
        <v>2927123.758084244</v>
      </c>
    </row>
    <row r="222">
      <c r="A222" s="7" t="n">
        <v>220</v>
      </c>
      <c r="B222" s="50" t="n">
        <v>1200769.06072062</v>
      </c>
      <c r="C222" s="50" t="n">
        <v>1962.034711397719</v>
      </c>
      <c r="D222" s="50" t="n">
        <v>0</v>
      </c>
      <c r="E222" s="50" t="n">
        <v>1198600.510344161</v>
      </c>
      <c r="F222" s="50" t="n">
        <v>4318.716795813758</v>
      </c>
      <c r="G222" s="50" t="n">
        <v>475008.0634184098</v>
      </c>
      <c r="H222" s="50" t="n">
        <v>0</v>
      </c>
      <c r="I222" s="50" t="n">
        <v>1198600.510344161</v>
      </c>
      <c r="J222" s="50" t="n">
        <v>2935899.803360208</v>
      </c>
    </row>
    <row r="223">
      <c r="A223" s="7" t="n">
        <v>221</v>
      </c>
      <c r="B223" s="50" t="n">
        <v>1196567.50018297</v>
      </c>
      <c r="C223" s="50" t="n">
        <v>4039.138660670724</v>
      </c>
      <c r="D223" s="50" t="n">
        <v>0</v>
      </c>
      <c r="E223" s="50" t="n">
        <v>1194395.9732692</v>
      </c>
      <c r="F223" s="50" t="n">
        <v>4310.497746704612</v>
      </c>
      <c r="G223" s="50" t="n">
        <v>472871.4403740028</v>
      </c>
      <c r="H223" s="50" t="n">
        <v>0</v>
      </c>
      <c r="I223" s="50" t="n">
        <v>1194395.9732692</v>
      </c>
      <c r="J223" s="50" t="n">
        <v>2925330.558714512</v>
      </c>
    </row>
    <row r="224">
      <c r="A224" s="7" t="n">
        <v>222</v>
      </c>
      <c r="B224" s="50" t="n">
        <v>1200407.204454978</v>
      </c>
      <c r="C224" s="50" t="n">
        <v>2141.218481222633</v>
      </c>
      <c r="D224" s="50" t="n">
        <v>0</v>
      </c>
      <c r="E224" s="50" t="n">
        <v>1198238.543155271</v>
      </c>
      <c r="F224" s="50" t="n">
        <v>4318.002768270671</v>
      </c>
      <c r="G224" s="50" t="n">
        <v>474827.0622720118</v>
      </c>
      <c r="H224" s="50" t="n">
        <v>0</v>
      </c>
      <c r="I224" s="50" t="n">
        <v>1198238.543155271</v>
      </c>
      <c r="J224" s="50" t="n">
        <v>2934989.914455154</v>
      </c>
    </row>
    <row r="225">
      <c r="A225" s="7" t="n">
        <v>223</v>
      </c>
      <c r="B225" s="50" t="n">
        <v>1195755.920041552</v>
      </c>
      <c r="C225" s="50" t="n">
        <v>4439.604085358325</v>
      </c>
      <c r="D225" s="50" t="n">
        <v>0</v>
      </c>
      <c r="E225" s="50" t="n">
        <v>1193583.391301791</v>
      </c>
      <c r="F225" s="50" t="n">
        <v>4308.929258445278</v>
      </c>
      <c r="G225" s="50" t="n">
        <v>472445.5183779299</v>
      </c>
      <c r="H225" s="50" t="n">
        <v>0</v>
      </c>
      <c r="I225" s="50" t="n">
        <v>1193583.391301791</v>
      </c>
      <c r="J225" s="50" t="n">
        <v>2923287.853066347</v>
      </c>
    </row>
    <row r="226">
      <c r="A226" s="7" t="n">
        <v>224</v>
      </c>
      <c r="B226" s="50" t="n">
        <v>1200000.752513137</v>
      </c>
      <c r="C226" s="50" t="n">
        <v>2342.124814487994</v>
      </c>
      <c r="D226" s="50" t="n">
        <v>0</v>
      </c>
      <c r="E226" s="50" t="n">
        <v>1197831.931835678</v>
      </c>
      <c r="F226" s="50" t="n">
        <v>4317.207962382119</v>
      </c>
      <c r="G226" s="50" t="n">
        <v>474623.6737581752</v>
      </c>
      <c r="H226" s="50" t="n">
        <v>0</v>
      </c>
      <c r="I226" s="50" t="n">
        <v>1197831.931835678</v>
      </c>
      <c r="J226" s="50" t="n">
        <v>2933967.83263699</v>
      </c>
    </row>
    <row r="227">
      <c r="A227" s="7" t="n">
        <v>225</v>
      </c>
      <c r="B227" s="50" t="n">
        <v>1194828.800175026</v>
      </c>
      <c r="C227" s="50" t="n">
        <v>4896.639860586729</v>
      </c>
      <c r="D227" s="50" t="n">
        <v>0</v>
      </c>
      <c r="E227" s="50" t="n">
        <v>1192654.968022641</v>
      </c>
      <c r="F227" s="50" t="n">
        <v>4307.126098089851</v>
      </c>
      <c r="G227" s="50" t="n">
        <v>471964.3224694934</v>
      </c>
      <c r="H227" s="50" t="n">
        <v>0</v>
      </c>
      <c r="I227" s="50" t="n">
        <v>1192654.968022641</v>
      </c>
      <c r="J227" s="50" t="n">
        <v>2920953.90617166</v>
      </c>
    </row>
    <row r="228">
      <c r="A228" s="7" t="n">
        <v>226</v>
      </c>
      <c r="B228" s="50" t="n">
        <v>1199550.52341893</v>
      </c>
      <c r="C228" s="50" t="n">
        <v>2564.764098235872</v>
      </c>
      <c r="D228" s="50" t="n">
        <v>0</v>
      </c>
      <c r="E228" s="50" t="n">
        <v>1197381.48778222</v>
      </c>
      <c r="F228" s="50" t="n">
        <v>4316.324541729409</v>
      </c>
      <c r="G228" s="50" t="n">
        <v>474398.5810366157</v>
      </c>
      <c r="H228" s="50" t="n">
        <v>0</v>
      </c>
      <c r="I228" s="50" t="n">
        <v>1197381.48778222</v>
      </c>
      <c r="J228" s="50" t="n">
        <v>2932835.547131325</v>
      </c>
    </row>
    <row r="229">
      <c r="A229" s="7" t="n">
        <v>227</v>
      </c>
      <c r="B229" s="50" t="n">
        <v>1193778.009603801</v>
      </c>
      <c r="C229" s="50" t="n">
        <v>5414.093985201791</v>
      </c>
      <c r="D229" s="50" t="n">
        <v>0</v>
      </c>
      <c r="E229" s="50" t="n">
        <v>1191602.496323625</v>
      </c>
      <c r="F229" s="50" t="n">
        <v>4305.065628874581</v>
      </c>
      <c r="G229" s="50" t="n">
        <v>471426.3826554311</v>
      </c>
      <c r="H229" s="50" t="n">
        <v>0</v>
      </c>
      <c r="I229" s="50" t="n">
        <v>1191602.496323625</v>
      </c>
      <c r="J229" s="50" t="n">
        <v>2918308.063555218</v>
      </c>
    </row>
    <row r="230">
      <c r="A230" s="7" t="n">
        <v>228</v>
      </c>
      <c r="B230" s="50" t="n">
        <v>1199067.145841691</v>
      </c>
      <c r="C230" s="50" t="n">
        <v>2804.091495349072</v>
      </c>
      <c r="D230" s="50" t="n">
        <v>0</v>
      </c>
      <c r="E230" s="50" t="n">
        <v>1196897.833597582</v>
      </c>
      <c r="F230" s="50" t="n">
        <v>4315.372873961926</v>
      </c>
      <c r="G230" s="50" t="n">
        <v>474153.8256671824</v>
      </c>
      <c r="H230" s="50" t="n">
        <v>0</v>
      </c>
      <c r="I230" s="50" t="n">
        <v>1196897.833597582</v>
      </c>
      <c r="J230" s="50" t="n">
        <v>2931619.731437221</v>
      </c>
    </row>
    <row r="231">
      <c r="A231" s="7" t="n">
        <v>229</v>
      </c>
      <c r="B231" s="50" t="n">
        <v>1192603.587454027</v>
      </c>
      <c r="C231" s="50" t="n">
        <v>5991.410498136189</v>
      </c>
      <c r="D231" s="50" t="n">
        <v>0</v>
      </c>
      <c r="E231" s="50" t="n">
        <v>1190425.938395136</v>
      </c>
      <c r="F231" s="50" t="n">
        <v>4302.746979905758</v>
      </c>
      <c r="G231" s="50" t="n">
        <v>470832.6749673001</v>
      </c>
      <c r="H231" s="50" t="n">
        <v>0</v>
      </c>
      <c r="I231" s="50" t="n">
        <v>1190425.938395136</v>
      </c>
      <c r="J231" s="50" t="n">
        <v>2915350.219922527</v>
      </c>
    </row>
    <row r="232">
      <c r="A232" s="7" t="n">
        <v>230</v>
      </c>
      <c r="B232" s="50" t="n">
        <v>1198552.932892014</v>
      </c>
      <c r="C232" s="50" t="n">
        <v>3059.052619205788</v>
      </c>
      <c r="D232" s="50" t="n">
        <v>0</v>
      </c>
      <c r="E232" s="50" t="n">
        <v>1196383.274318877</v>
      </c>
      <c r="F232" s="50" t="n">
        <v>4314.356103270315</v>
      </c>
      <c r="G232" s="50" t="n">
        <v>473889.3542955383</v>
      </c>
      <c r="H232" s="50" t="n">
        <v>0</v>
      </c>
      <c r="I232" s="50" t="n">
        <v>1196383.274318877</v>
      </c>
      <c r="J232" s="50" t="n">
        <v>2930326.165826884</v>
      </c>
    </row>
    <row r="233">
      <c r="A233" s="7" t="n">
        <v>231</v>
      </c>
      <c r="B233" s="50" t="n">
        <v>1191309.743707995</v>
      </c>
      <c r="C233" s="50" t="n">
        <v>6627.384754499886</v>
      </c>
      <c r="D233" s="50" t="n">
        <v>0</v>
      </c>
      <c r="E233" s="50" t="n">
        <v>1189129.422395149</v>
      </c>
      <c r="F233" s="50" t="n">
        <v>4300.170373194851</v>
      </c>
      <c r="G233" s="50" t="n">
        <v>470184.7373837368</v>
      </c>
      <c r="H233" s="50" t="n">
        <v>0</v>
      </c>
      <c r="I233" s="50" t="n">
        <v>1189129.422395149</v>
      </c>
      <c r="J233" s="50" t="n">
        <v>2912090.699700218</v>
      </c>
    </row>
    <row r="234">
      <c r="A234" s="7" t="n">
        <v>232</v>
      </c>
      <c r="B234" s="50" t="n">
        <v>1197994.466071303</v>
      </c>
      <c r="C234" s="50" t="n">
        <v>3336.566790102981</v>
      </c>
      <c r="D234" s="50" t="n">
        <v>0</v>
      </c>
      <c r="E234" s="50" t="n">
        <v>1195824.377974611</v>
      </c>
      <c r="F234" s="50" t="n">
        <v>4313.229897458106</v>
      </c>
      <c r="G234" s="50" t="n">
        <v>473605.661778938</v>
      </c>
      <c r="H234" s="50" t="n">
        <v>0</v>
      </c>
      <c r="I234" s="50" t="n">
        <v>1195824.377974611</v>
      </c>
      <c r="J234" s="50" t="n">
        <v>2928921.053044221</v>
      </c>
    </row>
    <row r="235">
      <c r="A235" s="7" t="n">
        <v>233</v>
      </c>
      <c r="B235" s="50" t="n">
        <v>1189888.953614915</v>
      </c>
      <c r="C235" s="50" t="n">
        <v>7325.408184188418</v>
      </c>
      <c r="D235" s="50" t="n">
        <v>0</v>
      </c>
      <c r="E235" s="50" t="n">
        <v>1187705.312497002</v>
      </c>
      <c r="F235" s="50" t="n">
        <v>4297.315359770786</v>
      </c>
      <c r="G235" s="50" t="n">
        <v>469483.4544726047</v>
      </c>
      <c r="H235" s="50" t="n">
        <v>0</v>
      </c>
      <c r="I235" s="50" t="n">
        <v>1187705.312497002</v>
      </c>
      <c r="J235" s="50" t="n">
        <v>2908510.301542665</v>
      </c>
    </row>
    <row r="236">
      <c r="A236" s="7" t="n">
        <v>234</v>
      </c>
      <c r="B236" s="50" t="n">
        <v>1197386.188360579</v>
      </c>
      <c r="C236" s="50" t="n">
        <v>3639.384442000184</v>
      </c>
      <c r="D236" s="50" t="n">
        <v>0</v>
      </c>
      <c r="E236" s="50" t="n">
        <v>1195215.571447061</v>
      </c>
      <c r="F236" s="50" t="n">
        <v>4311.97290038364</v>
      </c>
      <c r="G236" s="50" t="n">
        <v>473306.3823593091</v>
      </c>
      <c r="H236" s="50" t="n">
        <v>0</v>
      </c>
      <c r="I236" s="50" t="n">
        <v>1195215.571447061</v>
      </c>
      <c r="J236" s="50" t="n">
        <v>2927390.38244003</v>
      </c>
    </row>
    <row r="237">
      <c r="A237" s="7" t="n">
        <v>235</v>
      </c>
      <c r="B237" s="50" t="n">
        <v>1188350.119425726</v>
      </c>
      <c r="C237" s="50" t="n">
        <v>8080.055797905196</v>
      </c>
      <c r="D237" s="50" t="n">
        <v>0</v>
      </c>
      <c r="E237" s="50" t="n">
        <v>1186162.426579002</v>
      </c>
      <c r="F237" s="50" t="n">
        <v>4294.207737792283</v>
      </c>
      <c r="G237" s="50" t="n">
        <v>468732.4263006728</v>
      </c>
      <c r="H237" s="50" t="n">
        <v>0</v>
      </c>
      <c r="I237" s="50" t="n">
        <v>1186162.426579002</v>
      </c>
      <c r="J237" s="50" t="n">
        <v>2904631.212678971</v>
      </c>
    </row>
    <row r="238">
      <c r="A238" s="7" t="n">
        <v>236</v>
      </c>
      <c r="B238" s="50" t="n">
        <v>1196718.749422684</v>
      </c>
      <c r="C238" s="50" t="n">
        <v>3971.679381430615</v>
      </c>
      <c r="D238" s="50" t="n">
        <v>0</v>
      </c>
      <c r="E238" s="50" t="n">
        <v>1194547.476742798</v>
      </c>
      <c r="F238" s="50" t="n">
        <v>4310.565982717089</v>
      </c>
      <c r="G238" s="50" t="n">
        <v>472993.8238385664</v>
      </c>
      <c r="H238" s="50" t="n">
        <v>0</v>
      </c>
      <c r="I238" s="50" t="n">
        <v>1194547.476742798</v>
      </c>
      <c r="J238" s="50" t="n">
        <v>2925710.629795678</v>
      </c>
    </row>
    <row r="239">
      <c r="A239" s="7" t="n">
        <v>237</v>
      </c>
      <c r="B239" s="50" t="n">
        <v>1186694.212811846</v>
      </c>
      <c r="C239" s="50" t="n">
        <v>8891.12334936671</v>
      </c>
      <c r="D239" s="50" t="n">
        <v>0</v>
      </c>
      <c r="E239" s="50" t="n">
        <v>1184501.621757655</v>
      </c>
      <c r="F239" s="50" t="n">
        <v>4290.854412791785</v>
      </c>
      <c r="G239" s="50" t="n">
        <v>467929.8826794699</v>
      </c>
      <c r="H239" s="50" t="n">
        <v>0</v>
      </c>
      <c r="I239" s="50" t="n">
        <v>1184501.621757655</v>
      </c>
      <c r="J239" s="50" t="n">
        <v>2900455.587263908</v>
      </c>
    </row>
    <row r="240">
      <c r="A240" s="7" t="n">
        <v>238</v>
      </c>
      <c r="B240" s="50" t="n">
        <v>1196008.030195264</v>
      </c>
      <c r="C240" s="50" t="n">
        <v>4325.025485823397</v>
      </c>
      <c r="D240" s="50" t="n">
        <v>0</v>
      </c>
      <c r="E240" s="50" t="n">
        <v>1193835.963383429</v>
      </c>
      <c r="F240" s="50" t="n">
        <v>4309.058162769303</v>
      </c>
      <c r="G240" s="50" t="n">
        <v>472672.6955570313</v>
      </c>
      <c r="H240" s="50" t="n">
        <v>0</v>
      </c>
      <c r="I240" s="50" t="n">
        <v>1193835.963383429</v>
      </c>
      <c r="J240" s="50" t="n">
        <v>2923921.747943648</v>
      </c>
    </row>
    <row r="241">
      <c r="A241" s="7" t="n">
        <v>239</v>
      </c>
      <c r="B241" s="50" t="n">
        <v>1184918.452971998</v>
      </c>
      <c r="C241" s="50" t="n">
        <v>9761.044129291549</v>
      </c>
      <c r="D241" s="50" t="n">
        <v>0</v>
      </c>
      <c r="E241" s="50" t="n">
        <v>1182719.98485995</v>
      </c>
      <c r="F241" s="50" t="n">
        <v>4287.232308662497</v>
      </c>
      <c r="G241" s="50" t="n">
        <v>467078.2931412202</v>
      </c>
      <c r="H241" s="50" t="n">
        <v>0</v>
      </c>
      <c r="I241" s="50" t="n">
        <v>1182719.98485995</v>
      </c>
      <c r="J241" s="50" t="n">
        <v>2895976.023367184</v>
      </c>
    </row>
    <row r="242">
      <c r="A242" s="7" t="n">
        <v>240</v>
      </c>
      <c r="B242" s="50" t="n">
        <v>1195273.433645099</v>
      </c>
      <c r="C242" s="50" t="n">
        <v>4689.612538497895</v>
      </c>
      <c r="D242" s="50" t="n">
        <v>0</v>
      </c>
      <c r="E242" s="50" t="n">
        <v>1193100.436722404</v>
      </c>
      <c r="F242" s="50" t="n">
        <v>4307.501382287126</v>
      </c>
      <c r="G242" s="50" t="n">
        <v>472347.2599361488</v>
      </c>
      <c r="H242" s="50" t="n">
        <v>0</v>
      </c>
      <c r="I242" s="50" t="n">
        <v>1193100.436722404</v>
      </c>
      <c r="J242" s="50" t="n">
        <v>2922072.538278691</v>
      </c>
    </row>
    <row r="243">
      <c r="A243" s="7" t="n">
        <v>241</v>
      </c>
      <c r="B243" s="50" t="n">
        <v>1183021.90661126</v>
      </c>
      <c r="C243" s="50" t="n">
        <v>10687.91706567397</v>
      </c>
      <c r="D243" s="50" t="n">
        <v>0</v>
      </c>
      <c r="E243" s="50" t="n">
        <v>1180816.46272902</v>
      </c>
      <c r="F243" s="50" t="n">
        <v>4283.344954018947</v>
      </c>
      <c r="G243" s="50" t="n">
        <v>466184.0626582745</v>
      </c>
      <c r="H243" s="50" t="n">
        <v>0</v>
      </c>
      <c r="I243" s="50" t="n">
        <v>1180816.46272902</v>
      </c>
      <c r="J243" s="50" t="n">
        <v>2891189.918833334</v>
      </c>
    </row>
    <row r="244">
      <c r="A244" s="7" t="n">
        <v>242</v>
      </c>
      <c r="B244" s="50" t="n">
        <v>1194528.32971708</v>
      </c>
      <c r="C244" s="50" t="n">
        <v>5058.818251595832</v>
      </c>
      <c r="D244" s="50" t="n">
        <v>0</v>
      </c>
      <c r="E244" s="50" t="n">
        <v>1192354.272994895</v>
      </c>
      <c r="F244" s="50" t="n">
        <v>4305.929999062326</v>
      </c>
      <c r="G244" s="50" t="n">
        <v>472019.5874619125</v>
      </c>
      <c r="H244" s="50" t="n">
        <v>0</v>
      </c>
      <c r="I244" s="50" t="n">
        <v>1192354.272994895</v>
      </c>
      <c r="J244" s="50" t="n">
        <v>2920196.624299512</v>
      </c>
    </row>
    <row r="245">
      <c r="A245" s="7" t="n">
        <v>243</v>
      </c>
      <c r="B245" s="50" t="n">
        <v>1181030.397577201</v>
      </c>
      <c r="C245" s="50" t="n">
        <v>11658.69736744976</v>
      </c>
      <c r="D245" s="50" t="n">
        <v>0</v>
      </c>
      <c r="E245" s="50" t="n">
        <v>1178816.837932934</v>
      </c>
      <c r="F245" s="50" t="n">
        <v>4279.27364071412</v>
      </c>
      <c r="G245" s="50" t="n">
        <v>465246.352278546</v>
      </c>
      <c r="H245" s="50" t="n">
        <v>0</v>
      </c>
      <c r="I245" s="50" t="n">
        <v>1178816.837932934</v>
      </c>
      <c r="J245" s="50" t="n">
        <v>2886162.139406412</v>
      </c>
    </row>
    <row r="246">
      <c r="A246" s="7" t="n">
        <v>244</v>
      </c>
      <c r="B246" s="50" t="n">
        <v>1193803.284663894</v>
      </c>
      <c r="C246" s="50" t="n">
        <v>5417.283355969936</v>
      </c>
      <c r="D246" s="50" t="n">
        <v>0</v>
      </c>
      <c r="E246" s="50" t="n">
        <v>1191628.073340937</v>
      </c>
      <c r="F246" s="50" t="n">
        <v>4304.432857367676</v>
      </c>
      <c r="G246" s="50" t="n">
        <v>471688.9622422894</v>
      </c>
      <c r="H246" s="50" t="n">
        <v>0</v>
      </c>
      <c r="I246" s="50" t="n">
        <v>1191628.073340937</v>
      </c>
      <c r="J246" s="50" t="n">
        <v>2918370.952150647</v>
      </c>
    </row>
    <row r="247">
      <c r="A247" s="7" t="n">
        <v>245</v>
      </c>
      <c r="B247" s="50" t="n">
        <v>1178931.598132903</v>
      </c>
      <c r="C247" s="50" t="n">
        <v>12675.89114425518</v>
      </c>
      <c r="D247" s="50" t="n">
        <v>0</v>
      </c>
      <c r="E247" s="50" t="n">
        <v>1176708.628716506</v>
      </c>
      <c r="F247" s="50" t="n">
        <v>4275.032086307183</v>
      </c>
      <c r="G247" s="50" t="n">
        <v>464254.5132383667</v>
      </c>
      <c r="H247" s="50" t="n">
        <v>0</v>
      </c>
      <c r="I247" s="50" t="n">
        <v>1176708.628716506</v>
      </c>
      <c r="J247" s="50" t="n">
        <v>2880861.439733515</v>
      </c>
    </row>
    <row r="248">
      <c r="A248" s="7" t="n">
        <v>246</v>
      </c>
      <c r="B248" s="50" t="n">
        <v>1193072.933502728</v>
      </c>
      <c r="C248" s="50" t="n">
        <v>5777.42280502012</v>
      </c>
      <c r="D248" s="50" t="n">
        <v>0</v>
      </c>
      <c r="E248" s="50" t="n">
        <v>1190896.434670189</v>
      </c>
      <c r="F248" s="50" t="n">
        <v>4302.962275018916</v>
      </c>
      <c r="G248" s="50" t="n">
        <v>471342.1579335942</v>
      </c>
      <c r="H248" s="50" t="n">
        <v>0</v>
      </c>
      <c r="I248" s="50" t="n">
        <v>1190896.434670189</v>
      </c>
      <c r="J248" s="50" t="n">
        <v>2916531.66946053</v>
      </c>
    </row>
    <row r="249">
      <c r="A249" s="7" t="n">
        <v>247</v>
      </c>
      <c r="B249" s="50" t="n">
        <v>1176696.969132288</v>
      </c>
      <c r="C249" s="50" t="n">
        <v>13749.39687945414</v>
      </c>
      <c r="D249" s="50" t="n">
        <v>0</v>
      </c>
      <c r="E249" s="50" t="n">
        <v>1174463.0515238</v>
      </c>
      <c r="F249" s="50" t="n">
        <v>4270.593979733996</v>
      </c>
      <c r="G249" s="50" t="n">
        <v>463193.8123419848</v>
      </c>
      <c r="H249" s="50" t="n">
        <v>0</v>
      </c>
      <c r="I249" s="50" t="n">
        <v>1174463.0515238</v>
      </c>
      <c r="J249" s="50" t="n">
        <v>2875215.556100613</v>
      </c>
    </row>
    <row r="250">
      <c r="A250" s="7" t="n">
        <v>248</v>
      </c>
      <c r="B250" s="50" t="n">
        <v>1192312.776568934</v>
      </c>
      <c r="C250" s="50" t="n">
        <v>6151.094143995084</v>
      </c>
      <c r="D250" s="50" t="n">
        <v>0</v>
      </c>
      <c r="E250" s="50" t="n">
        <v>1190134.803175072</v>
      </c>
      <c r="F250" s="50" t="n">
        <v>4301.478580656927</v>
      </c>
      <c r="G250" s="50" t="n">
        <v>470963.3809387693</v>
      </c>
      <c r="H250" s="50" t="n">
        <v>0</v>
      </c>
      <c r="I250" s="50" t="n">
        <v>1190134.803175072</v>
      </c>
      <c r="J250" s="50" t="n">
        <v>2914617.065767612</v>
      </c>
    </row>
    <row r="251">
      <c r="A251" s="7" t="n">
        <v>249</v>
      </c>
      <c r="B251" s="50" t="n">
        <v>1174278.424246129</v>
      </c>
      <c r="C251" s="50" t="n">
        <v>14894.85464129038</v>
      </c>
      <c r="D251" s="50" t="n">
        <v>0</v>
      </c>
      <c r="E251" s="50" t="n">
        <v>1172031.658052905</v>
      </c>
      <c r="F251" s="50" t="n">
        <v>4265.913252269384</v>
      </c>
      <c r="G251" s="50" t="n">
        <v>462044.5863036439</v>
      </c>
      <c r="H251" s="50" t="n">
        <v>0</v>
      </c>
      <c r="I251" s="50" t="n">
        <v>1172031.658052905</v>
      </c>
      <c r="J251" s="50" t="n">
        <v>2869102.881285724</v>
      </c>
    </row>
    <row r="252">
      <c r="A252" s="7" t="n">
        <v>250</v>
      </c>
      <c r="B252" s="50" t="n">
        <v>1191503.465740162</v>
      </c>
      <c r="C252" s="50" t="n">
        <v>6547.916979854926</v>
      </c>
      <c r="D252" s="50" t="n">
        <v>0</v>
      </c>
      <c r="E252" s="50" t="n">
        <v>1189323.773390549</v>
      </c>
      <c r="F252" s="50" t="n">
        <v>4299.946266150102</v>
      </c>
      <c r="G252" s="50" t="n">
        <v>470537.4238385791</v>
      </c>
      <c r="H252" s="50" t="n">
        <v>0</v>
      </c>
      <c r="I252" s="50" t="n">
        <v>1189323.773390549</v>
      </c>
      <c r="J252" s="50" t="n">
        <v>2912578.324413766</v>
      </c>
    </row>
    <row r="253">
      <c r="A253" s="7" t="n">
        <v>251</v>
      </c>
      <c r="B253" s="50" t="n">
        <v>1171638.678075103</v>
      </c>
      <c r="C253" s="50" t="n">
        <v>16135.19050522801</v>
      </c>
      <c r="D253" s="50" t="n">
        <v>0</v>
      </c>
      <c r="E253" s="50" t="n">
        <v>1169376.644902879</v>
      </c>
      <c r="F253" s="50" t="n">
        <v>4260.88525500102</v>
      </c>
      <c r="G253" s="50" t="n">
        <v>460776.4993481967</v>
      </c>
      <c r="H253" s="50" t="n">
        <v>0</v>
      </c>
      <c r="I253" s="50" t="n">
        <v>1169376.644902879</v>
      </c>
      <c r="J253" s="50" t="n">
        <v>2862428.099642711</v>
      </c>
    </row>
    <row r="254">
      <c r="A254" s="7" t="n">
        <v>252</v>
      </c>
      <c r="B254" s="50" t="n">
        <v>1190589.711512279</v>
      </c>
      <c r="C254" s="50" t="n">
        <v>6993.853149479721</v>
      </c>
      <c r="D254" s="50" t="n">
        <v>0</v>
      </c>
      <c r="E254" s="50" t="n">
        <v>1188407.91631153</v>
      </c>
      <c r="F254" s="50" t="n">
        <v>4298.243070482276</v>
      </c>
      <c r="G254" s="50" t="n">
        <v>470045.1876495611</v>
      </c>
      <c r="H254" s="50" t="n">
        <v>0</v>
      </c>
      <c r="I254" s="50" t="n">
        <v>1188407.91631153</v>
      </c>
      <c r="J254" s="50" t="n">
        <v>2910276.093517045</v>
      </c>
    </row>
    <row r="255">
      <c r="A255" s="7" t="n">
        <v>253</v>
      </c>
      <c r="B255" s="50" t="n">
        <v>1168727.066037838</v>
      </c>
      <c r="C255" s="50" t="n">
        <v>17490.59036115045</v>
      </c>
      <c r="D255" s="50" t="n">
        <v>0</v>
      </c>
      <c r="E255" s="50" t="n">
        <v>1166446.747550075</v>
      </c>
      <c r="F255" s="50" t="n">
        <v>4255.398834408261</v>
      </c>
      <c r="G255" s="50" t="n">
        <v>459380.4455476231</v>
      </c>
      <c r="H255" s="50" t="n">
        <v>0</v>
      </c>
      <c r="I255" s="50" t="n">
        <v>1166446.747550075</v>
      </c>
      <c r="J255" s="50" t="n">
        <v>2855062.246502633</v>
      </c>
    </row>
    <row r="256">
      <c r="A256" s="7" t="n">
        <v>254</v>
      </c>
      <c r="B256" s="50" t="n">
        <v>1189522.463035382</v>
      </c>
      <c r="C256" s="50" t="n">
        <v>7512.691582962405</v>
      </c>
      <c r="D256" s="50" t="n">
        <v>0</v>
      </c>
      <c r="E256" s="50" t="n">
        <v>1187338.014680758</v>
      </c>
      <c r="F256" s="50" t="n">
        <v>4296.242927033454</v>
      </c>
      <c r="G256" s="50" t="n">
        <v>469475.5118229259</v>
      </c>
      <c r="H256" s="50" t="n">
        <v>0</v>
      </c>
      <c r="I256" s="50" t="n">
        <v>1187338.014680758</v>
      </c>
      <c r="J256" s="50" t="n">
        <v>2907586.581793735</v>
      </c>
    </row>
    <row r="257">
      <c r="A257" s="7" t="n">
        <v>255</v>
      </c>
      <c r="B257" s="50" t="n">
        <v>1165515.058203215</v>
      </c>
      <c r="C257" s="50" t="n">
        <v>18980.42837017961</v>
      </c>
      <c r="D257" s="50" t="n">
        <v>0</v>
      </c>
      <c r="E257" s="50" t="n">
        <v>1163212.711180795</v>
      </c>
      <c r="F257" s="50" t="n">
        <v>4249.3505362547</v>
      </c>
      <c r="G257" s="50" t="n">
        <v>457831.935331021</v>
      </c>
      <c r="H257" s="50" t="n">
        <v>0</v>
      </c>
      <c r="I257" s="50" t="n">
        <v>1163212.711180795</v>
      </c>
      <c r="J257" s="50" t="n">
        <v>2846931.420373553</v>
      </c>
    </row>
    <row r="258">
      <c r="A258" s="7" t="n">
        <v>256</v>
      </c>
      <c r="B258" s="50" t="n">
        <v>1188281.903531803</v>
      </c>
      <c r="C258" s="50" t="n">
        <v>8114.208524527028</v>
      </c>
      <c r="D258" s="50" t="n">
        <v>0</v>
      </c>
      <c r="E258" s="50" t="n">
        <v>1186094.100040528</v>
      </c>
      <c r="F258" s="50" t="n">
        <v>4293.89991396945</v>
      </c>
      <c r="G258" s="50" t="n">
        <v>468821.3027525935</v>
      </c>
      <c r="H258" s="50" t="n">
        <v>0</v>
      </c>
      <c r="I258" s="50" t="n">
        <v>1186094.100040528</v>
      </c>
      <c r="J258" s="50" t="n">
        <v>2904459.563088272</v>
      </c>
    </row>
    <row r="259">
      <c r="A259" s="7" t="n">
        <v>257</v>
      </c>
      <c r="B259" s="50" t="n">
        <v>1161990.383661396</v>
      </c>
      <c r="C259" s="50" t="n">
        <v>20614.80448840186</v>
      </c>
      <c r="D259" s="50" t="n">
        <v>0</v>
      </c>
      <c r="E259" s="50" t="n">
        <v>1159661.530461567</v>
      </c>
      <c r="F259" s="50" t="n">
        <v>4242.690352547914</v>
      </c>
      <c r="G259" s="50" t="n">
        <v>456106.4499465283</v>
      </c>
      <c r="H259" s="50" t="n">
        <v>0</v>
      </c>
      <c r="I259" s="50" t="n">
        <v>1159661.530461567</v>
      </c>
      <c r="J259" s="50" t="n">
        <v>2838002.62498738</v>
      </c>
    </row>
    <row r="260">
      <c r="A260" s="7" t="n">
        <v>258</v>
      </c>
      <c r="B260" s="50" t="n">
        <v>1186863.31810877</v>
      </c>
      <c r="C260" s="50" t="n">
        <v>8800.452472289093</v>
      </c>
      <c r="D260" s="50" t="n">
        <v>0</v>
      </c>
      <c r="E260" s="50" t="n">
        <v>1184671.314419955</v>
      </c>
      <c r="F260" s="50" t="n">
        <v>4291.205432481598</v>
      </c>
      <c r="G260" s="50" t="n">
        <v>468077.9054328459</v>
      </c>
      <c r="H260" s="50" t="n">
        <v>0</v>
      </c>
      <c r="I260" s="50" t="n">
        <v>1184671.314419955</v>
      </c>
      <c r="J260" s="50" t="n">
        <v>2900882.796965508</v>
      </c>
    </row>
    <row r="261">
      <c r="A261" s="7" t="n">
        <v>259</v>
      </c>
      <c r="B261" s="50" t="n">
        <v>1158026.089087513</v>
      </c>
      <c r="C261" s="50" t="n">
        <v>22439.44172069943</v>
      </c>
      <c r="D261" s="50" t="n">
        <v>0</v>
      </c>
      <c r="E261" s="50" t="n">
        <v>1155664.735715911</v>
      </c>
      <c r="F261" s="50" t="n">
        <v>4235.189037970267</v>
      </c>
      <c r="G261" s="50" t="n">
        <v>454202.3024665941</v>
      </c>
      <c r="H261" s="50" t="n">
        <v>0</v>
      </c>
      <c r="I261" s="50" t="n">
        <v>1155664.735715911</v>
      </c>
      <c r="J261" s="50" t="n">
        <v>2827953.106753938</v>
      </c>
    </row>
    <row r="262">
      <c r="A262" s="7" t="n">
        <v>260</v>
      </c>
      <c r="B262" s="50" t="n">
        <v>1185233.480689929</v>
      </c>
      <c r="C262" s="50" t="n">
        <v>9584.602919680066</v>
      </c>
      <c r="D262" s="50" t="n">
        <v>0</v>
      </c>
      <c r="E262" s="50" t="n">
        <v>1183036.188703543</v>
      </c>
      <c r="F262" s="50" t="n">
        <v>4288.100169466343</v>
      </c>
      <c r="G262" s="50" t="n">
        <v>467238.2184877531</v>
      </c>
      <c r="H262" s="50" t="n">
        <v>0</v>
      </c>
      <c r="I262" s="50" t="n">
        <v>1183036.188703543</v>
      </c>
      <c r="J262" s="50" t="n">
        <v>2896772.208839634</v>
      </c>
    </row>
    <row r="263">
      <c r="A263" s="7" t="n">
        <v>261</v>
      </c>
      <c r="B263" s="50" t="n">
        <v>1153571.739639666</v>
      </c>
      <c r="C263" s="50" t="n">
        <v>24497.42138309032</v>
      </c>
      <c r="D263" s="50" t="n">
        <v>0</v>
      </c>
      <c r="E263" s="50" t="n">
        <v>1151170.034921025</v>
      </c>
      <c r="F263" s="50" t="n">
        <v>4226.613417014945</v>
      </c>
      <c r="G263" s="50" t="n">
        <v>452071.5613085283</v>
      </c>
      <c r="H263" s="50" t="n">
        <v>0</v>
      </c>
      <c r="I263" s="50" t="n">
        <v>1151170.034921025</v>
      </c>
      <c r="J263" s="50" t="n">
        <v>2816650.555122014</v>
      </c>
    </row>
    <row r="264">
      <c r="A264" s="7" t="n">
        <v>262</v>
      </c>
      <c r="B264" s="50" t="n">
        <v>1183360.627041968</v>
      </c>
      <c r="C264" s="50" t="n">
        <v>10485.79919655947</v>
      </c>
      <c r="D264" s="50" t="n">
        <v>0</v>
      </c>
      <c r="E264" s="50" t="n">
        <v>1181156.617875514</v>
      </c>
      <c r="F264" s="50" t="n">
        <v>4284.48328355886</v>
      </c>
      <c r="G264" s="50" t="n">
        <v>466292.4445197242</v>
      </c>
      <c r="H264" s="50" t="n">
        <v>0</v>
      </c>
      <c r="I264" s="50" t="n">
        <v>1181156.617875514</v>
      </c>
      <c r="J264" s="50" t="n">
        <v>2892046.92794093</v>
      </c>
    </row>
    <row r="265">
      <c r="A265" s="7" t="n">
        <v>263</v>
      </c>
      <c r="B265" s="50" t="n">
        <v>1148614.847118939</v>
      </c>
      <c r="C265" s="50" t="n">
        <v>26796.02035117894</v>
      </c>
      <c r="D265" s="50" t="n">
        <v>0</v>
      </c>
      <c r="E265" s="50" t="n">
        <v>1146163.384354932</v>
      </c>
      <c r="F265" s="50" t="n">
        <v>4216.899990793318</v>
      </c>
      <c r="G265" s="50" t="n">
        <v>449715.2490655091</v>
      </c>
      <c r="H265" s="50" t="n">
        <v>0</v>
      </c>
      <c r="I265" s="50" t="n">
        <v>1146163.384354932</v>
      </c>
      <c r="J265" s="50" t="n">
        <v>2804059.312037543</v>
      </c>
    </row>
    <row r="266">
      <c r="A266" s="7" t="n">
        <v>264</v>
      </c>
      <c r="B266" s="50" t="n">
        <v>1181226.813591088</v>
      </c>
      <c r="C266" s="50" t="n">
        <v>11508.8761585406</v>
      </c>
      <c r="D266" s="50" t="n">
        <v>0</v>
      </c>
      <c r="E266" s="50" t="n">
        <v>1179014.33508616</v>
      </c>
      <c r="F266" s="50" t="n">
        <v>4280.335052846465</v>
      </c>
      <c r="G266" s="50" t="n">
        <v>465240.9733429109</v>
      </c>
      <c r="H266" s="50" t="n">
        <v>0</v>
      </c>
      <c r="I266" s="50" t="n">
        <v>1179014.33508616</v>
      </c>
      <c r="J266" s="50" t="n">
        <v>2886661.116727054</v>
      </c>
    </row>
    <row r="267">
      <c r="A267" s="7" t="n">
        <v>265</v>
      </c>
      <c r="B267" s="50" t="n">
        <v>1143168.378972812</v>
      </c>
      <c r="C267" s="50" t="n">
        <v>29323.3364289999</v>
      </c>
      <c r="D267" s="50" t="n">
        <v>0</v>
      </c>
      <c r="E267" s="50" t="n">
        <v>1140656.395436833</v>
      </c>
      <c r="F267" s="50" t="n">
        <v>4206.097927627619</v>
      </c>
      <c r="G267" s="50" t="n">
        <v>447143.4525525691</v>
      </c>
      <c r="H267" s="50" t="n">
        <v>0</v>
      </c>
      <c r="I267" s="50" t="n">
        <v>1140656.395436833</v>
      </c>
      <c r="J267" s="50" t="n">
        <v>2790208.474097652</v>
      </c>
    </row>
    <row r="268">
      <c r="A268" s="7" t="n">
        <v>266</v>
      </c>
      <c r="B268" s="50" t="n">
        <v>1178819.551955953</v>
      </c>
      <c r="C268" s="50" t="n">
        <v>12657.48324858351</v>
      </c>
      <c r="D268" s="50" t="n">
        <v>0</v>
      </c>
      <c r="E268" s="50" t="n">
        <v>1176596.475619443</v>
      </c>
      <c r="F268" s="50" t="n">
        <v>4275.65198352281</v>
      </c>
      <c r="G268" s="50" t="n">
        <v>464077.3974617305</v>
      </c>
      <c r="H268" s="50" t="n">
        <v>0</v>
      </c>
      <c r="I268" s="50" t="n">
        <v>1176596.475619443</v>
      </c>
      <c r="J268" s="50" t="n">
        <v>2880582.488990041</v>
      </c>
    </row>
    <row r="269">
      <c r="A269" s="7" t="n">
        <v>267</v>
      </c>
      <c r="B269" s="50" t="n">
        <v>1137224.774352244</v>
      </c>
      <c r="C269" s="50" t="n">
        <v>32068.84167406103</v>
      </c>
      <c r="D269" s="50" t="n">
        <v>0</v>
      </c>
      <c r="E269" s="50" t="n">
        <v>1134640.012763946</v>
      </c>
      <c r="F269" s="50" t="n">
        <v>4194.258845969569</v>
      </c>
      <c r="G269" s="50" t="n">
        <v>444374.5493380837</v>
      </c>
      <c r="H269" s="50" t="n">
        <v>0</v>
      </c>
      <c r="I269" s="50" t="n">
        <v>1134640.012763946</v>
      </c>
      <c r="J269" s="50" t="n">
        <v>2775075.407795895</v>
      </c>
    </row>
    <row r="270">
      <c r="A270" s="7" t="n">
        <v>268</v>
      </c>
      <c r="B270" s="50" t="n">
        <v>1176155.928958982</v>
      </c>
      <c r="C270" s="50" t="n">
        <v>13923.41205476783</v>
      </c>
      <c r="D270" s="50" t="n">
        <v>0</v>
      </c>
      <c r="E270" s="50" t="n">
        <v>1173919.814042048</v>
      </c>
      <c r="F270" s="50" t="n">
        <v>4270.488498532213</v>
      </c>
      <c r="G270" s="50" t="n">
        <v>462793.3625761853</v>
      </c>
      <c r="H270" s="50" t="n">
        <v>0</v>
      </c>
      <c r="I270" s="50" t="n">
        <v>1173919.814042048</v>
      </c>
      <c r="J270" s="50" t="n">
        <v>2873853.156342722</v>
      </c>
    </row>
    <row r="271">
      <c r="A271" s="7" t="n">
        <v>269</v>
      </c>
      <c r="B271" s="50" t="n">
        <v>1130829.485655787</v>
      </c>
      <c r="C271" s="50" t="n">
        <v>34997.81206993666</v>
      </c>
      <c r="D271" s="50" t="n">
        <v>0</v>
      </c>
      <c r="E271" s="50" t="n">
        <v>1128158.83126087</v>
      </c>
      <c r="F271" s="50" t="n">
        <v>4181.567118551582</v>
      </c>
      <c r="G271" s="50" t="n">
        <v>441414.4450919447</v>
      </c>
      <c r="H271" s="50" t="n">
        <v>0</v>
      </c>
      <c r="I271" s="50" t="n">
        <v>1128158.83126087</v>
      </c>
      <c r="J271" s="50" t="n">
        <v>2758772.331720343</v>
      </c>
    </row>
    <row r="272">
      <c r="A272" s="7" t="n">
        <v>270</v>
      </c>
      <c r="B272" s="50" t="n">
        <v>1173202.021896077</v>
      </c>
      <c r="C272" s="50" t="n">
        <v>15310.20387694566</v>
      </c>
      <c r="D272" s="50" t="n">
        <v>0</v>
      </c>
      <c r="E272" s="50" t="n">
        <v>1170949.964263548</v>
      </c>
      <c r="F272" s="50" t="n">
        <v>4264.850225222763</v>
      </c>
      <c r="G272" s="50" t="n">
        <v>461385.5406748001</v>
      </c>
      <c r="H272" s="50" t="n">
        <v>0</v>
      </c>
      <c r="I272" s="50" t="n">
        <v>1170949.964263548</v>
      </c>
      <c r="J272" s="50" t="n">
        <v>2866386.974615716</v>
      </c>
    </row>
    <row r="273">
      <c r="A273" s="7" t="n">
        <v>271</v>
      </c>
      <c r="B273" s="50" t="n">
        <v>1123972.209170566</v>
      </c>
      <c r="C273" s="50" t="n">
        <v>38110.27974738274</v>
      </c>
      <c r="D273" s="50" t="n">
        <v>0</v>
      </c>
      <c r="E273" s="50" t="n">
        <v>1121200.758498327</v>
      </c>
      <c r="F273" s="50" t="n">
        <v>4168.029514138121</v>
      </c>
      <c r="G273" s="50" t="n">
        <v>438233.6362980176</v>
      </c>
      <c r="H273" s="50" t="n">
        <v>0</v>
      </c>
      <c r="I273" s="50" t="n">
        <v>1121200.758498327</v>
      </c>
      <c r="J273" s="50" t="n">
        <v>2741268.533826963</v>
      </c>
    </row>
    <row r="274">
      <c r="A274" s="7" t="n">
        <v>272</v>
      </c>
      <c r="B274" s="50" t="n">
        <v>1169933.424097103</v>
      </c>
      <c r="C274" s="50" t="n">
        <v>16830.62442127988</v>
      </c>
      <c r="D274" s="50" t="n">
        <v>0</v>
      </c>
      <c r="E274" s="50" t="n">
        <v>1167661.87296391</v>
      </c>
      <c r="F274" s="50" t="n">
        <v>4258.700754167512</v>
      </c>
      <c r="G274" s="50" t="n">
        <v>459820.6795615647</v>
      </c>
      <c r="H274" s="50" t="n">
        <v>0</v>
      </c>
      <c r="I274" s="50" t="n">
        <v>1167661.87296391</v>
      </c>
      <c r="J274" s="50" t="n">
        <v>2858120.819546624</v>
      </c>
    </row>
    <row r="275">
      <c r="A275" s="7" t="n">
        <v>273</v>
      </c>
      <c r="B275" s="50" t="n">
        <v>1116570.337057684</v>
      </c>
      <c r="C275" s="50" t="n">
        <v>41440.5974492738</v>
      </c>
      <c r="D275" s="50" t="n">
        <v>0</v>
      </c>
      <c r="E275" s="50" t="n">
        <v>1113679.958730048</v>
      </c>
      <c r="F275" s="50" t="n">
        <v>4153.465845676139</v>
      </c>
      <c r="G275" s="50" t="n">
        <v>434794.5736312093</v>
      </c>
      <c r="H275" s="50" t="n">
        <v>0</v>
      </c>
      <c r="I275" s="50" t="n">
        <v>1113679.958730048</v>
      </c>
      <c r="J275" s="50" t="n">
        <v>2722347.655372323</v>
      </c>
    </row>
    <row r="276">
      <c r="A276" s="7" t="n">
        <v>274</v>
      </c>
      <c r="B276" s="50" t="n">
        <v>1166253.758112129</v>
      </c>
      <c r="C276" s="50" t="n">
        <v>18528.24914564937</v>
      </c>
      <c r="D276" s="50" t="n">
        <v>0</v>
      </c>
      <c r="E276" s="50" t="n">
        <v>1163957.937884339</v>
      </c>
      <c r="F276" s="50" t="n">
        <v>4251.857341481373</v>
      </c>
      <c r="G276" s="50" t="n">
        <v>458053.7832098734</v>
      </c>
      <c r="H276" s="50" t="n">
        <v>0</v>
      </c>
      <c r="I276" s="50" t="n">
        <v>1163957.937884339</v>
      </c>
      <c r="J276" s="50" t="n">
        <v>2848809.24856119</v>
      </c>
    </row>
    <row r="277">
      <c r="A277" s="7" t="n">
        <v>275</v>
      </c>
      <c r="B277" s="50" t="n">
        <v>1108559.432278747</v>
      </c>
      <c r="C277" s="50" t="n">
        <v>45016.44292592537</v>
      </c>
      <c r="D277" s="50" t="n">
        <v>0</v>
      </c>
      <c r="E277" s="50" t="n">
        <v>1105528.348523647</v>
      </c>
      <c r="F277" s="50" t="n">
        <v>4137.706947148778</v>
      </c>
      <c r="G277" s="50" t="n">
        <v>431066.0650558807</v>
      </c>
      <c r="H277" s="50" t="n">
        <v>0</v>
      </c>
      <c r="I277" s="50" t="n">
        <v>1105528.348523647</v>
      </c>
      <c r="J277" s="50" t="n">
        <v>2701837.718421706</v>
      </c>
    </row>
    <row r="278">
      <c r="A278" s="7" t="n">
        <v>276</v>
      </c>
      <c r="B278" s="50" t="n">
        <v>1162056.489005336</v>
      </c>
      <c r="C278" s="50" t="n">
        <v>20433.28570246836</v>
      </c>
      <c r="D278" s="50" t="n">
        <v>0</v>
      </c>
      <c r="E278" s="50" t="n">
        <v>1159730.258490125</v>
      </c>
      <c r="F278" s="50" t="n">
        <v>4244.19163715234</v>
      </c>
      <c r="G278" s="50" t="n">
        <v>456074.9384299908</v>
      </c>
      <c r="H278" s="50" t="n">
        <v>0</v>
      </c>
      <c r="I278" s="50" t="n">
        <v>1159730.258490125</v>
      </c>
      <c r="J278" s="50" t="n">
        <v>2838181.33766809</v>
      </c>
    </row>
    <row r="279">
      <c r="A279" s="7" t="n">
        <v>277</v>
      </c>
      <c r="B279" s="50" t="n">
        <v>1099853.228134204</v>
      </c>
      <c r="C279" s="50" t="n">
        <v>48858.03694591438</v>
      </c>
      <c r="D279" s="50" t="n">
        <v>0</v>
      </c>
      <c r="E279" s="50" t="n">
        <v>1096655.56287628</v>
      </c>
      <c r="F279" s="50" t="n">
        <v>4120.663405316882</v>
      </c>
      <c r="G279" s="50" t="n">
        <v>427010.5291876909</v>
      </c>
      <c r="H279" s="50" t="n">
        <v>0</v>
      </c>
      <c r="I279" s="50" t="n">
        <v>1096655.56287628</v>
      </c>
      <c r="J279" s="50" t="n">
        <v>2679511.231203953</v>
      </c>
    </row>
    <row r="280">
      <c r="A280" s="7" t="n">
        <v>278</v>
      </c>
      <c r="B280" s="50" t="n">
        <v>1157272.373173293</v>
      </c>
      <c r="C280" s="50" t="n">
        <v>22586.28988259984</v>
      </c>
      <c r="D280" s="50" t="n">
        <v>0</v>
      </c>
      <c r="E280" s="50" t="n">
        <v>1154907.69739859</v>
      </c>
      <c r="F280" s="50" t="n">
        <v>4235.527736248914</v>
      </c>
      <c r="G280" s="50" t="n">
        <v>453812.0601031058</v>
      </c>
      <c r="H280" s="50" t="n">
        <v>0</v>
      </c>
      <c r="I280" s="50" t="n">
        <v>1154907.69739859</v>
      </c>
      <c r="J280" s="50" t="n">
        <v>2826057.678652684</v>
      </c>
    </row>
    <row r="281">
      <c r="A281" s="7" t="n">
        <v>279</v>
      </c>
      <c r="B281" s="50" t="n">
        <v>1090370.228981876</v>
      </c>
      <c r="C281" s="50" t="n">
        <v>52979.05464013247</v>
      </c>
      <c r="D281" s="50" t="n">
        <v>0</v>
      </c>
      <c r="E281" s="50" t="n">
        <v>1086975.573503039</v>
      </c>
      <c r="F281" s="50" t="n">
        <v>4102.266013852321</v>
      </c>
      <c r="G281" s="50" t="n">
        <v>422580.360092205</v>
      </c>
      <c r="H281" s="50" t="n">
        <v>0</v>
      </c>
      <c r="I281" s="50" t="n">
        <v>1086975.573503039</v>
      </c>
      <c r="J281" s="50" t="n">
        <v>2655151.409718808</v>
      </c>
    </row>
    <row r="282">
      <c r="A282" s="7" t="n">
        <v>280</v>
      </c>
      <c r="B282" s="50" t="n">
        <v>1151805.592410763</v>
      </c>
      <c r="C282" s="50" t="n">
        <v>25025.92411773233</v>
      </c>
      <c r="D282" s="50" t="n">
        <v>0</v>
      </c>
      <c r="E282" s="50" t="n">
        <v>1149392.061144196</v>
      </c>
      <c r="F282" s="50" t="n">
        <v>4225.697447290644</v>
      </c>
      <c r="G282" s="50" t="n">
        <v>451208.8452901593</v>
      </c>
      <c r="H282" s="50" t="n">
        <v>0</v>
      </c>
      <c r="I282" s="50" t="n">
        <v>1149392.061144196</v>
      </c>
      <c r="J282" s="50" t="n">
        <v>2812191.133891716</v>
      </c>
    </row>
    <row r="283">
      <c r="A283" s="7" t="n">
        <v>281</v>
      </c>
      <c r="B283" s="50" t="n">
        <v>1079974.558814928</v>
      </c>
      <c r="C283" s="50" t="n">
        <v>57422.93021187326</v>
      </c>
      <c r="D283" s="50" t="n">
        <v>0</v>
      </c>
      <c r="E283" s="50" t="n">
        <v>1076345.603836399</v>
      </c>
      <c r="F283" s="50" t="n">
        <v>4082.260681330692</v>
      </c>
      <c r="G283" s="50" t="n">
        <v>417702.7177105579</v>
      </c>
      <c r="H283" s="50" t="n">
        <v>0</v>
      </c>
      <c r="I283" s="50" t="n">
        <v>1076345.603836399</v>
      </c>
      <c r="J283" s="50" t="n">
        <v>2628398.038673135</v>
      </c>
    </row>
    <row r="284">
      <c r="A284" s="7" t="n">
        <v>282</v>
      </c>
      <c r="B284" s="50" t="n">
        <v>1145474.218244328</v>
      </c>
      <c r="C284" s="50" t="n">
        <v>27817.50594679639</v>
      </c>
      <c r="D284" s="50" t="n">
        <v>0</v>
      </c>
      <c r="E284" s="50" t="n">
        <v>1142997.803513802</v>
      </c>
      <c r="F284" s="50" t="n">
        <v>4214.369132454041</v>
      </c>
      <c r="G284" s="50" t="n">
        <v>448238.1800331059</v>
      </c>
      <c r="H284" s="50" t="n">
        <v>0</v>
      </c>
      <c r="I284" s="50" t="n">
        <v>1142997.803513802</v>
      </c>
      <c r="J284" s="50" t="n">
        <v>2796115.105429382</v>
      </c>
    </row>
    <row r="285">
      <c r="A285" s="7" t="n">
        <v>283</v>
      </c>
      <c r="B285" s="50" t="n">
        <v>1068605.154960639</v>
      </c>
      <c r="C285" s="50" t="n">
        <v>62252.8711913391</v>
      </c>
      <c r="D285" s="50" t="n">
        <v>0</v>
      </c>
      <c r="E285" s="50" t="n">
        <v>1064695.165163585</v>
      </c>
      <c r="F285" s="50" t="n">
        <v>4060.220315132756</v>
      </c>
      <c r="G285" s="50" t="n">
        <v>412319.4852031404</v>
      </c>
      <c r="H285" s="50" t="n">
        <v>0</v>
      </c>
      <c r="I285" s="50" t="n">
        <v>1064695.165163585</v>
      </c>
      <c r="J285" s="50" t="n">
        <v>2598806.284691656</v>
      </c>
    </row>
    <row r="286">
      <c r="A286" s="7" t="n">
        <v>284</v>
      </c>
      <c r="B286" s="50" t="n">
        <v>1138171.230988629</v>
      </c>
      <c r="C286" s="50" t="n">
        <v>31016.38109351089</v>
      </c>
      <c r="D286" s="50" t="n">
        <v>0</v>
      </c>
      <c r="E286" s="50" t="n">
        <v>1135613.465883981</v>
      </c>
      <c r="F286" s="50" t="n">
        <v>4201.242148816586</v>
      </c>
      <c r="G286" s="50" t="n">
        <v>444821.2036262872</v>
      </c>
      <c r="H286" s="50" t="n">
        <v>0</v>
      </c>
      <c r="I286" s="50" t="n">
        <v>1135613.465883981</v>
      </c>
      <c r="J286" s="50" t="n">
        <v>2777548.263951215</v>
      </c>
    </row>
    <row r="287">
      <c r="A287" s="7" t="n">
        <v>285</v>
      </c>
      <c r="B287" s="50" t="n">
        <v>1056240.405293757</v>
      </c>
      <c r="C287" s="50" t="n">
        <v>67512.86285655061</v>
      </c>
      <c r="D287" s="50" t="n">
        <v>0</v>
      </c>
      <c r="E287" s="50" t="n">
        <v>1051992.231362724</v>
      </c>
      <c r="F287" s="50" t="n">
        <v>4035.800129433628</v>
      </c>
      <c r="G287" s="50" t="n">
        <v>406386.114287436</v>
      </c>
      <c r="H287" s="50" t="n">
        <v>0</v>
      </c>
      <c r="I287" s="50" t="n">
        <v>1051992.231362724</v>
      </c>
      <c r="J287" s="50" t="n">
        <v>2565964.667729186</v>
      </c>
    </row>
    <row r="288">
      <c r="A288" s="7" t="n">
        <v>286</v>
      </c>
      <c r="B288" s="50" t="n">
        <v>1129808.750785782</v>
      </c>
      <c r="C288" s="50" t="n">
        <v>34665.17069603037</v>
      </c>
      <c r="D288" s="50" t="n">
        <v>0</v>
      </c>
      <c r="E288" s="50" t="n">
        <v>1127145.850331583</v>
      </c>
      <c r="F288" s="50" t="n">
        <v>4186.053819017485</v>
      </c>
      <c r="G288" s="50" t="n">
        <v>440891.5559427924</v>
      </c>
      <c r="H288" s="50" t="n">
        <v>0</v>
      </c>
      <c r="I288" s="50" t="n">
        <v>1127145.850331583</v>
      </c>
      <c r="J288" s="50" t="n">
        <v>2756255.004864722</v>
      </c>
    </row>
    <row r="289">
      <c r="A289" s="7" t="n">
        <v>287</v>
      </c>
      <c r="B289" s="50" t="n">
        <v>1042651.093079355</v>
      </c>
      <c r="C289" s="50" t="n">
        <v>73226.68659508694</v>
      </c>
      <c r="D289" s="50" t="n">
        <v>0</v>
      </c>
      <c r="E289" s="50" t="n">
        <v>1037995.820718597</v>
      </c>
      <c r="F289" s="50" t="n">
        <v>4008.676916438155</v>
      </c>
      <c r="G289" s="50" t="n">
        <v>399824.8733723303</v>
      </c>
      <c r="H289" s="50" t="n">
        <v>0</v>
      </c>
      <c r="I289" s="50" t="n">
        <v>1037995.820718597</v>
      </c>
      <c r="J289" s="50" t="n">
        <v>2529768.375479956</v>
      </c>
    </row>
    <row r="290">
      <c r="A290" s="7" t="n">
        <v>288</v>
      </c>
      <c r="B290" s="50" t="n">
        <v>1120280.960239854</v>
      </c>
      <c r="C290" s="50" t="n">
        <v>38812.37315059872</v>
      </c>
      <c r="D290" s="50" t="n">
        <v>0</v>
      </c>
      <c r="E290" s="50" t="n">
        <v>1117482.242846643</v>
      </c>
      <c r="F290" s="50" t="n">
        <v>4168.474396734964</v>
      </c>
      <c r="G290" s="50" t="n">
        <v>436398.5802343953</v>
      </c>
      <c r="H290" s="50" t="n">
        <v>0</v>
      </c>
      <c r="I290" s="50" t="n">
        <v>1117482.242846643</v>
      </c>
      <c r="J290" s="50" t="n">
        <v>2731950.344683212</v>
      </c>
    </row>
    <row r="291">
      <c r="A291" s="7" t="n">
        <v>289</v>
      </c>
      <c r="B291" s="50" t="n">
        <v>1027826.761397665</v>
      </c>
      <c r="C291" s="50" t="n">
        <v>79393.56066004746</v>
      </c>
      <c r="D291" s="50" t="n">
        <v>0</v>
      </c>
      <c r="E291" s="50" t="n">
        <v>1022683.660046638</v>
      </c>
      <c r="F291" s="50" t="n">
        <v>3978.627436671406</v>
      </c>
      <c r="G291" s="50" t="n">
        <v>392618.1201931909</v>
      </c>
      <c r="H291" s="50" t="n">
        <v>0</v>
      </c>
      <c r="I291" s="50" t="n">
        <v>1022683.660046638</v>
      </c>
      <c r="J291" s="50" t="n">
        <v>2490169.223058132</v>
      </c>
    </row>
    <row r="292">
      <c r="A292" s="7" t="n">
        <v>290</v>
      </c>
      <c r="B292" s="50" t="n">
        <v>1109500.976091026</v>
      </c>
      <c r="C292" s="50" t="n">
        <v>43490.01418106817</v>
      </c>
      <c r="D292" s="50" t="n">
        <v>0</v>
      </c>
      <c r="E292" s="50" t="n">
        <v>1106527.663239487</v>
      </c>
      <c r="F292" s="50" t="n">
        <v>4148.250014490914</v>
      </c>
      <c r="G292" s="50" t="n">
        <v>431302.4124764618</v>
      </c>
      <c r="H292" s="50" t="n">
        <v>0</v>
      </c>
      <c r="I292" s="50" t="n">
        <v>1106527.663239487</v>
      </c>
      <c r="J292" s="50" t="n">
        <v>2704393.802385712</v>
      </c>
    </row>
    <row r="293">
      <c r="A293" s="7" t="n">
        <v>291</v>
      </c>
      <c r="B293" s="50" t="n">
        <v>1011800.807770494</v>
      </c>
      <c r="C293" s="50" t="n">
        <v>85998.89962820755</v>
      </c>
      <c r="D293" s="50" t="n">
        <v>0</v>
      </c>
      <c r="E293" s="50" t="n">
        <v>1006076.727747708</v>
      </c>
      <c r="F293" s="50" t="n">
        <v>3945.485546764918</v>
      </c>
      <c r="G293" s="50" t="n">
        <v>384771.7465511928</v>
      </c>
      <c r="H293" s="50" t="n">
        <v>0</v>
      </c>
      <c r="I293" s="50" t="n">
        <v>1006076.727747708</v>
      </c>
      <c r="J293" s="50" t="n">
        <v>2447215.773581761</v>
      </c>
    </row>
    <row r="294">
      <c r="A294" s="7" t="n">
        <v>292</v>
      </c>
      <c r="B294" s="50" t="n">
        <v>1097561.15219406</v>
      </c>
      <c r="C294" s="50" t="n">
        <v>48720.83313924959</v>
      </c>
      <c r="D294" s="50" t="n">
        <v>0</v>
      </c>
      <c r="E294" s="50" t="n">
        <v>1094365.034203048</v>
      </c>
      <c r="F294" s="50" t="n">
        <v>4125.157082455233</v>
      </c>
      <c r="G294" s="50" t="n">
        <v>425606.8048276864</v>
      </c>
      <c r="H294" s="50" t="n">
        <v>0</v>
      </c>
      <c r="I294" s="50" t="n">
        <v>1094365.034203048</v>
      </c>
      <c r="J294" s="50" t="n">
        <v>2673283.432324893</v>
      </c>
    </row>
    <row r="295">
      <c r="A295" s="7" t="n">
        <v>293</v>
      </c>
      <c r="B295" s="50" t="n">
        <v>994608.7267776182</v>
      </c>
      <c r="C295" s="50" t="n">
        <v>93030.0717767356</v>
      </c>
      <c r="D295" s="50" t="n">
        <v>0</v>
      </c>
      <c r="E295" s="50" t="n">
        <v>988196.2607846102</v>
      </c>
      <c r="F295" s="50" t="n">
        <v>3909.10413042549</v>
      </c>
      <c r="G295" s="50" t="n">
        <v>376302.1126139259</v>
      </c>
      <c r="H295" s="50" t="n">
        <v>0</v>
      </c>
      <c r="I295" s="50" t="n">
        <v>988196.2607846102</v>
      </c>
      <c r="J295" s="50" t="n">
        <v>2400917.517330153</v>
      </c>
    </row>
    <row r="296">
      <c r="A296" s="7" t="n">
        <v>294</v>
      </c>
      <c r="B296" s="50" t="n">
        <v>1084385.799385741</v>
      </c>
      <c r="C296" s="50" t="n">
        <v>54503.1474811784</v>
      </c>
      <c r="D296" s="50" t="n">
        <v>0</v>
      </c>
      <c r="E296" s="50" t="n">
        <v>1080908.284251624</v>
      </c>
      <c r="F296" s="50" t="n">
        <v>4099.090294870548</v>
      </c>
      <c r="G296" s="50" t="n">
        <v>419281.6638376717</v>
      </c>
      <c r="H296" s="50" t="n">
        <v>0</v>
      </c>
      <c r="I296" s="50" t="n">
        <v>1080908.284251624</v>
      </c>
      <c r="J296" s="50" t="n">
        <v>2638474.095580119</v>
      </c>
    </row>
    <row r="297">
      <c r="A297" s="7" t="n">
        <v>295</v>
      </c>
      <c r="B297" s="50" t="n">
        <v>976138.9487602913</v>
      </c>
      <c r="C297" s="50" t="n">
        <v>100505.4761736956</v>
      </c>
      <c r="D297" s="50" t="n">
        <v>0</v>
      </c>
      <c r="E297" s="50" t="n">
        <v>968910.5021037755</v>
      </c>
      <c r="F297" s="50" t="n">
        <v>3869.21786088217</v>
      </c>
      <c r="G297" s="50" t="n">
        <v>367216.823196644</v>
      </c>
      <c r="H297" s="50" t="n">
        <v>0</v>
      </c>
      <c r="I297" s="50" t="n">
        <v>968910.5021037755</v>
      </c>
      <c r="J297" s="50" t="n">
        <v>2351082.602827832</v>
      </c>
    </row>
    <row r="298">
      <c r="A298" s="7" t="n">
        <v>296</v>
      </c>
      <c r="B298" s="50" t="n">
        <v>1069771.749337053</v>
      </c>
      <c r="C298" s="50" t="n">
        <v>60842.40143143199</v>
      </c>
      <c r="D298" s="50" t="n">
        <v>0</v>
      </c>
      <c r="E298" s="50" t="n">
        <v>1065941.446021628</v>
      </c>
      <c r="F298" s="50" t="n">
        <v>4069.882887379732</v>
      </c>
      <c r="G298" s="50" t="n">
        <v>412268.8637679499</v>
      </c>
      <c r="H298" s="50" t="n">
        <v>0</v>
      </c>
      <c r="I298" s="50" t="n">
        <v>1065941.446021628</v>
      </c>
      <c r="J298" s="50" t="n">
        <v>2599794.303647338</v>
      </c>
    </row>
    <row r="299">
      <c r="A299" s="7" t="n">
        <v>297</v>
      </c>
      <c r="B299" s="50" t="n">
        <v>956529.7988569061</v>
      </c>
      <c r="C299" s="50" t="n">
        <v>108329.714324024</v>
      </c>
      <c r="D299" s="50" t="n">
        <v>0</v>
      </c>
      <c r="E299" s="50" t="n">
        <v>948347.7807616817</v>
      </c>
      <c r="F299" s="50" t="n">
        <v>3826.162539226934</v>
      </c>
      <c r="G299" s="50" t="n">
        <v>357596.9750536592</v>
      </c>
      <c r="H299" s="50" t="n">
        <v>0</v>
      </c>
      <c r="I299" s="50" t="n">
        <v>948347.7807616817</v>
      </c>
      <c r="J299" s="50" t="n">
        <v>2298078.925524976</v>
      </c>
    </row>
    <row r="300">
      <c r="A300" s="7" t="n">
        <v>298</v>
      </c>
      <c r="B300" s="50" t="n">
        <v>1053703.301875855</v>
      </c>
      <c r="C300" s="50" t="n">
        <v>67714.43161480548</v>
      </c>
      <c r="D300" s="50" t="n">
        <v>0</v>
      </c>
      <c r="E300" s="50" t="n">
        <v>1049435.733899276</v>
      </c>
      <c r="F300" s="50" t="n">
        <v>4037.452224874403</v>
      </c>
      <c r="G300" s="50" t="n">
        <v>404554.7241379535</v>
      </c>
      <c r="H300" s="50" t="n">
        <v>0</v>
      </c>
      <c r="I300" s="50" t="n">
        <v>1049435.733899276</v>
      </c>
      <c r="J300" s="50" t="n">
        <v>2557190.764898183</v>
      </c>
    </row>
    <row r="301">
      <c r="A301" s="7" t="n">
        <v>299</v>
      </c>
      <c r="B301" s="50" t="n">
        <v>935973.8098140946</v>
      </c>
      <c r="C301" s="50" t="n">
        <v>116372.6665671323</v>
      </c>
      <c r="D301" s="50" t="n">
        <v>0</v>
      </c>
      <c r="E301" s="50" t="n">
        <v>926696.6886538602</v>
      </c>
      <c r="F301" s="50" t="n">
        <v>3780.4797744276</v>
      </c>
      <c r="G301" s="50" t="n">
        <v>347535.4608443398</v>
      </c>
      <c r="H301" s="50" t="n">
        <v>0</v>
      </c>
      <c r="I301" s="50" t="n">
        <v>926696.6886538602</v>
      </c>
      <c r="J301" s="50" t="n">
        <v>2242406.315080193</v>
      </c>
    </row>
    <row r="302">
      <c r="A302" s="7" t="n">
        <v>300</v>
      </c>
      <c r="B302" s="50" t="n">
        <v>1036225.556942912</v>
      </c>
      <c r="C302" s="50" t="n">
        <v>75065.9179625581</v>
      </c>
      <c r="D302" s="50" t="n">
        <v>0</v>
      </c>
      <c r="E302" s="50" t="n">
        <v>1031423.630745804</v>
      </c>
      <c r="F302" s="50" t="n">
        <v>4001.838884649798</v>
      </c>
      <c r="G302" s="50" t="n">
        <v>396138.6461830572</v>
      </c>
      <c r="H302" s="50" t="n">
        <v>0</v>
      </c>
      <c r="I302" s="50" t="n">
        <v>1031423.630745804</v>
      </c>
      <c r="J302" s="50" t="n">
        <v>2510715.051976551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B1:N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</cols>
  <sheetData>
    <row r="1">
      <c r="B1" s="3" t="inlineStr">
        <is>
          <t>All policies — SCR batch run and reconciliation vs lifelib</t>
        </is>
      </c>
    </row>
    <row r="2">
      <c r="B2" s="12" t="inlineStr">
        <is>
          <t>Filled by the RunAllPolicies macro (t0 = 0, scenario 1; see Control for settings).</t>
        </is>
      </c>
    </row>
    <row r="4">
      <c r="B4" s="5" t="inlineStr">
        <is>
          <t>Policies run</t>
        </is>
      </c>
      <c r="C4" s="51" t="n"/>
    </row>
    <row r="5">
      <c r="B5" s="5" t="inlineStr">
        <is>
          <t>Reconciled within tolerance</t>
        </is>
      </c>
      <c r="C5" s="51" t="n"/>
    </row>
    <row r="6">
      <c r="B6" s="5" t="inlineStr">
        <is>
          <t>Mismatches</t>
        </is>
      </c>
      <c r="C6" s="51" t="n"/>
    </row>
    <row r="7">
      <c r="B7" s="5" t="inlineStr">
        <is>
          <t>Max rel diff SCR</t>
        </is>
      </c>
      <c r="C7" s="51" t="n"/>
    </row>
    <row r="8">
      <c r="B8" s="5" t="inlineStr">
        <is>
          <t>Max rel diff Life charges</t>
        </is>
      </c>
      <c r="C8" s="51" t="n"/>
    </row>
    <row r="9">
      <c r="B9" s="5" t="inlineStr">
        <is>
          <t>Max rel diff NAV</t>
        </is>
      </c>
      <c r="C9" s="51" t="n"/>
    </row>
    <row r="10">
      <c r="B10" s="5" t="inlineStr">
        <is>
          <t>Run time (seconds)</t>
        </is>
      </c>
      <c r="C10" s="51" t="n"/>
    </row>
    <row r="11">
      <c r="B11" s="3" t="inlineStr">
        <is>
          <t>RECONCILIATION RESULT</t>
        </is>
      </c>
      <c r="C11" s="51" t="n"/>
    </row>
    <row r="13">
      <c r="B13" s="10" t="inlineStr">
        <is>
          <t>policy_id</t>
        </is>
      </c>
      <c r="C13" s="10" t="inlineStr">
        <is>
          <t>SCR (wb)</t>
        </is>
      </c>
      <c r="D13" s="10" t="inlineStr">
        <is>
          <t>SCR (lifelib)</t>
        </is>
      </c>
      <c r="E13" s="10" t="inlineStr">
        <is>
          <t>rel diff SCR</t>
        </is>
      </c>
      <c r="F13" s="10" t="inlineStr">
        <is>
          <t>rel mort</t>
        </is>
      </c>
      <c r="G13" s="10" t="inlineStr">
        <is>
          <t>rel longev</t>
        </is>
      </c>
      <c r="H13" s="10" t="inlineStr">
        <is>
          <t>rel lapse</t>
        </is>
      </c>
      <c r="I13" s="10" t="inlineStr">
        <is>
          <t>rel lapse up</t>
        </is>
      </c>
      <c r="J13" s="10" t="inlineStr">
        <is>
          <t>rel lapse down</t>
        </is>
      </c>
      <c r="K13" s="10" t="inlineStr">
        <is>
          <t>rel lapse mass</t>
        </is>
      </c>
      <c r="L13" s="10" t="inlineStr">
        <is>
          <t>rel exps</t>
        </is>
      </c>
      <c r="M13" s="10" t="inlineStr">
        <is>
          <t>rel NAV</t>
        </is>
      </c>
      <c r="N13" s="10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2026-08-04T13:04:49Z</dcterms:created>
  <dcterms:modified xmlns:dcterms="http://purl.org/dc/terms/" xmlns:xsi="http://www.w3.org/2001/XMLSchema-instance" xsi:type="dcterms:W3CDTF">2026-08-04T13:04:49Z</dcterms:modified>
</cp:coreProperties>
</file>